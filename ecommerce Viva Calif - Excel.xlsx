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ishr\Downloads\"/>
    </mc:Choice>
  </mc:AlternateContent>
  <xr:revisionPtr revIDLastSave="0" documentId="8_{D1ACCAD5-2323-4D2F-B396-463EDF91FACF}" xr6:coauthVersionLast="47" xr6:coauthVersionMax="47" xr10:uidLastSave="{00000000-0000-0000-0000-000000000000}"/>
  <bookViews>
    <workbookView xWindow="-108" yWindow="-108" windowWidth="23256" windowHeight="12456" activeTab="4" xr2:uid="{346724B3-1C49-40AE-AA36-C77CF5D6DD09}"/>
  </bookViews>
  <sheets>
    <sheet name="Pivots" sheetId="5" r:id="rId1"/>
    <sheet name="Sheet3" sheetId="7" r:id="rId2"/>
    <sheet name="Data" sheetId="1" r:id="rId3"/>
    <sheet name="Questions &amp; KPIs" sheetId="2" r:id="rId4"/>
    <sheet name="Dashboards" sheetId="6" r:id="rId5"/>
  </sheets>
  <definedNames>
    <definedName name="_xlchart.v5.0" hidden="1">Pivots!$K$56:$L$56</definedName>
    <definedName name="_xlchart.v5.1" hidden="1">Pivots!$K$57:$L$114</definedName>
    <definedName name="_xlchart.v5.2" hidden="1">Pivots!$M$56</definedName>
    <definedName name="_xlchart.v5.3" hidden="1">Pivots!$M$57:$M$114</definedName>
    <definedName name="_xlchart.v5.4" hidden="1">Pivots!$G$56:$H$56</definedName>
    <definedName name="_xlchart.v5.5" hidden="1">Pivots!$G$57:$H$115</definedName>
    <definedName name="_xlchart.v5.6" hidden="1">Pivots!$I$56</definedName>
    <definedName name="_xlchart.v5.7" hidden="1">Pivots!$I$57:$I$115</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7" l="1"/>
  <c r="L7" i="7"/>
  <c r="K7" i="7"/>
  <c r="J7" i="7"/>
  <c r="I7" i="7"/>
  <c r="M6" i="7"/>
  <c r="L6" i="7"/>
  <c r="K6" i="7"/>
  <c r="J6" i="7"/>
  <c r="I6" i="7"/>
  <c r="M5" i="7"/>
  <c r="L5" i="7"/>
  <c r="K5" i="7"/>
  <c r="J5" i="7"/>
  <c r="I5" i="7"/>
  <c r="M4" i="7"/>
  <c r="L4" i="7"/>
  <c r="K4" i="7"/>
  <c r="J4" i="7"/>
  <c r="I4" i="7"/>
  <c r="M3" i="7"/>
  <c r="L3" i="7"/>
  <c r="K3" i="7"/>
  <c r="J3" i="7"/>
  <c r="I3" i="7"/>
  <c r="M2" i="7"/>
  <c r="L2" i="7"/>
  <c r="K2" i="7"/>
  <c r="J2" i="7"/>
  <c r="I2" i="7"/>
  <c r="J4" i="5"/>
  <c r="H4" i="5"/>
  <c r="K4" i="5"/>
  <c r="I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<sst xmlns="http://schemas.openxmlformats.org/spreadsheetml/2006/main" count="14910" uniqueCount="2554">
  <si>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</si>
  <si>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</si>
  <si>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</si>
  <si>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</si>
  <si>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</si>
  <si>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</si>
  <si>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</si>
  <si>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</si>
  <si>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</si>
  <si>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</si>
  <si>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</si>
  <si>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</si>
  <si>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</si>
  <si>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</si>
  <si>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</si>
  <si>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</si>
  <si>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</si>
  <si>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</si>
  <si>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</si>
  <si>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</si>
  <si>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</si>
  <si>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</si>
  <si>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</si>
  <si>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</si>
  <si>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</si>
  <si>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</si>
  <si>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</si>
  <si>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</si>
  <si>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</si>
  <si>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</si>
  <si>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</si>
  <si>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</si>
  <si>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</si>
  <si>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</si>
  <si>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</si>
  <si>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</si>
  <si>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</si>
  <si>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</si>
  <si>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</si>
  <si>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</si>
  <si>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</si>
  <si>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</si>
  <si>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</si>
  <si>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</si>
  <si>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</si>
  <si>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</si>
  <si>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</si>
  <si>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</si>
  <si>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</si>
  <si>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</si>
  <si>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</si>
  <si>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</si>
  <si>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</si>
  <si>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</si>
  <si>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</si>
  <si>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</si>
  <si>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</si>
  <si>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</si>
  <si>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</si>
  <si>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</si>
  <si>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</si>
  <si>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</si>
  <si>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</si>
  <si>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</si>
  <si>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</si>
  <si>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</si>
  <si>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</si>
  <si>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</si>
  <si>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</si>
  <si>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</si>
  <si>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</si>
  <si>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</si>
  <si>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</si>
  <si>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</si>
  <si>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</si>
  <si>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</si>
  <si>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</si>
  <si>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</si>
  <si>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</si>
  <si>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</si>
  <si>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</si>
  <si>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</si>
  <si>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</si>
  <si>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</si>
  <si>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</si>
  <si>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</si>
  <si>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</si>
  <si>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</si>
  <si>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</si>
  <si>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</si>
  <si>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</si>
  <si>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</si>
  <si>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</si>
  <si>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</si>
  <si>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</si>
  <si>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</si>
  <si>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</si>
  <si>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</si>
  <si>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</si>
  <si>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</si>
  <si>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</si>
  <si>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</si>
  <si>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</si>
  <si>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</si>
  <si>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</si>
  <si>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</si>
  <si>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</si>
  <si>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</si>
  <si>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</si>
  <si>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</si>
  <si>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</si>
  <si>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</si>
  <si>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</si>
  <si>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</si>
  <si>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</si>
  <si>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</si>
  <si>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</si>
  <si>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</si>
  <si>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</si>
  <si>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</si>
  <si>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</si>
  <si>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</si>
  <si>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</si>
  <si>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</si>
  <si>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</si>
  <si>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</si>
  <si>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</si>
  <si>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</si>
  <si>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</si>
  <si>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</si>
  <si>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</si>
  <si>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</si>
  <si>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</si>
  <si>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</si>
  <si>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</si>
  <si>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</si>
  <si>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</si>
  <si>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</si>
  <si>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</si>
  <si>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</si>
  <si>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</si>
  <si>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</si>
  <si>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</si>
  <si>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</si>
  <si>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</si>
  <si>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</si>
  <si>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</si>
  <si>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</si>
  <si>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</si>
  <si>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</si>
  <si>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</si>
  <si>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</si>
  <si>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</si>
  <si>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</si>
  <si>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</si>
  <si>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</si>
  <si>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</si>
  <si>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</si>
  <si>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</si>
  <si>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</si>
  <si>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</si>
  <si>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</si>
  <si>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</si>
  <si>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</si>
  <si>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</si>
  <si>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</si>
  <si>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</si>
  <si>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</si>
  <si>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</si>
  <si>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</si>
  <si>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</si>
  <si>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</si>
  <si>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</si>
  <si>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</si>
  <si>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</si>
  <si>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</si>
  <si>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</si>
  <si>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</si>
  <si>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</si>
  <si>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</si>
  <si>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</si>
  <si>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</si>
  <si>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</si>
  <si>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</si>
  <si>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</si>
  <si>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</si>
  <si>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</si>
  <si>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</si>
  <si>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</si>
  <si>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</si>
  <si>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</si>
  <si>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</si>
  <si>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</si>
  <si>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</si>
  <si>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</si>
  <si>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</si>
  <si>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</si>
  <si>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</si>
  <si>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</si>
  <si>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</si>
  <si>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</si>
  <si>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</si>
  <si>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</si>
  <si>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</si>
  <si>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</si>
  <si>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</si>
  <si>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</si>
  <si>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</si>
  <si>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</si>
  <si>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</si>
  <si>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</si>
  <si>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</si>
  <si>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</si>
  <si>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</si>
  <si>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</si>
  <si>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</si>
  <si>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</si>
  <si>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</si>
  <si>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</si>
  <si>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</si>
  <si>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</si>
  <si>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</si>
  <si>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</si>
  <si>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</si>
  <si>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</si>
  <si>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</si>
  <si>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</si>
  <si>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</si>
  <si>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</si>
  <si>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</si>
  <si>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</si>
  <si>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</si>
  <si>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</si>
  <si>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</si>
  <si>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</si>
  <si>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</si>
  <si>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</si>
  <si>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</si>
  <si>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</si>
  <si>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</si>
  <si>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</si>
  <si>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</si>
  <si>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</si>
  <si>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</si>
  <si>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</si>
  <si>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</si>
  <si>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</si>
  <si>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</si>
  <si>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</si>
  <si>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</si>
  <si>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</si>
  <si>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</si>
  <si>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</si>
  <si>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</si>
  <si>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</si>
  <si>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</si>
  <si>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</si>
  <si>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</si>
  <si>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</si>
  <si>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</si>
  <si>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</si>
  <si>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</si>
  <si>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</si>
  <si>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</si>
  <si>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</si>
  <si>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</si>
  <si>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</si>
  <si>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</si>
  <si>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</si>
  <si>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</si>
  <si>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</si>
  <si>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</si>
  <si>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</si>
  <si>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</si>
  <si>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</si>
  <si>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</si>
  <si>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</si>
  <si>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</si>
  <si>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</si>
  <si>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</si>
  <si>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</si>
  <si>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</si>
  <si>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</si>
  <si>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</si>
  <si>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</si>
  <si>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</si>
  <si>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</si>
  <si>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</si>
  <si>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</si>
  <si>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</si>
  <si>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</si>
  <si>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</si>
  <si>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</si>
  <si>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</si>
  <si>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</si>
  <si>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</si>
  <si>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</si>
  <si>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</si>
  <si>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</si>
  <si>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</si>
  <si>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</si>
  <si>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</si>
  <si>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</si>
  <si>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</si>
  <si>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</si>
  <si>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</si>
  <si>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</si>
  <si>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</si>
  <si>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</si>
  <si>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</si>
  <si>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</si>
  <si>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</si>
  <si>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</si>
  <si>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</si>
  <si>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</si>
  <si>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</si>
  <si>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</si>
  <si>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</si>
  <si>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</si>
  <si>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</si>
  <si>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</si>
  <si>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</si>
  <si>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</si>
  <si>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</si>
  <si>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</si>
  <si>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</si>
  <si>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</si>
  <si>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</si>
  <si>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</si>
  <si>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</si>
  <si>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</si>
  <si>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</si>
  <si>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</si>
  <si>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</si>
  <si>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</si>
  <si>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</si>
  <si>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</si>
  <si>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</si>
  <si>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</si>
  <si>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</si>
  <si>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</si>
  <si>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</si>
  <si>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</si>
  <si>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</si>
  <si>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</si>
  <si>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</si>
  <si>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</si>
  <si>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</si>
  <si>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</si>
  <si>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</si>
  <si>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</si>
  <si>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</si>
  <si>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</si>
  <si>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</si>
  <si>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</si>
  <si>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</si>
  <si>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</si>
  <si>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</si>
  <si>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</si>
  <si>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</si>
  <si>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</si>
  <si>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</si>
  <si>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</si>
  <si>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</si>
  <si>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</si>
  <si>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</si>
  <si>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</si>
  <si>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</si>
  <si>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</si>
  <si>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</si>
  <si>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</si>
  <si>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</si>
  <si>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</si>
  <si>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</si>
  <si>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</si>
  <si>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</si>
  <si>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</si>
  <si>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</si>
  <si>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</si>
  <si>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</si>
  <si>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</si>
  <si>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</si>
  <si>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</si>
  <si>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</si>
  <si>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</si>
  <si>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</si>
  <si>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</si>
  <si>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</si>
  <si>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</si>
  <si>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</si>
  <si>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</si>
  <si>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</si>
  <si>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</si>
  <si>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</si>
  <si>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</si>
  <si>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</si>
  <si>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</si>
  <si>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</si>
  <si>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</si>
  <si>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</si>
  <si>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</si>
  <si>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</si>
  <si>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</si>
  <si>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</si>
  <si>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</si>
  <si>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</si>
  <si>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</si>
  <si>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</si>
  <si>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</si>
  <si>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</si>
  <si>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</si>
  <si>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</si>
  <si>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</si>
  <si>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</si>
  <si>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</si>
  <si>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</si>
  <si>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</si>
  <si>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</si>
  <si>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</si>
  <si>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</si>
  <si>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</si>
  <si>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</si>
  <si>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</si>
  <si>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</si>
  <si>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</si>
  <si>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</si>
  <si>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</si>
  <si>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</si>
  <si>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</si>
  <si>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</si>
  <si>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</si>
  <si>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</si>
  <si>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</si>
  <si>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</si>
  <si>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</si>
  <si>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</si>
  <si>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</si>
  <si>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</si>
  <si>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</si>
  <si>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</si>
  <si>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</si>
  <si>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</si>
  <si>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</si>
  <si>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</si>
  <si>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</si>
  <si>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</si>
  <si>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</si>
  <si>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</si>
  <si>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</si>
  <si>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</si>
  <si>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</si>
  <si>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</si>
  <si>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</si>
  <si>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</si>
  <si>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</si>
  <si>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</si>
  <si>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</si>
  <si>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</si>
  <si>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</si>
  <si>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</si>
  <si>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</si>
  <si>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</si>
  <si>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</si>
  <si>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</si>
  <si>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</si>
  <si>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</si>
  <si>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</si>
  <si>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</si>
  <si>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</si>
  <si>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</si>
  <si>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</si>
  <si>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</si>
  <si>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</si>
  <si>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</si>
  <si>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</si>
  <si>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</si>
  <si>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</si>
  <si>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</si>
  <si>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</si>
  <si>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</si>
  <si>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</si>
  <si>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</si>
  <si>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</si>
  <si>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</si>
  <si>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</si>
  <si>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</si>
  <si>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</si>
  <si>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</si>
  <si>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</si>
  <si>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</si>
  <si>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</si>
  <si>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</si>
  <si>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</si>
  <si>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</si>
  <si>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</si>
  <si>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</si>
  <si>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</si>
  <si>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</si>
  <si>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</si>
  <si>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</si>
  <si>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</si>
  <si>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</si>
  <si>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</si>
  <si>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</si>
  <si>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</si>
  <si>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</si>
  <si>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</si>
  <si>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</si>
  <si>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</si>
  <si>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</si>
  <si>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</si>
  <si>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</si>
  <si>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</si>
  <si>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</si>
  <si>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</si>
  <si>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</si>
  <si>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</si>
  <si>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</si>
  <si>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</si>
  <si>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</si>
  <si>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</si>
  <si>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</si>
  <si>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</si>
  <si>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</si>
  <si>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</si>
  <si>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</si>
  <si>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</si>
  <si>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</si>
  <si>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</si>
  <si>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</si>
  <si>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</si>
  <si>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</si>
  <si>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</si>
  <si>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</si>
  <si>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</si>
  <si>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</si>
  <si>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</si>
  <si>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</si>
  <si>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</si>
  <si>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</si>
  <si>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</si>
  <si>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</si>
  <si>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</si>
  <si>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</si>
  <si>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</si>
  <si>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</si>
  <si>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</si>
  <si>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</si>
  <si>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</si>
  <si>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</si>
  <si>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</si>
  <si>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</si>
  <si>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</si>
  <si>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</si>
  <si>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</si>
  <si>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</si>
  <si>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</si>
  <si>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</si>
  <si>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</si>
  <si>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</si>
  <si>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</si>
  <si>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</si>
  <si>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</si>
  <si>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</si>
  <si>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</si>
  <si>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</si>
  <si>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</si>
  <si>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</si>
  <si>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</si>
  <si>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</si>
  <si>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</si>
  <si>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</si>
  <si>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</si>
  <si>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</si>
  <si>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</si>
  <si>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</si>
  <si>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</si>
  <si>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</si>
  <si>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</si>
  <si>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</si>
  <si>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</si>
  <si>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</si>
  <si>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</si>
  <si>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</si>
  <si>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</si>
  <si>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</si>
  <si>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</si>
  <si>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</si>
  <si>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</si>
  <si>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</si>
  <si>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</si>
  <si>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</si>
  <si>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</si>
  <si>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</si>
  <si>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</si>
  <si>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</si>
  <si>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</si>
  <si>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</si>
  <si>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</si>
  <si>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</si>
  <si>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</si>
  <si>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</si>
  <si>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</si>
  <si>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</si>
  <si>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</si>
  <si>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</si>
  <si>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</si>
  <si>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</si>
  <si>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</si>
  <si>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</si>
  <si>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</si>
  <si>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</si>
  <si>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</si>
  <si>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</si>
  <si>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</si>
  <si>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</si>
  <si>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</si>
  <si>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</si>
  <si>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</si>
  <si>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</si>
  <si>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</si>
  <si>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</si>
  <si>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</si>
  <si>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</si>
  <si>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</si>
  <si>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</si>
  <si>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</si>
  <si>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</si>
  <si>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</si>
  <si>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</si>
  <si>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</si>
  <si>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</si>
  <si>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</si>
  <si>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</si>
  <si>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</si>
  <si>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</si>
  <si>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</si>
  <si>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</si>
  <si>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</si>
  <si>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</si>
  <si>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</si>
  <si>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</si>
  <si>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</si>
  <si>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</si>
  <si>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</si>
  <si>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</si>
  <si>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</si>
  <si>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</si>
  <si>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</si>
  <si>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</si>
  <si>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</si>
  <si>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</si>
  <si>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</si>
  <si>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</si>
  <si>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</si>
  <si>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</si>
  <si>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</si>
  <si>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</si>
  <si>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</si>
  <si>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</si>
  <si>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</si>
  <si>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</si>
  <si>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</si>
  <si>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</si>
  <si>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</si>
  <si>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</si>
  <si>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</si>
  <si>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</si>
  <si>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</si>
  <si>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</si>
  <si>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</si>
  <si>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</si>
  <si>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</si>
  <si>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</si>
  <si>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</si>
  <si>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</si>
  <si>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</si>
  <si>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</si>
  <si>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</si>
  <si>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</si>
  <si>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</si>
  <si>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</si>
  <si>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</si>
  <si>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</si>
  <si>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</si>
  <si>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</si>
  <si>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</si>
  <si>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</si>
  <si>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</si>
  <si>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</si>
  <si>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</si>
  <si>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</si>
  <si>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</si>
  <si>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</si>
  <si>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</si>
  <si>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</si>
  <si>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</si>
  <si>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</si>
  <si>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</si>
  <si>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</si>
  <si>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</si>
  <si>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</si>
  <si>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</si>
  <si>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</si>
  <si>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</si>
  <si>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</si>
  <si>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</si>
  <si>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</si>
  <si>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</si>
  <si>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</si>
  <si>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</si>
  <si>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</si>
  <si>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</si>
  <si>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</si>
  <si>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</si>
  <si>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</si>
  <si>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</si>
  <si>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</si>
  <si>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</si>
  <si>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</si>
  <si>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</si>
  <si>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</si>
  <si>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</si>
  <si>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</si>
  <si>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</si>
  <si>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</si>
  <si>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</si>
  <si>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</si>
  <si>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</si>
  <si>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</si>
  <si>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</si>
  <si>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</si>
  <si>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</si>
  <si>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</si>
  <si>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</si>
  <si>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</si>
  <si>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</si>
  <si>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</si>
  <si>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</si>
  <si>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</si>
  <si>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</si>
  <si>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</si>
  <si>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</si>
  <si>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</si>
  <si>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</si>
  <si>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</si>
  <si>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</si>
  <si>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</si>
  <si>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</si>
  <si>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</si>
  <si>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</si>
  <si>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</si>
  <si>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</si>
  <si>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</si>
  <si>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</si>
  <si>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</si>
  <si>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</si>
  <si>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</si>
  <si>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</si>
  <si>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</si>
  <si>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</si>
  <si>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</si>
  <si>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</si>
  <si>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</si>
  <si>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</si>
  <si>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</si>
  <si>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</si>
  <si>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</si>
  <si>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</si>
  <si>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</si>
  <si>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</si>
  <si>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</si>
  <si>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</si>
  <si>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</si>
  <si>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</si>
  <si>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</si>
  <si>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</si>
  <si>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</si>
  <si>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</si>
  <si>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</si>
  <si>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</si>
  <si>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</si>
  <si>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</si>
  <si>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</si>
  <si>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</si>
  <si>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</si>
  <si>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</si>
  <si>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</si>
  <si>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</si>
  <si>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</si>
  <si>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</si>
  <si>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</si>
  <si>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</si>
  <si>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</si>
  <si>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</si>
  <si>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</si>
  <si>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</si>
  <si>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</si>
  <si>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</si>
  <si>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</si>
  <si>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</si>
  <si>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</si>
  <si>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</si>
  <si>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</si>
  <si>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</si>
  <si>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</si>
  <si>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</si>
  <si>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</si>
  <si>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</si>
  <si>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</si>
  <si>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</si>
  <si>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</si>
  <si>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</si>
  <si>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</si>
  <si>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</si>
  <si>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</si>
  <si>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</si>
  <si>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</si>
  <si>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</si>
  <si>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</si>
  <si>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</si>
  <si>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</si>
  <si>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</si>
  <si>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</si>
  <si>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</si>
  <si>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</si>
  <si>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</si>
  <si>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</si>
  <si>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</si>
  <si>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</si>
  <si>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</si>
  <si>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</si>
  <si>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</si>
  <si>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</si>
  <si>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</si>
  <si>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</si>
  <si>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</si>
  <si>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</si>
  <si>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</si>
  <si>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</si>
  <si>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</si>
  <si>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</si>
  <si>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</si>
  <si>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</si>
  <si>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</si>
  <si>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</si>
  <si>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</si>
  <si>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</si>
  <si>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</si>
  <si>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</si>
  <si>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</si>
  <si>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</si>
  <si>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</si>
  <si>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</si>
  <si>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</si>
  <si>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</si>
  <si>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</si>
  <si>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</si>
  <si>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</si>
  <si>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</si>
  <si>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</si>
  <si>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</si>
  <si>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</si>
  <si>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</si>
  <si>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</si>
  <si>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</si>
  <si>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</si>
  <si>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</si>
  <si>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</si>
  <si>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</si>
  <si>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</si>
  <si>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</si>
  <si>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</si>
  <si>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</si>
  <si>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</si>
  <si>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</si>
  <si>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</si>
  <si>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</si>
  <si>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</si>
  <si>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</si>
  <si>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</si>
  <si>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</si>
  <si>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</si>
  <si>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</si>
  <si>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</si>
  <si>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</si>
  <si>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</si>
  <si>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</si>
  <si>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</si>
  <si>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</si>
  <si>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</si>
  <si>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</si>
  <si>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</si>
  <si>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</si>
  <si>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</si>
  <si>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</si>
  <si>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</si>
  <si>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</si>
  <si>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</si>
  <si>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</si>
  <si>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</si>
  <si>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</si>
  <si>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</si>
  <si>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</si>
  <si>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</si>
  <si>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</si>
  <si>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</si>
  <si>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</si>
  <si>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</si>
  <si>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</si>
  <si>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</si>
  <si>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</si>
  <si>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</si>
  <si>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</si>
  <si>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</si>
  <si>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</si>
  <si>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</si>
  <si>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</si>
  <si>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</si>
  <si>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</si>
  <si>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</si>
  <si>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</si>
  <si>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</si>
  <si>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</si>
  <si>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</si>
  <si>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</si>
  <si>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</si>
  <si>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</si>
  <si>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</si>
  <si>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</si>
  <si>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</si>
  <si>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</si>
  <si>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</si>
  <si>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</si>
  <si>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</si>
  <si>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</si>
  <si>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</si>
  <si>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</si>
  <si>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</si>
  <si>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</si>
  <si>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</si>
  <si>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</si>
  <si>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</si>
  <si>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</si>
  <si>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</si>
  <si>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</si>
  <si>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</si>
  <si>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</si>
  <si>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</si>
  <si>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</si>
  <si>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</si>
  <si>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</si>
  <si>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</si>
  <si>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</si>
  <si>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</si>
  <si>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</si>
  <si>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</si>
  <si>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</si>
  <si>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</si>
  <si>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</si>
  <si>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</si>
  <si>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</si>
  <si>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</si>
  <si>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</si>
  <si>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</si>
  <si>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</si>
  <si>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</si>
  <si>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</si>
  <si>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</si>
  <si>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</si>
  <si>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</si>
  <si>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</si>
  <si>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</si>
  <si>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</si>
  <si>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</si>
  <si>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</si>
  <si>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</si>
  <si>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</si>
  <si>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</si>
  <si>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</si>
  <si>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</si>
  <si>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</si>
  <si>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</si>
  <si>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</si>
  <si>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</si>
  <si>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</si>
  <si>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</si>
  <si>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</si>
  <si>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</si>
  <si>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</si>
  <si>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</si>
  <si>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</si>
  <si>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</si>
  <si>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</si>
  <si>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</si>
  <si>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</si>
  <si>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</si>
  <si>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</si>
  <si>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</si>
  <si>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</si>
  <si>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</si>
  <si>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</si>
  <si>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</si>
  <si>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</si>
  <si>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</si>
  <si>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</si>
  <si>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</si>
  <si>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</si>
  <si>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</si>
  <si>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</si>
  <si>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</si>
  <si>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</si>
  <si>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</si>
  <si>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</si>
  <si>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</si>
  <si>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</si>
  <si>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</si>
  <si>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</si>
  <si>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</si>
  <si>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</si>
  <si>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</si>
  <si>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</si>
  <si>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</si>
  <si>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</si>
  <si>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</si>
  <si>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</si>
  <si>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</si>
  <si>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</si>
  <si>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</si>
  <si>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</si>
  <si>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</si>
  <si>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</si>
  <si>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</si>
  <si>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</si>
  <si>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</si>
  <si>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</si>
  <si>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</si>
  <si>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</si>
  <si>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</si>
  <si>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</si>
  <si>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</si>
  <si>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</si>
  <si>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</si>
  <si>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</si>
  <si>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</si>
  <si>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</si>
  <si>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</si>
  <si>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</si>
  <si>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</si>
  <si>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</si>
  <si>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</si>
  <si>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</si>
  <si>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</si>
  <si>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</si>
  <si>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</si>
  <si>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</si>
  <si>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</si>
  <si>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</si>
  <si>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</si>
  <si>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</si>
  <si>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</si>
  <si>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</si>
  <si>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</si>
  <si>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</si>
  <si>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</si>
  <si>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</si>
  <si>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</si>
  <si>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</si>
  <si>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</si>
  <si>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</si>
  <si>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</si>
  <si>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</si>
  <si>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</si>
  <si>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</si>
  <si>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</si>
  <si>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</si>
  <si>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</si>
  <si>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</si>
  <si>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</si>
  <si>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</si>
  <si>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</si>
  <si>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</si>
  <si>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</si>
  <si>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</si>
  <si>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</si>
  <si>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</si>
  <si>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</si>
  <si>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</si>
  <si>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</si>
  <si>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</si>
  <si>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</si>
  <si>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</si>
  <si>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</si>
  <si>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</si>
  <si>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</si>
  <si>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</si>
  <si>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</si>
  <si>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</si>
  <si>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</si>
  <si>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</si>
  <si>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</si>
  <si>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</si>
  <si>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</si>
  <si>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</si>
  <si>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</si>
  <si>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</si>
  <si>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</si>
  <si>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</si>
  <si>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</si>
  <si>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</si>
  <si>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</si>
  <si>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</si>
  <si>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</si>
  <si>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</si>
  <si>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</si>
  <si>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</si>
  <si>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</si>
  <si>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</si>
  <si>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</si>
  <si>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</si>
  <si>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</si>
  <si>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</si>
  <si>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</si>
  <si>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</si>
  <si>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</si>
  <si>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</si>
  <si>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</si>
  <si>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</si>
  <si>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</si>
  <si>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</si>
  <si>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</si>
  <si>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</si>
  <si>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</si>
  <si>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</si>
  <si>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</si>
  <si>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</si>
  <si>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</si>
  <si>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</si>
  <si>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</si>
  <si>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</si>
  <si>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</si>
  <si>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</si>
  <si>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</si>
  <si>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</si>
  <si>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</si>
  <si>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</si>
  <si>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</si>
  <si>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</si>
  <si>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</si>
  <si>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</si>
  <si>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</si>
  <si>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</si>
  <si>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</si>
  <si>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</si>
  <si>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</si>
  <si>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</si>
  <si>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</si>
  <si>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</si>
  <si>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</si>
  <si>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</si>
  <si>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</si>
  <si>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</si>
  <si>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</si>
  <si>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</si>
  <si>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</si>
  <si>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</si>
  <si>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</si>
  <si>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</si>
  <si>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</si>
  <si>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</si>
  <si>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</si>
  <si>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</si>
  <si>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</si>
  <si>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</si>
  <si>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</si>
  <si>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</si>
  <si>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</si>
  <si>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</si>
  <si>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</si>
  <si>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</si>
  <si>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</si>
  <si>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</si>
  <si>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</si>
  <si>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</si>
  <si>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</si>
  <si>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</si>
  <si>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</si>
  <si>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</si>
  <si>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</si>
  <si>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</si>
  <si>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</si>
  <si>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</si>
  <si>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</si>
  <si>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</si>
  <si>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</si>
  <si>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</si>
  <si>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</si>
  <si>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</si>
  <si>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</si>
  <si>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</si>
  <si>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</si>
  <si>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</si>
  <si>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</si>
  <si>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</si>
  <si>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</si>
  <si>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</si>
  <si>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</si>
  <si>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</si>
  <si>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</si>
  <si>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</si>
  <si>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</si>
  <si>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</si>
  <si>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</si>
  <si>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</si>
  <si>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</si>
  <si>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</si>
  <si>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</si>
  <si>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</si>
  <si>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</si>
  <si>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</si>
  <si>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</si>
  <si>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</si>
  <si>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</si>
  <si>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</si>
  <si>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</si>
  <si>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</si>
  <si>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</si>
  <si>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</si>
  <si>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</si>
  <si>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</si>
  <si>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</si>
  <si>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</si>
  <si>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</si>
  <si>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</si>
  <si>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</si>
  <si>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</si>
  <si>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</si>
  <si>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</si>
  <si>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</si>
  <si>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</si>
  <si>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</si>
  <si>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</si>
  <si>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</si>
  <si>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</si>
  <si>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</si>
  <si>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</si>
  <si>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</si>
  <si>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</si>
  <si>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</si>
  <si>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</si>
  <si>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</si>
  <si>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</si>
  <si>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</si>
  <si>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</si>
  <si>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</si>
  <si>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</si>
  <si>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</si>
  <si>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</si>
  <si>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</si>
  <si>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</si>
  <si>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</si>
  <si>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</si>
  <si>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</si>
  <si>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</si>
  <si>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</si>
  <si>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</si>
  <si>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</si>
  <si>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</si>
  <si>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</si>
  <si>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</si>
  <si>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</si>
  <si>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</si>
  <si>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</si>
  <si>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</si>
  <si>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</si>
  <si>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</si>
  <si>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</si>
  <si>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</si>
  <si>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</si>
  <si>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</si>
  <si>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</si>
  <si>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</si>
  <si>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</si>
  <si>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</si>
  <si>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</si>
  <si>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</si>
  <si>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</si>
  <si>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</si>
  <si>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</si>
  <si>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</si>
  <si>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</si>
  <si>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</si>
  <si>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</si>
  <si>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</si>
  <si>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</si>
  <si>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</si>
  <si>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</si>
  <si>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</si>
  <si>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</si>
  <si>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</si>
  <si>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</si>
  <si>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</si>
  <si>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</si>
  <si>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</si>
  <si>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</si>
  <si>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</si>
  <si>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</si>
  <si>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</si>
  <si>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</si>
  <si>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</si>
  <si>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</si>
  <si>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</si>
  <si>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</si>
  <si>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</si>
  <si>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</si>
  <si>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</si>
  <si>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</si>
  <si>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</si>
  <si>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</si>
  <si>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</si>
  <si>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</si>
  <si>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</si>
  <si>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</si>
  <si>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</si>
  <si>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</si>
  <si>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</si>
  <si>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</si>
  <si>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</si>
  <si>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</si>
  <si>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</si>
  <si>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</si>
  <si>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</si>
  <si>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</si>
  <si>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</si>
  <si>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</si>
  <si>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</si>
  <si>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</si>
  <si>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</si>
  <si>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</si>
  <si>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</si>
  <si>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</si>
  <si>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</si>
  <si>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</si>
  <si>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</si>
  <si>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</si>
  <si>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</si>
  <si>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</si>
  <si>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</si>
  <si>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</si>
  <si>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</si>
  <si>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</si>
  <si>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</si>
  <si>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</si>
  <si>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</si>
  <si>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</si>
  <si>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</si>
  <si>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</si>
  <si>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</si>
  <si>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</si>
  <si>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</si>
  <si>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</si>
  <si>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</si>
  <si>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</si>
  <si>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</si>
  <si>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</si>
  <si>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</si>
  <si>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</si>
  <si>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</si>
  <si>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</si>
  <si>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</si>
  <si>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</si>
  <si>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</si>
  <si>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</si>
  <si>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</si>
  <si>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</si>
  <si>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</si>
  <si>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</si>
  <si>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</si>
  <si>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</si>
  <si>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</si>
  <si>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</si>
  <si>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</si>
  <si>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</si>
  <si>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</si>
  <si>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</si>
  <si>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</si>
  <si>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</si>
  <si>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</si>
  <si>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</si>
  <si>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</si>
  <si>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</si>
  <si>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</si>
  <si>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</si>
  <si>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</si>
  <si>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</si>
  <si>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</si>
  <si>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</si>
  <si>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</si>
  <si>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</si>
  <si>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</si>
  <si>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</si>
  <si>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</si>
  <si>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</si>
  <si>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</si>
  <si>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</si>
  <si>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</si>
  <si>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</si>
  <si>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</si>
  <si>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</si>
  <si>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</si>
  <si>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</si>
  <si>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</si>
  <si>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</si>
  <si>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</si>
  <si>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</si>
  <si>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</si>
  <si>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</si>
  <si>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</si>
  <si>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</si>
  <si>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</si>
  <si>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</si>
  <si>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</si>
  <si>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</si>
  <si>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</si>
  <si>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</si>
  <si>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</si>
  <si>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</si>
  <si>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</si>
  <si>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</si>
  <si>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</si>
  <si>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</si>
  <si>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</si>
  <si>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</si>
  <si>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</si>
  <si>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</si>
  <si>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</si>
  <si>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</si>
  <si>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</si>
  <si>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</si>
  <si>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</si>
  <si>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</si>
  <si>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</si>
  <si>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</si>
  <si>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</si>
  <si>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</si>
  <si>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</si>
  <si>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</si>
  <si>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</si>
  <si>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</si>
  <si>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</si>
  <si>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</si>
  <si>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</si>
  <si>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</si>
  <si>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</si>
  <si>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</si>
  <si>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</si>
  <si>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</si>
  <si>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</si>
  <si>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</si>
  <si>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</si>
  <si>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</si>
  <si>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</si>
  <si>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</si>
  <si>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</si>
  <si>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</si>
  <si>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</si>
  <si>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</si>
  <si>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</si>
  <si>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</si>
  <si>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</si>
  <si>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</si>
  <si>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</si>
  <si>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</si>
  <si>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</si>
  <si>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</si>
  <si>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</si>
  <si>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</si>
  <si>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</si>
  <si>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</si>
  <si>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</si>
  <si>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</si>
  <si>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</si>
  <si>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</si>
  <si>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</si>
  <si>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</si>
  <si>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</si>
  <si>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</si>
  <si>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</si>
  <si>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</si>
  <si>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</si>
  <si>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</si>
  <si>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</si>
  <si>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</si>
  <si>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</si>
  <si>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</si>
  <si>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</si>
  <si>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</si>
  <si>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</si>
  <si>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</si>
  <si>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</si>
  <si>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</si>
  <si>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</si>
  <si>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</si>
  <si>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</si>
  <si>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</si>
  <si>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</si>
  <si>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</si>
  <si>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</si>
  <si>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</si>
  <si>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</si>
  <si>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</si>
  <si>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</si>
  <si>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</si>
  <si>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</si>
  <si>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</si>
  <si>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</si>
  <si>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</si>
  <si>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</si>
  <si>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</si>
  <si>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</si>
  <si>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</si>
  <si>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</si>
  <si>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</si>
  <si>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</si>
  <si>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</si>
  <si>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</si>
  <si>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</si>
  <si>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</si>
  <si>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</si>
  <si>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</si>
  <si>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</si>
  <si>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</si>
  <si>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</si>
  <si>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</si>
  <si>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</si>
  <si>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</si>
  <si>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</si>
  <si>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</si>
  <si>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</si>
  <si>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</si>
  <si>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</si>
  <si>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</si>
  <si>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</si>
  <si>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</si>
  <si>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</si>
  <si>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</si>
  <si>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</si>
  <si>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</si>
  <si>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</si>
  <si>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</si>
  <si>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</si>
  <si>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</si>
  <si>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</si>
  <si>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</si>
  <si>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</si>
  <si>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</si>
  <si>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</si>
  <si>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</si>
  <si>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</si>
  <si>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</si>
  <si>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</si>
  <si>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</si>
  <si>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</si>
  <si>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</si>
  <si>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</si>
  <si>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</si>
  <si>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</si>
  <si>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</si>
  <si>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</si>
  <si>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</si>
  <si>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</si>
  <si>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</si>
  <si>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</si>
  <si>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</si>
  <si>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</si>
  <si>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</si>
  <si>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</si>
  <si>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</si>
  <si>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</si>
  <si>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</si>
  <si>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</si>
  <si>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</si>
  <si>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</si>
  <si>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</si>
  <si>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</si>
  <si>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</si>
  <si>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</si>
  <si>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</si>
  <si>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</si>
  <si>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</si>
  <si>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</si>
  <si>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</si>
  <si>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</si>
  <si>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</si>
  <si>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</si>
  <si>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</si>
  <si>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</si>
  <si>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</si>
  <si>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</si>
  <si>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</si>
  <si>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</si>
  <si>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</si>
  <si>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</si>
  <si>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</si>
  <si>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</si>
  <si>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</si>
  <si>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</si>
  <si>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</si>
  <si>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</si>
  <si>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</si>
  <si>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</si>
  <si>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</si>
  <si>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</si>
  <si>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</si>
  <si>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</si>
  <si>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</si>
  <si>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</si>
  <si>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</si>
  <si>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</si>
  <si>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</si>
  <si>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</si>
  <si>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</si>
  <si>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</si>
  <si>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</si>
  <si>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</si>
  <si>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</si>
  <si>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</si>
  <si>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</si>
  <si>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</si>
  <si>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</si>
  <si>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</si>
  <si>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</si>
  <si>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</si>
  <si>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</si>
  <si>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</si>
  <si>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</si>
  <si>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</si>
  <si>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</si>
  <si>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</si>
  <si>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</si>
  <si>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</si>
  <si>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</si>
  <si>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</si>
  <si>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</si>
  <si>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</si>
  <si>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</si>
  <si>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</si>
  <si>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</si>
  <si>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</si>
  <si>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</si>
  <si>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</si>
  <si>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</si>
  <si>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</si>
  <si>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</si>
  <si>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</si>
  <si>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</si>
  <si>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</si>
  <si>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</si>
  <si>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</si>
  <si>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</si>
  <si>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</si>
  <si>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</si>
  <si>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</si>
  <si>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</si>
  <si>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</si>
  <si>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</si>
  <si>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</si>
  <si>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</si>
  <si>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</si>
  <si>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</si>
  <si>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</si>
  <si>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</si>
  <si>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</si>
  <si>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</si>
  <si>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</si>
  <si>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</si>
  <si>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</si>
  <si>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</si>
  <si>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</si>
  <si>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</si>
  <si>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</si>
  <si>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</si>
  <si>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</si>
  <si>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</si>
  <si>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</si>
  <si>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</si>
  <si>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</si>
  <si>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</si>
  <si>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</si>
  <si>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</si>
  <si>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</si>
  <si>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</si>
  <si>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</si>
  <si>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</si>
  <si>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</si>
  <si>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</si>
  <si>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</si>
  <si>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</si>
  <si>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</si>
  <si>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</si>
  <si>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</si>
  <si>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</si>
  <si>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</si>
  <si>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</si>
  <si>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</si>
  <si>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</si>
  <si>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</si>
  <si>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</si>
  <si>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</si>
  <si>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</si>
  <si>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</si>
  <si>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</si>
  <si>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</si>
  <si>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</si>
  <si>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</si>
  <si>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</si>
  <si>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</si>
  <si>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</si>
  <si>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</si>
  <si>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</si>
  <si>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</si>
  <si>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</si>
  <si>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</si>
  <si>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</si>
  <si>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</si>
  <si>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</si>
  <si>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</si>
  <si>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</si>
  <si>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</si>
  <si>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</si>
  <si>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</si>
  <si>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</si>
  <si>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</si>
  <si>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</si>
  <si>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</si>
  <si>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</si>
  <si>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</si>
  <si>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</si>
  <si>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</si>
  <si>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</si>
  <si>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</si>
  <si>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</si>
  <si>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</si>
  <si>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</si>
  <si>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</si>
  <si>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</si>
  <si>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</si>
  <si>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</si>
  <si>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</si>
  <si>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</si>
  <si>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</si>
  <si>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</si>
  <si>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</si>
  <si>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</si>
  <si>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</si>
  <si>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</si>
  <si>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</si>
  <si>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</si>
  <si>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</si>
  <si>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</si>
  <si>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</si>
  <si>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</si>
  <si>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</si>
  <si>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</si>
  <si>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</si>
  <si>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</si>
  <si>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</si>
  <si>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</si>
  <si>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</si>
  <si>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</si>
  <si>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</si>
  <si>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</si>
  <si>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</si>
  <si>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</si>
  <si>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</si>
  <si>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</si>
  <si>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</si>
  <si>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</si>
  <si>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</si>
  <si>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</si>
  <si>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</si>
  <si>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</si>
  <si>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</si>
  <si>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</si>
  <si>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</si>
  <si>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</si>
  <si>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</si>
  <si>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</si>
  <si>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</si>
  <si>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</si>
  <si>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</si>
  <si>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</si>
  <si>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</si>
  <si>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</si>
  <si>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</si>
  <si>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</si>
  <si>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</si>
  <si>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</si>
  <si>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</si>
  <si>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</si>
  <si>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</si>
  <si>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</si>
  <si>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</si>
  <si>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</si>
  <si>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</si>
  <si>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</si>
  <si>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</si>
  <si>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</si>
  <si>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</si>
  <si>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</si>
  <si>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</si>
  <si>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</si>
  <si>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</si>
  <si>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</si>
  <si>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</si>
  <si>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</si>
  <si>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</si>
  <si>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</si>
  <si>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</si>
  <si>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</si>
  <si>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</si>
  <si>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</si>
  <si>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</si>
  <si>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</si>
  <si>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</si>
  <si>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</si>
  <si>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</si>
  <si>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</si>
  <si>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</si>
  <si>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</si>
  <si>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</si>
  <si>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</si>
  <si>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</si>
  <si>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</si>
  <si>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</si>
  <si>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</si>
  <si>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</si>
  <si>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</si>
  <si>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</si>
  <si>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</si>
  <si>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</si>
  <si>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</si>
  <si>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</si>
  <si>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</si>
  <si>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</si>
  <si>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</si>
  <si>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</si>
  <si>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</si>
  <si>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</si>
  <si>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</si>
  <si>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</si>
  <si>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</si>
  <si>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</si>
  <si>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</si>
  <si>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</si>
  <si>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</si>
  <si>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</si>
  <si>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</si>
  <si>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</si>
  <si>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</si>
  <si>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</si>
  <si>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</si>
  <si>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</si>
  <si>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</si>
  <si>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</si>
  <si>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</si>
  <si>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</si>
  <si>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</si>
  <si>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</si>
  <si>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</si>
  <si>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</si>
  <si>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</si>
  <si>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</si>
  <si>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</si>
  <si>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</si>
  <si>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</si>
  <si>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</si>
  <si>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</si>
  <si>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</si>
  <si>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</si>
  <si>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</si>
  <si>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</si>
  <si>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</si>
  <si>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</si>
  <si>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</si>
  <si>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</si>
  <si>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</si>
  <si>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</si>
  <si>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</si>
  <si>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</si>
  <si>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</si>
  <si>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</si>
  <si>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</si>
  <si>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</si>
  <si>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</si>
  <si>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</si>
  <si>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</si>
  <si>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</si>
  <si>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</si>
  <si>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</si>
  <si>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</si>
  <si>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</si>
  <si>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</si>
  <si>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</si>
  <si>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</si>
  <si>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</si>
  <si>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</si>
  <si>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</si>
  <si>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</si>
  <si>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</si>
  <si>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</si>
  <si>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</si>
  <si>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</si>
  <si>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</si>
  <si>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</si>
  <si>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</si>
  <si>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</si>
  <si>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</si>
  <si>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</si>
  <si>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</si>
  <si>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</si>
  <si>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</si>
  <si>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</si>
  <si>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</si>
  <si>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</si>
  <si>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</si>
  <si>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</si>
  <si>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</si>
  <si>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</si>
  <si>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</si>
  <si>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</si>
  <si>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</si>
  <si>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</si>
  <si>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</si>
  <si>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</si>
  <si>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</si>
  <si>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</si>
  <si>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</si>
  <si>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</si>
  <si>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</si>
  <si>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</si>
  <si>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</si>
  <si>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</si>
  <si>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</si>
  <si>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</si>
  <si>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</si>
  <si>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</si>
  <si>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</si>
  <si>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</si>
  <si>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</si>
  <si>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</si>
  <si>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</si>
  <si>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</si>
  <si>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</si>
  <si>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</si>
  <si>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</si>
  <si>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</si>
  <si>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</si>
  <si>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</si>
  <si>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</si>
  <si>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</si>
  <si>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</si>
  <si>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</si>
  <si>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</si>
  <si>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</si>
  <si>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</si>
  <si>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</si>
  <si>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</si>
  <si>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</si>
  <si>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</si>
  <si>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</si>
  <si>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</si>
  <si>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</si>
  <si>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</si>
  <si>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</si>
  <si>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</si>
  <si>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</si>
  <si>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</si>
  <si>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</si>
  <si>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</si>
  <si>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</si>
  <si>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</si>
  <si>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</si>
  <si>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</si>
  <si>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</si>
  <si>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</si>
  <si>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</si>
  <si>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</si>
  <si>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</si>
  <si>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</si>
  <si>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</si>
  <si>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</si>
  <si>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</si>
  <si>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</si>
  <si>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</si>
  <si>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</si>
  <si>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</si>
  <si>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</si>
  <si>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</si>
  <si>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</si>
  <si>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</si>
  <si>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</si>
  <si>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</si>
  <si>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</si>
  <si>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</si>
  <si>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</si>
  <si>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</si>
  <si>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</si>
  <si>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</si>
  <si>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</si>
  <si>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</si>
  <si>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</si>
  <si>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</si>
  <si>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</si>
  <si>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</si>
  <si>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</si>
  <si>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</si>
  <si>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</si>
  <si>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</si>
  <si>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</si>
  <si>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</si>
  <si>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</si>
  <si>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</si>
  <si>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</si>
  <si>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</si>
  <si>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</si>
  <si>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</si>
  <si>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</si>
  <si>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</si>
  <si>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</si>
  <si>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</si>
  <si>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</si>
  <si>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</si>
  <si>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</si>
  <si>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</si>
  <si>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</si>
  <si>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</si>
  <si>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</si>
  <si>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</si>
  <si>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</si>
  <si>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</si>
  <si>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</si>
  <si>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</si>
  <si>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</si>
  <si>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</si>
  <si>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</si>
  <si>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</si>
  <si>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</si>
  <si>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</si>
  <si>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</si>
  <si>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</si>
  <si>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</si>
  <si>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</si>
  <si>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</si>
  <si>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</si>
  <si>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</si>
  <si>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</si>
  <si>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</si>
  <si>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</si>
  <si>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</si>
  <si>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</si>
  <si>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</si>
  <si>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</si>
  <si>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</si>
  <si>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</si>
  <si>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</si>
  <si>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</si>
  <si>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</si>
  <si>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</si>
  <si>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</si>
  <si>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</si>
  <si>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</si>
  <si>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</si>
  <si>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</si>
  <si>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</si>
  <si>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</si>
  <si>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</si>
  <si>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</si>
  <si>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</si>
  <si>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</si>
  <si>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</si>
  <si>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</si>
  <si>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</si>
  <si>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</si>
  <si>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</si>
  <si>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</si>
  <si>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</si>
  <si>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</si>
  <si>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</si>
  <si>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</si>
  <si>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</si>
  <si>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</si>
  <si>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</si>
  <si>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</si>
  <si>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</si>
  <si>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</si>
  <si>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</si>
  <si>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</si>
  <si>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</si>
  <si>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</si>
  <si>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</si>
  <si>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</si>
  <si>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</si>
  <si>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</si>
  <si>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</si>
  <si>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</si>
  <si>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</si>
  <si>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</si>
  <si>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</si>
  <si>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</si>
  <si>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</si>
  <si>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</si>
  <si>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</si>
  <si>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</si>
  <si>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</si>
  <si>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</si>
  <si>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</si>
  <si>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</si>
  <si>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</si>
  <si>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</si>
  <si>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</si>
  <si>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</si>
  <si>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</si>
  <si>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</si>
  <si>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</si>
  <si>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</si>
  <si>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</si>
  <si>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</si>
  <si>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</si>
  <si>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</si>
  <si>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</si>
  <si>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</si>
  <si>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</si>
  <si>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</si>
  <si>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</si>
  <si>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</si>
  <si>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</si>
  <si>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</si>
  <si>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</si>
  <si>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</si>
  <si>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</si>
  <si>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</si>
  <si>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</si>
  <si>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</si>
  <si>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</si>
  <si>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</si>
  <si>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</si>
  <si>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</si>
  <si>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</si>
  <si>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</si>
  <si>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</si>
  <si>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</si>
  <si>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</si>
  <si>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</si>
  <si>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</si>
  <si>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</si>
  <si>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</si>
  <si>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</si>
  <si>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</si>
  <si>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</si>
  <si>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</si>
  <si>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</si>
  <si>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</si>
  <si>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</si>
  <si>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</si>
  <si>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</si>
  <si>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</si>
  <si>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</si>
  <si>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</si>
  <si>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</si>
  <si>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</si>
  <si>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</si>
  <si>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</si>
  <si>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</si>
  <si>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</si>
  <si>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</si>
  <si>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</si>
  <si>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</si>
  <si>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</si>
  <si>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</si>
  <si>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</si>
  <si>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</si>
  <si>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</si>
  <si>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</si>
  <si>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</si>
  <si>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</si>
  <si>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</si>
  <si>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</si>
  <si>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</si>
  <si>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</si>
  <si>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</si>
  <si>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</si>
  <si>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</si>
  <si>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</si>
  <si>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</si>
  <si>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</si>
  <si>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</si>
  <si>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</si>
  <si>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</si>
  <si>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</si>
  <si>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</si>
  <si>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</si>
  <si>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</si>
  <si>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</si>
  <si>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</si>
  <si>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</si>
  <si>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</si>
  <si>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</si>
  <si>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</si>
  <si>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</si>
  <si>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</si>
  <si>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</si>
  <si>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</si>
  <si>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</si>
  <si>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</si>
  <si>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</si>
  <si>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</si>
  <si>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</si>
  <si>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</si>
  <si>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</si>
  <si>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</si>
  <si>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</si>
  <si>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</si>
  <si>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</si>
  <si>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</si>
  <si>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</si>
  <si>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</si>
  <si>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</si>
  <si>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</si>
  <si>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</si>
  <si>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</si>
  <si>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</si>
  <si>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</si>
  <si>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</si>
  <si>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</si>
  <si>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</si>
  <si>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</si>
  <si>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</si>
  <si>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</si>
  <si>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</si>
  <si>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</si>
  <si>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</si>
  <si>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</si>
  <si>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</si>
  <si>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</si>
  <si>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</si>
  <si>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</si>
  <si>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</si>
  <si>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</si>
  <si>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</si>
  <si>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</si>
  <si>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</si>
  <si>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</si>
  <si>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</si>
  <si>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</si>
  <si>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</si>
  <si>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</si>
  <si>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</si>
  <si>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</si>
  <si>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</si>
  <si>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</si>
  <si>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</si>
  <si>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</si>
  <si>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</si>
  <si>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</si>
  <si>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</si>
  <si>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</si>
  <si>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</si>
  <si>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</si>
  <si>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</si>
  <si>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</si>
  <si>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</si>
  <si>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</si>
  <si>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</si>
  <si>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</si>
  <si>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</si>
  <si>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</si>
  <si>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</si>
  <si>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</si>
  <si>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</si>
  <si>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</si>
  <si>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</si>
  <si>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</si>
  <si>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</si>
  <si>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</si>
  <si>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</si>
  <si>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</si>
  <si>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</si>
  <si>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</si>
  <si>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</si>
  <si>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</si>
  <si>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</si>
  <si>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</si>
  <si>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</si>
  <si>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</si>
  <si>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</si>
  <si>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</si>
  <si>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</si>
  <si>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</si>
  <si>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</si>
  <si>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</si>
  <si>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</si>
  <si>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</si>
  <si>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</si>
  <si>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</si>
  <si>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</si>
  <si>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</si>
  <si>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</si>
  <si>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</si>
  <si>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</si>
  <si>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</si>
  <si>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</si>
  <si>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</si>
  <si>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</si>
  <si>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</si>
  <si>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</si>
  <si>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</si>
  <si>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</si>
  <si>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</si>
  <si>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</si>
  <si>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</si>
  <si>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</si>
  <si>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</si>
  <si>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</si>
  <si>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</si>
  <si>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</si>
  <si>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</si>
  <si>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</si>
  <si>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</si>
  <si>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</si>
  <si>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</si>
  <si>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</si>
  <si>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</si>
  <si>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</si>
  <si>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</si>
  <si>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</si>
  <si>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</si>
  <si>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</si>
  <si>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</si>
  <si>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</si>
  <si>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</si>
  <si>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</si>
  <si>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</si>
  <si>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</si>
  <si>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</si>
  <si>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</si>
  <si>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</si>
  <si>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</si>
  <si>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</si>
  <si>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</si>
  <si>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</si>
  <si>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</si>
  <si>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</si>
  <si>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</si>
  <si>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</si>
  <si>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</si>
  <si>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</si>
  <si>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</si>
  <si>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</si>
  <si>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</si>
  <si>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</si>
  <si>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</si>
  <si>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</si>
  <si>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</si>
  <si>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</si>
  <si>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</si>
  <si>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</si>
  <si>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</si>
  <si>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</si>
  <si>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</si>
  <si>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</si>
  <si>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</si>
  <si>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</si>
  <si>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</si>
  <si>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</si>
  <si>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</si>
  <si>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</si>
  <si>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</si>
  <si>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</si>
  <si>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</si>
  <si>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</si>
  <si>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</si>
  <si>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</si>
  <si>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</si>
  <si>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</si>
  <si>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</si>
  <si>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</si>
  <si>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</si>
  <si>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</si>
  <si>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</si>
  <si>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</si>
  <si>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</si>
  <si>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</si>
  <si>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</si>
  <si>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</si>
  <si>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</si>
  <si>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</si>
  <si>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</si>
  <si>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</si>
  <si>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</si>
  <si>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</si>
  <si>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</si>
  <si>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</si>
  <si>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</si>
  <si>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</si>
  <si>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</si>
  <si>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</si>
  <si>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</si>
  <si>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</si>
  <si>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</si>
  <si>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</si>
  <si>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</si>
  <si>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</si>
  <si>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</si>
  <si>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</si>
  <si>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</si>
  <si>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</si>
  <si>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</si>
  <si>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</si>
  <si>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</si>
  <si>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</si>
  <si>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</si>
  <si>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</si>
  <si>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</si>
  <si>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</si>
  <si>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</si>
  <si>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</si>
  <si>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</si>
  <si>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</si>
  <si>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</si>
  <si>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</si>
  <si>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</si>
  <si>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</si>
  <si>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</si>
  <si>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</si>
  <si>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</si>
  <si>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</si>
  <si>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</si>
  <si>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</si>
  <si>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</si>
  <si>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</si>
  <si>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</si>
  <si>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</si>
  <si>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</si>
  <si>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</si>
  <si>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</si>
  <si>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</si>
  <si>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</si>
  <si>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</si>
  <si>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</si>
  <si>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</si>
  <si>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</si>
  <si>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</si>
  <si>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</si>
  <si>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</si>
  <si>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</si>
  <si>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</si>
  <si>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</si>
  <si>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</si>
  <si>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</si>
  <si>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</si>
  <si>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</si>
  <si>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</si>
  <si>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</si>
  <si>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</si>
  <si>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</si>
  <si>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</si>
  <si>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</si>
  <si>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</si>
  <si>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</si>
  <si>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</si>
  <si>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</si>
  <si>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</si>
  <si>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</si>
  <si>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</si>
  <si>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</si>
  <si>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</si>
  <si>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</si>
  <si>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</si>
  <si>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</si>
  <si>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</si>
  <si>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</si>
  <si>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</si>
  <si>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</si>
  <si>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</si>
  <si>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</si>
  <si>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</si>
  <si>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</si>
  <si>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</si>
  <si>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</si>
  <si>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</si>
  <si>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</si>
  <si>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</si>
  <si>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</si>
  <si>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</si>
  <si>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</si>
  <si>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</si>
  <si>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</si>
  <si>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</si>
  <si>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</si>
  <si>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</si>
  <si>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</si>
  <si>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</si>
  <si>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</si>
  <si>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</si>
  <si>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</si>
  <si>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</si>
  <si>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</si>
  <si>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</si>
  <si>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</si>
  <si>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</si>
  <si>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</si>
  <si>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</si>
  <si>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</si>
  <si>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</si>
  <si>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</si>
  <si>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</si>
  <si>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</si>
  <si>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</si>
  <si>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</si>
  <si>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</si>
  <si>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</si>
  <si>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</si>
  <si>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</si>
  <si>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 xml:space="preserve">Values For Display </t>
  </si>
  <si>
    <t>Qty</t>
  </si>
  <si>
    <t>Avg. Days</t>
  </si>
  <si>
    <t xml:space="preserve">For Trends </t>
  </si>
  <si>
    <t>Row Labels</t>
  </si>
  <si>
    <t>(blank)</t>
  </si>
  <si>
    <t>Grand Total</t>
  </si>
  <si>
    <t>Column Labels</t>
  </si>
  <si>
    <t>Female</t>
  </si>
  <si>
    <t>Male</t>
  </si>
  <si>
    <t>Other</t>
  </si>
  <si>
    <t>Unknown</t>
  </si>
  <si>
    <t>For Matrix</t>
  </si>
  <si>
    <t>6 TO 10</t>
  </si>
  <si>
    <t>More than 10</t>
  </si>
  <si>
    <t>Order Qty Analysis</t>
  </si>
  <si>
    <t xml:space="preserve">Products By Qty </t>
  </si>
  <si>
    <t>Gender Split</t>
  </si>
  <si>
    <t>Geographical Analysis</t>
  </si>
  <si>
    <t xml:space="preserve">State </t>
  </si>
  <si>
    <t xml:space="preserve">County </t>
  </si>
  <si>
    <t>Map Chart (QTY)</t>
  </si>
  <si>
    <t>Map Chart (Amount)</t>
  </si>
  <si>
    <t xml:space="preserve">Days To deliver </t>
  </si>
  <si>
    <t xml:space="preserve">Customer satisfaction </t>
  </si>
  <si>
    <t>&lt;01-01-2025</t>
  </si>
  <si>
    <t>Jan</t>
  </si>
  <si>
    <t>Feb</t>
  </si>
  <si>
    <t>Mar</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</si>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</sst>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_-[$$-409]* #,##0.00_ ;_-[$$-409]* \-#,##0.00\ ;_-[$$-409]* &quot;-&quot;??_ ;_-@_ "/>
    <numFmt numFmtId="166" formatCode="_-[$$-409]* #,##0_ ;_-[$$-409]* \-#,##0\ ;_-[$$-409]* &quot;-&quot;??_ ;_-@_ "/>
    <numFmt numFmtId="167" formatCode="_-[$$-1009]* #,##0_-;\-[$$-1009]* #,##0_-;_-[$$-1009]* &quot;-&quot;_-;_-@_-"/>
    <numFmt numFmtId="168" formatCode="_-[$$-2809]* #,##0_-;\-[$$-2809]* #,##0_-;_-[$$-2809]* &quot;-&quot;_-;_-@_-"/>
    <numFmt numFmtId="169" formatCode="0.0%"/>
  </numFmts>
  <fonts count="5">
    <font>
      <sz val="11"/>
      <color theme="1"/>
      <name val="Aptos Narrow"/>
      <family val="2"/>
      <scheme val="minor"/>
    </font>
    <font>
      <b/>
      <sz val="11"/>
      <color theme="1"/>
      <name val="Aptos Narrow"/>
      <family val="2"/>
      <scheme val="minor"/>
    </font>
    <font>
      <sz val="11"/>
      <color theme="1"/>
      <name val="Times New Roman"/>
      <family val="1"/>
    </font>
    <font>
      <b/>
      <sz val="11"/>
      <color theme="1"/>
      <name val="Times New Roman"/>
      <family val="1"/>
    </font>
    <font>
      <sz val="11"/>
      <color theme="1"/>
      <name val="Aptos Display"/>
      <family val="2"/>
    </font>
  </fonts>
  <fills count="5">
    <fill>
      <patternFill patternType="none"/>
    </fill>
    <fill>
      <patternFill patternType="gray125"/>
    </fill>
    <fill>
      <patternFill patternType="solid">
        <fgColor theme="4"/>
        <bgColor indexed="64"/>
      </patternFill>
    </fill>
    <fill>
      <patternFill patternType="solid">
        <fgColor theme="1" tint="0.34998626667073579"/>
        <bgColor indexed="64"/>
      </patternFill>
    </fill>
    <fill>
      <patternFill patternType="solid">
        <fgColor theme="4" tint="0.79998168889431442"/>
        <bgColor theme="4" tint="0.79998168889431442"/>
      </patternFill>
    </fill>
  </fills>
  <borders count="3">
    <border>
      <left/>
      <right/>
      <top/>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right/>
      <top/>
      <bottom style="thin">
        <color theme="4" tint="0.39997558519241921"/>
      </bottom>
      <diagonal/>
    </border>
  </borders>
  <cellStyleXfs count="1">
    <xf numFmtId="0" fontId="0" fillId="0" borderId="0"/>
  </cellStyleXfs>
  <cellXfs count="28">
    <xf numFmtId="0" fontId="0" fillId="0" borderId="0" xfId="0"/>
    <xf numFmtId="0" fontId="2" fillId="0" borderId="0" xfId="0" applyFont="1"/>
    <xf numFmtId="0" fontId="2" fillId="3" borderId="0" xfId="0" applyFont="1" applyFill="1"/>
    <xf numFmtId="15" fontId="2" fillId="0" borderId="0" xfId="0" applyNumberFormat="1" applyFont="1"/>
    <xf numFmtId="0" fontId="2" fillId="0" borderId="0" xfId="0" applyFont="1" applyAlignment="1">
      <alignment horizontal="left" indent="1"/>
    </xf>
    <xf numFmtId="0" fontId="3" fillId="2" borderId="0" xfId="0" applyFont="1" applyFill="1"/>
    <xf numFmtId="0" fontId="1" fillId="2" borderId="0" xfId="0" applyFont="1" applyFill="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2" fillId="0" borderId="0" xfId="0" applyNumberFormat="1" applyFont="1"/>
    <xf numFmtId="166" fontId="2" fillId="0" borderId="0" xfId="0" applyNumberFormat="1" applyFont="1"/>
    <xf numFmtId="167" fontId="0" fillId="0" borderId="0" xfId="0" applyNumberFormat="1"/>
    <xf numFmtId="168" fontId="0" fillId="0" borderId="0" xfId="0" applyNumberFormat="1"/>
    <xf numFmtId="10" fontId="0" fillId="0" borderId="0" xfId="0" applyNumberFormat="1"/>
    <xf numFmtId="0" fontId="0" fillId="0" borderId="0" xfId="0" applyAlignment="1">
      <alignment horizontal="center" vertical="center"/>
    </xf>
    <xf numFmtId="10" fontId="0" fillId="0" borderId="0" xfId="0" applyNumberFormat="1" applyAlignment="1">
      <alignment horizontal="center" vertical="center"/>
    </xf>
    <xf numFmtId="0" fontId="3" fillId="0" borderId="1" xfId="0" applyFont="1" applyBorder="1" applyAlignment="1">
      <alignment horizontal="center" vertical="center"/>
    </xf>
    <xf numFmtId="169" fontId="3" fillId="0" borderId="1" xfId="0" applyNumberFormat="1" applyFont="1" applyBorder="1" applyAlignment="1">
      <alignment horizontal="center" vertical="center"/>
    </xf>
    <xf numFmtId="0" fontId="2" fillId="0" borderId="1" xfId="0" applyFont="1" applyBorder="1" applyAlignment="1">
      <alignment horizontal="center" vertical="center"/>
    </xf>
    <xf numFmtId="169" fontId="2" fillId="0" borderId="1" xfId="0" applyNumberFormat="1" applyFont="1" applyBorder="1" applyAlignment="1">
      <alignment horizontal="center" vertical="center"/>
    </xf>
    <xf numFmtId="0" fontId="0" fillId="0" borderId="0" xfId="0" pivotButton="1" applyAlignment="1">
      <alignment horizontal="center" vertical="center"/>
    </xf>
    <xf numFmtId="0" fontId="1" fillId="4" borderId="2" xfId="0" applyFont="1" applyFill="1" applyBorder="1"/>
    <xf numFmtId="0" fontId="1" fillId="0" borderId="0" xfId="0" applyFont="1"/>
    <xf numFmtId="0" fontId="1" fillId="0" borderId="2" xfId="0" applyFont="1" applyBorder="1"/>
    <xf numFmtId="166" fontId="0" fillId="0" borderId="0" xfId="0" applyNumberFormat="1"/>
    <xf numFmtId="0" fontId="4" fillId="0" borderId="0" xfId="0" applyFont="1"/>
  </cellXfs>
  <cellStyles count="1">
    <cellStyle name="Normal" xfId="0" builtinId="0"/>
  </cellStyles>
  <dxfs count="42">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70" formatCode="d\-mmm\-yy"/>
    </dxf>
    <dxf>
      <font>
        <strike val="0"/>
        <outline val="0"/>
        <shadow val="0"/>
        <u val="none"/>
        <vertAlign val="baseline"/>
        <sz val="11"/>
        <color theme="1"/>
        <name val="Times New Roman"/>
        <family val="1"/>
        <scheme val="none"/>
      </font>
      <numFmt numFmtId="170" formatCode="d\-mmm\-yy"/>
    </dxf>
    <dxf>
      <font>
        <strike val="0"/>
        <outline val="0"/>
        <shadow val="0"/>
        <u val="none"/>
        <vertAlign val="baseline"/>
        <sz val="11"/>
        <color theme="1"/>
        <name val="Times New Roman"/>
        <family val="1"/>
        <scheme val="none"/>
      </font>
      <numFmt numFmtId="165" formatCode="_-[$$-409]* #,##0.00_ ;_-[$$-409]* \-#,##0.00\ ;_-[$$-409]* &quot;-&quot;??_ ;_-@_ "/>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vertical="center"/>
    </dxf>
    <dxf>
      <alignment vertical="center"/>
    </dxf>
    <dxf>
      <alignment horizontal="center"/>
    </dxf>
    <dxf>
      <alignment horizontal="center"/>
    </dxf>
    <dxf>
      <numFmt numFmtId="164" formatCode="0.0"/>
    </dxf>
    <dxf>
      <numFmt numFmtId="1" formatCode="0"/>
    </dxf>
    <dxf>
      <numFmt numFmtId="168" formatCode="_-[$$-2809]* #,##0_-;\-[$$-2809]* #,##0_-;_-[$$-2809]*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7" formatCode="_-[$$-1009]* #,##0_-;\-[$$-1009]* #,##0_-;_-[$$-1009]* &quot;-&quot;_-;_-@_-"/>
    </dxf>
    <dxf>
      <numFmt numFmtId="166" formatCode="_-[$$-409]* #,##0_ ;_-[$$-409]* \-#,##0\ ;_-[$$-409]* &quot;-&quot;??_ ;_-@_ "/>
    </dxf>
  </dxfs>
  <tableStyles count="1" defaultTableStyle="TableStyleMedium2" defaultPivotStyle="PivotStyleLight16">
    <tableStyle name="Slicer Style 1" pivot="0" table="0" count="0" xr9:uid="{2B5AE013-7C02-401C-93E0-12D962DF26E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Viva Calif.xlsx]Pivots!For Trends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Times New Roman" panose="02020603050405020304" pitchFamily="18" charset="0"/>
                <a:cs typeface="Times New Roman" panose="02020603050405020304" pitchFamily="18" charset="0"/>
              </a:rPr>
              <a:t>Last</a:t>
            </a:r>
            <a:r>
              <a:rPr lang="en-IN" sz="1600" b="1" baseline="0">
                <a:latin typeface="Times New Roman" panose="02020603050405020304" pitchFamily="18" charset="0"/>
                <a:cs typeface="Times New Roman" panose="02020603050405020304" pitchFamily="18" charset="0"/>
              </a:rPr>
              <a:t> 13 weeks Trends - Qty &amp; Amount</a:t>
            </a:r>
            <a:endParaRPr lang="en-IN"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(blank)</c:v>
                </c:pt>
              </c:strCache>
            </c:strRef>
          </c:cat>
          <c:val>
            <c:numRef>
              <c:f>Pivots!$B$9:$B$23</c:f>
              <c:numCache>
                <c:formatCode>General</c:formatCode>
                <c:ptCount val="14"/>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567-4DB4-8F0C-A591C25E4464}"/>
            </c:ext>
          </c:extLst>
        </c:ser>
        <c:dLbls>
          <c:showLegendKey val="0"/>
          <c:showVal val="0"/>
          <c:showCatName val="0"/>
          <c:showSerName val="0"/>
          <c:showPercent val="0"/>
          <c:showBubbleSize val="0"/>
        </c:dLbls>
        <c:marker val="1"/>
        <c:smooth val="0"/>
        <c:axId val="811574224"/>
        <c:axId val="301451920"/>
      </c:lineChart>
      <c:lineChart>
        <c:grouping val="stacked"/>
        <c:varyColors val="0"/>
        <c:ser>
          <c:idx val="1"/>
          <c:order val="1"/>
          <c:tx>
            <c:strRef>
              <c:f>Pivots!$C$8</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Pivots!$A$9:$A$23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(blank)</c:v>
                </c:pt>
              </c:strCache>
            </c:strRef>
          </c:cat>
          <c:val>
            <c:numRef>
              <c:f>Pivots!$C$9:$C$23</c:f>
              <c:numCache>
                <c:formatCode>_-[$$-2809]* #,##0_-;\-[$$-2809]* #,##0_-;_-[$$-2809]* "-"_-;_-@_-</c:formatCode>
                <c:ptCount val="14"/>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567-4DB4-8F0C-A591C25E4464}"/>
            </c:ext>
          </c:extLst>
        </c:ser>
        <c:dLbls>
          <c:showLegendKey val="0"/>
          <c:showVal val="0"/>
          <c:showCatName val="0"/>
          <c:showSerName val="0"/>
          <c:showPercent val="0"/>
          <c:showBubbleSize val="0"/>
        </c:dLbls>
        <c:marker val="1"/>
        <c:smooth val="0"/>
        <c:axId val="811553344"/>
        <c:axId val="301474960"/>
      </c:lineChart>
      <c:catAx>
        <c:axId val="81157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451920"/>
        <c:crosses val="autoZero"/>
        <c:auto val="1"/>
        <c:lblAlgn val="ctr"/>
        <c:lblOffset val="100"/>
        <c:noMultiLvlLbl val="0"/>
      </c:catAx>
      <c:valAx>
        <c:axId val="30145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74224"/>
        <c:crosses val="autoZero"/>
        <c:crossBetween val="between"/>
      </c:valAx>
      <c:valAx>
        <c:axId val="301474960"/>
        <c:scaling>
          <c:orientation val="minMax"/>
        </c:scaling>
        <c:delete val="0"/>
        <c:axPos val="r"/>
        <c:numFmt formatCode="_-[$$-2809]* #,##0_-;\-[$$-2809]* #,##0_-;_-[$$-28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53344"/>
        <c:crosses val="max"/>
        <c:crossBetween val="between"/>
      </c:valAx>
      <c:catAx>
        <c:axId val="811553344"/>
        <c:scaling>
          <c:orientation val="minMax"/>
        </c:scaling>
        <c:delete val="1"/>
        <c:axPos val="b"/>
        <c:numFmt formatCode="General" sourceLinked="1"/>
        <c:majorTickMark val="out"/>
        <c:minorTickMark val="none"/>
        <c:tickLblPos val="nextTo"/>
        <c:crossAx val="301474960"/>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Viva Calif.xlsx]Pivots!Order qty </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Times New Roman" panose="02020603050405020304" pitchFamily="18" charset="0"/>
                <a:cs typeface="Times New Roman" panose="02020603050405020304" pitchFamily="18" charset="0"/>
              </a:rPr>
              <a:t>How</a:t>
            </a:r>
            <a:r>
              <a:rPr lang="en-IN" sz="1600" b="1" baseline="0">
                <a:latin typeface="Times New Roman" panose="02020603050405020304" pitchFamily="18" charset="0"/>
                <a:cs typeface="Times New Roman" panose="02020603050405020304" pitchFamily="18" charset="0"/>
              </a:rPr>
              <a:t> Many They Buy</a:t>
            </a:r>
            <a:endParaRPr lang="en-IN"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a:glow rad="101600">
                <a:schemeClr val="accent2">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43649078771405E-2"/>
          <c:y val="0.18152901524047929"/>
          <c:w val="0.91356260436370185"/>
          <c:h val="0.6704013560804899"/>
        </c:manualLayout>
      </c:layout>
      <c:barChart>
        <c:barDir val="col"/>
        <c:grouping val="clustered"/>
        <c:varyColors val="0"/>
        <c:ser>
          <c:idx val="0"/>
          <c:order val="0"/>
          <c:tx>
            <c:strRef>
              <c:f>Pivots!$F$8</c:f>
              <c:strCache>
                <c:ptCount val="1"/>
                <c:pt idx="0">
                  <c:v>Total</c:v>
                </c:pt>
              </c:strCache>
            </c:strRef>
          </c:tx>
          <c:spPr>
            <a:solidFill>
              <a:schemeClr val="accent1"/>
            </a:solidFill>
            <a:ln>
              <a:noFill/>
            </a:ln>
            <a:effectLst/>
          </c:spPr>
          <c:invertIfNegative val="0"/>
          <c:dLbls>
            <c:spPr>
              <a:noFill/>
              <a:ln>
                <a:noFill/>
              </a:ln>
              <a:effectLst>
                <a:glow rad="101600">
                  <a:schemeClr val="accent2">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Pivots!$E$9:$E$17</c:f>
              <c:strCache>
                <c:ptCount val="8"/>
                <c:pt idx="0">
                  <c:v>1</c:v>
                </c:pt>
                <c:pt idx="1">
                  <c:v>2</c:v>
                </c:pt>
                <c:pt idx="2">
                  <c:v>3</c:v>
                </c:pt>
                <c:pt idx="3">
                  <c:v>4</c:v>
                </c:pt>
                <c:pt idx="4">
                  <c:v>5</c:v>
                </c:pt>
                <c:pt idx="5">
                  <c:v>6 TO 10</c:v>
                </c:pt>
                <c:pt idx="6">
                  <c:v>More than 10</c:v>
                </c:pt>
                <c:pt idx="7">
                  <c:v>(blank)</c:v>
                </c:pt>
              </c:strCache>
            </c:strRef>
          </c:cat>
          <c:val>
            <c:numRef>
              <c:f>Pivots!$F$9:$F$17</c:f>
              <c:numCache>
                <c:formatCode>General</c:formatCode>
                <c:ptCount val="8"/>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CE7-4F56-B310-E4910E403AF1}"/>
            </c:ext>
          </c:extLst>
        </c:ser>
        <c:dLbls>
          <c:dLblPos val="outEnd"/>
          <c:showLegendKey val="0"/>
          <c:showVal val="1"/>
          <c:showCatName val="0"/>
          <c:showSerName val="0"/>
          <c:showPercent val="0"/>
          <c:showBubbleSize val="0"/>
        </c:dLbls>
        <c:gapWidth val="10"/>
        <c:overlap val="-27"/>
        <c:axId val="991797744"/>
        <c:axId val="937463312"/>
      </c:barChart>
      <c:catAx>
        <c:axId val="99179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63312"/>
        <c:crosses val="autoZero"/>
        <c:auto val="1"/>
        <c:lblAlgn val="ctr"/>
        <c:lblOffset val="100"/>
        <c:noMultiLvlLbl val="0"/>
      </c:catAx>
      <c:valAx>
        <c:axId val="93746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9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Viva Calif.xlsx]Pivots!Products By qty</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Times New Roman" panose="02020603050405020304" pitchFamily="18" charset="0"/>
                <a:cs typeface="Times New Roman" panose="02020603050405020304" pitchFamily="18" charset="0"/>
              </a:rPr>
              <a:t>Which</a:t>
            </a:r>
            <a:r>
              <a:rPr lang="en-IN" sz="1600" b="1" baseline="0">
                <a:latin typeface="Times New Roman" panose="02020603050405020304" pitchFamily="18" charset="0"/>
                <a:cs typeface="Times New Roman" panose="02020603050405020304" pitchFamily="18" charset="0"/>
              </a:rPr>
              <a:t> Products are popular - Breakdown by Gender</a:t>
            </a:r>
            <a:endParaRPr lang="en-IN"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7958167672494"/>
          <c:y val="9.3100184848278991E-2"/>
          <c:w val="0.7499047132777763"/>
          <c:h val="0.90488562510797177"/>
        </c:manualLayout>
      </c:layout>
      <c:barChart>
        <c:barDir val="bar"/>
        <c:grouping val="stacked"/>
        <c:varyColors val="0"/>
        <c:ser>
          <c:idx val="0"/>
          <c:order val="0"/>
          <c:tx>
            <c:strRef>
              <c:f>Pivots!$B$28:$B$29</c:f>
              <c:strCache>
                <c:ptCount val="1"/>
              </c:strCache>
            </c:strRef>
          </c:tx>
          <c:spPr>
            <a:solidFill>
              <a:schemeClr val="accent1"/>
            </a:solidFill>
            <a:ln>
              <a:noFill/>
            </a:ln>
            <a:effectLst/>
          </c:spPr>
          <c:invertIfNegative val="0"/>
          <c:cat>
            <c:strRef>
              <c:f>Pivots!$A$30:$A$51</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Pivots!$B$30:$B$51</c:f>
              <c:numCache>
                <c:formatCode>General</c:formatCode>
                <c:ptCount val="21"/>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32C5-48D3-9042-BD4795778294}"/>
            </c:ext>
          </c:extLst>
        </c:ser>
        <c:ser>
          <c:idx val="1"/>
          <c:order val="1"/>
          <c:tx>
            <c:strRef>
              <c:f>Pivots!$C$28:$C$29</c:f>
              <c:strCache>
                <c:ptCount val="1"/>
                <c:pt idx="0">
                  <c:v>F</c:v>
                </c:pt>
              </c:strCache>
            </c:strRef>
          </c:tx>
          <c:spPr>
            <a:solidFill>
              <a:schemeClr val="accent2"/>
            </a:solidFill>
            <a:ln>
              <a:noFill/>
            </a:ln>
            <a:effectLst/>
          </c:spPr>
          <c:invertIfNegative val="0"/>
          <c:cat>
            <c:strRef>
              <c:f>Pivots!$A$30:$A$51</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Pivots!$C$30:$C$51</c:f>
              <c:numCache>
                <c:formatCode>General</c:formatCode>
                <c:ptCount val="21"/>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B-86DF-4DDC-8560-97DEC9F8BB39}"/>
            </c:ext>
          </c:extLst>
        </c:ser>
        <c:ser>
          <c:idx val="2"/>
          <c:order val="2"/>
          <c:tx>
            <c:strRef>
              <c:f>Pivots!$D$28:$D$29</c:f>
              <c:strCache>
                <c:ptCount val="1"/>
                <c:pt idx="0">
                  <c:v>M</c:v>
                </c:pt>
              </c:strCache>
            </c:strRef>
          </c:tx>
          <c:spPr>
            <a:solidFill>
              <a:schemeClr val="accent3"/>
            </a:solidFill>
            <a:ln>
              <a:noFill/>
            </a:ln>
            <a:effectLst/>
          </c:spPr>
          <c:invertIfNegative val="0"/>
          <c:cat>
            <c:strRef>
              <c:f>Pivots!$A$30:$A$51</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Pivots!$D$30:$D$51</c:f>
              <c:numCache>
                <c:formatCode>General</c:formatCode>
                <c:ptCount val="21"/>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C-86DF-4DDC-8560-97DEC9F8BB39}"/>
            </c:ext>
          </c:extLst>
        </c:ser>
        <c:ser>
          <c:idx val="3"/>
          <c:order val="3"/>
          <c:tx>
            <c:strRef>
              <c:f>Pivots!$E$28:$E$29</c:f>
              <c:strCache>
                <c:ptCount val="1"/>
                <c:pt idx="0">
                  <c:v>O</c:v>
                </c:pt>
              </c:strCache>
            </c:strRef>
          </c:tx>
          <c:spPr>
            <a:solidFill>
              <a:schemeClr val="accent4"/>
            </a:solidFill>
            <a:ln>
              <a:noFill/>
            </a:ln>
            <a:effectLst/>
          </c:spPr>
          <c:invertIfNegative val="0"/>
          <c:cat>
            <c:strRef>
              <c:f>Pivots!$A$30:$A$51</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Pivots!$E$30:$E$51</c:f>
              <c:numCache>
                <c:formatCode>General</c:formatCode>
                <c:ptCount val="21"/>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D-86DF-4DDC-8560-97DEC9F8BB39}"/>
            </c:ext>
          </c:extLst>
        </c:ser>
        <c:ser>
          <c:idx val="4"/>
          <c:order val="4"/>
          <c:tx>
            <c:strRef>
              <c:f>Pivots!$F$28:$F$29</c:f>
              <c:strCache>
                <c:ptCount val="1"/>
                <c:pt idx="0">
                  <c:v>(blank)</c:v>
                </c:pt>
              </c:strCache>
            </c:strRef>
          </c:tx>
          <c:spPr>
            <a:solidFill>
              <a:schemeClr val="accent5"/>
            </a:solidFill>
            <a:ln>
              <a:noFill/>
            </a:ln>
            <a:effectLst/>
          </c:spPr>
          <c:invertIfNegative val="0"/>
          <c:cat>
            <c:strRef>
              <c:f>Pivots!$A$30:$A$51</c:f>
              <c:strCache>
                <c:ptCount val="21"/>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pt idx="20">
                  <c:v>(blank)</c:v>
                </c:pt>
              </c:strCache>
            </c:strRef>
          </c:cat>
          <c:val>
            <c:numRef>
              <c:f>Pivots!$F$30:$F$51</c:f>
              <c:numCache>
                <c:formatCode>General</c:formatCode>
                <c:ptCount val="21"/>
              </c:numCache>
            </c:numRef>
          </c:val>
          <c:extLst>
            <c:ext xmlns:c16="http://schemas.microsoft.com/office/drawing/2014/chart" uri="{C3380CC4-5D6E-409C-BE32-E72D297353CC}">
              <c16:uniqueId val="{00000001-306E-42E0-B4F1-31CB55CF2ADE}"/>
            </c:ext>
          </c:extLst>
        </c:ser>
        <c:dLbls>
          <c:showLegendKey val="0"/>
          <c:showVal val="0"/>
          <c:showCatName val="0"/>
          <c:showSerName val="0"/>
          <c:showPercent val="0"/>
          <c:showBubbleSize val="0"/>
        </c:dLbls>
        <c:gapWidth val="10"/>
        <c:overlap val="100"/>
        <c:axId val="418480831"/>
        <c:axId val="444925231"/>
      </c:barChart>
      <c:catAx>
        <c:axId val="4184808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25231"/>
        <c:crosses val="autoZero"/>
        <c:auto val="1"/>
        <c:lblAlgn val="ctr"/>
        <c:lblOffset val="100"/>
        <c:noMultiLvlLbl val="0"/>
      </c:catAx>
      <c:valAx>
        <c:axId val="44492523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8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056213503816747E-2"/>
          <c:y val="3.9788361943293361E-2"/>
          <c:w val="0.9229607685524861"/>
          <c:h val="0.91515562595101918"/>
        </c:manualLayout>
      </c:layout>
      <c:barChart>
        <c:barDir val="col"/>
        <c:grouping val="clustered"/>
        <c:varyColors val="0"/>
        <c:ser>
          <c:idx val="0"/>
          <c:order val="0"/>
          <c:tx>
            <c:strRef>
              <c:f>Pivots!$Z$27</c:f>
              <c:strCache>
                <c:ptCount val="1"/>
                <c:pt idx="0">
                  <c:v>Count of TX ID</c:v>
                </c:pt>
              </c:strCache>
            </c:strRef>
          </c:tx>
          <c:spPr>
            <a:solidFill>
              <a:schemeClr val="accent1"/>
            </a:solidFill>
            <a:ln>
              <a:noFill/>
            </a:ln>
            <a:effectLst/>
          </c:spPr>
          <c:invertIfNegative val="0"/>
          <c:cat>
            <c:numRef>
              <c:f>Pivots!$Y$28:$Y$42</c:f>
              <c:numCache>
                <c:formatCode>General</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cat>
          <c:val>
            <c:numRef>
              <c:f>Pivots!$Z$28:$Z$42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668-4690-A7B6-27E5AB87D97D}"/>
            </c:ext>
          </c:extLst>
        </c:ser>
        <c:dLbls>
          <c:showLegendKey val="0"/>
          <c:showVal val="0"/>
          <c:showCatName val="0"/>
          <c:showSerName val="0"/>
          <c:showPercent val="0"/>
          <c:showBubbleSize val="0"/>
        </c:dLbls>
        <c:gapWidth val="10"/>
        <c:overlap val="-27"/>
        <c:axId val="302966911"/>
        <c:axId val="32309519"/>
      </c:barChart>
      <c:catAx>
        <c:axId val="3029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9519"/>
        <c:crosses val="autoZero"/>
        <c:auto val="1"/>
        <c:lblAlgn val="ctr"/>
        <c:lblOffset val="100"/>
        <c:noMultiLvlLbl val="0"/>
      </c:catAx>
      <c:valAx>
        <c:axId val="3230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66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600">
                <a:latin typeface="Times New Roman" panose="02020603050405020304" pitchFamily="18" charset="0"/>
                <a:cs typeface="Times New Roman" panose="02020603050405020304" pitchFamily="18" charset="0"/>
              </a:rPr>
              <a:t>Customer Satisfaction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91060050081764"/>
          <c:y val="6.4701489100227827E-2"/>
          <c:w val="0.86681182103596133"/>
          <c:h val="0.887232180919034"/>
        </c:manualLayout>
      </c:layout>
      <c:areaChart>
        <c:grouping val="stacked"/>
        <c:varyColors val="0"/>
        <c:ser>
          <c:idx val="0"/>
          <c:order val="0"/>
          <c:tx>
            <c:strRef>
              <c:f>Pivots!$Q$41</c:f>
              <c:strCache>
                <c:ptCount val="1"/>
              </c:strCache>
            </c:strRef>
          </c:tx>
          <c:spPr>
            <a:solidFill>
              <a:schemeClr val="accent3">
                <a:shade val="58000"/>
                <a:alpha val="74000"/>
              </a:schemeClr>
            </a:solidFill>
            <a:ln>
              <a:noFill/>
            </a:ln>
            <a:effectLst>
              <a:innerShdw blurRad="114300">
                <a:schemeClr val="accent3">
                  <a:shade val="58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hade val="58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Pivots!$P$42:$P$46</c:f>
              <c:numCache>
                <c:formatCode>General</c:formatCode>
                <c:ptCount val="5"/>
                <c:pt idx="0">
                  <c:v>1</c:v>
                </c:pt>
                <c:pt idx="1">
                  <c:v>2</c:v>
                </c:pt>
                <c:pt idx="2">
                  <c:v>3</c:v>
                </c:pt>
                <c:pt idx="3">
                  <c:v>4</c:v>
                </c:pt>
                <c:pt idx="4">
                  <c:v>5</c:v>
                </c:pt>
              </c:numCache>
            </c:numRef>
          </c:cat>
          <c:val>
            <c:numRef>
              <c:f>Pivots!$Q$42:$Q$46</c:f>
            </c:numRef>
          </c:val>
          <c:extLst>
            <c:ext xmlns:c16="http://schemas.microsoft.com/office/drawing/2014/chart" uri="{C3380CC4-5D6E-409C-BE32-E72D297353CC}">
              <c16:uniqueId val="{00000000-CB31-4F77-8011-548C8B707FFB}"/>
            </c:ext>
          </c:extLst>
        </c:ser>
        <c:ser>
          <c:idx val="1"/>
          <c:order val="1"/>
          <c:tx>
            <c:strRef>
              <c:f>Pivots!$R$41</c:f>
              <c:strCache>
                <c:ptCount val="1"/>
                <c:pt idx="0">
                  <c:v>Jan</c:v>
                </c:pt>
              </c:strCache>
            </c:strRef>
          </c:tx>
          <c:spPr>
            <a:solidFill>
              <a:schemeClr val="accent3">
                <a:shade val="86000"/>
                <a:alpha val="74000"/>
              </a:schemeClr>
            </a:solidFill>
            <a:ln>
              <a:noFill/>
            </a:ln>
            <a:effectLst>
              <a:innerShdw blurRad="114300">
                <a:schemeClr val="accent3">
                  <a:shade val="86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hade val="86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Pivots!$P$42:$P$46</c:f>
              <c:numCache>
                <c:formatCode>General</c:formatCode>
                <c:ptCount val="5"/>
                <c:pt idx="0">
                  <c:v>1</c:v>
                </c:pt>
                <c:pt idx="1">
                  <c:v>2</c:v>
                </c:pt>
                <c:pt idx="2">
                  <c:v>3</c:v>
                </c:pt>
                <c:pt idx="3">
                  <c:v>4</c:v>
                </c:pt>
                <c:pt idx="4">
                  <c:v>5</c:v>
                </c:pt>
              </c:numCache>
            </c:numRef>
          </c:cat>
          <c:val>
            <c:numRef>
              <c:f>Pivots!$R$42:$R$46</c:f>
              <c:numCache>
                <c:formatCode>General</c:formatCode>
                <c:ptCount val="5"/>
                <c:pt idx="0">
                  <c:v>7</c:v>
                </c:pt>
                <c:pt idx="1">
                  <c:v>37</c:v>
                </c:pt>
                <c:pt idx="2">
                  <c:v>150</c:v>
                </c:pt>
                <c:pt idx="3">
                  <c:v>312</c:v>
                </c:pt>
                <c:pt idx="4">
                  <c:v>224</c:v>
                </c:pt>
              </c:numCache>
            </c:numRef>
          </c:val>
          <c:extLst>
            <c:ext xmlns:c16="http://schemas.microsoft.com/office/drawing/2014/chart" uri="{C3380CC4-5D6E-409C-BE32-E72D297353CC}">
              <c16:uniqueId val="{00000001-CB31-4F77-8011-548C8B707FFB}"/>
            </c:ext>
          </c:extLst>
        </c:ser>
        <c:ser>
          <c:idx val="2"/>
          <c:order val="2"/>
          <c:tx>
            <c:strRef>
              <c:f>Pivots!$S$41</c:f>
              <c:strCache>
                <c:ptCount val="1"/>
                <c:pt idx="0">
                  <c:v>Feb</c:v>
                </c:pt>
              </c:strCache>
            </c:strRef>
          </c:tx>
          <c:spPr>
            <a:solidFill>
              <a:schemeClr val="accent3">
                <a:tint val="86000"/>
                <a:alpha val="74000"/>
              </a:schemeClr>
            </a:solidFill>
            <a:ln>
              <a:noFill/>
            </a:ln>
            <a:effectLst>
              <a:innerShdw blurRad="114300">
                <a:schemeClr val="accent3">
                  <a:tint val="86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tint val="86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Pivots!$P$42:$P$46</c:f>
              <c:numCache>
                <c:formatCode>General</c:formatCode>
                <c:ptCount val="5"/>
                <c:pt idx="0">
                  <c:v>1</c:v>
                </c:pt>
                <c:pt idx="1">
                  <c:v>2</c:v>
                </c:pt>
                <c:pt idx="2">
                  <c:v>3</c:v>
                </c:pt>
                <c:pt idx="3">
                  <c:v>4</c:v>
                </c:pt>
                <c:pt idx="4">
                  <c:v>5</c:v>
                </c:pt>
              </c:numCache>
            </c:numRef>
          </c:cat>
          <c:val>
            <c:numRef>
              <c:f>Pivots!$S$42:$S$46</c:f>
              <c:numCache>
                <c:formatCode>General</c:formatCode>
                <c:ptCount val="5"/>
                <c:pt idx="0">
                  <c:v>8</c:v>
                </c:pt>
                <c:pt idx="1">
                  <c:v>51</c:v>
                </c:pt>
                <c:pt idx="2">
                  <c:v>182</c:v>
                </c:pt>
                <c:pt idx="3">
                  <c:v>373</c:v>
                </c:pt>
                <c:pt idx="4">
                  <c:v>247</c:v>
                </c:pt>
              </c:numCache>
            </c:numRef>
          </c:val>
          <c:extLst>
            <c:ext xmlns:c16="http://schemas.microsoft.com/office/drawing/2014/chart" uri="{C3380CC4-5D6E-409C-BE32-E72D297353CC}">
              <c16:uniqueId val="{00000002-CB31-4F77-8011-548C8B707FFB}"/>
            </c:ext>
          </c:extLst>
        </c:ser>
        <c:ser>
          <c:idx val="3"/>
          <c:order val="3"/>
          <c:tx>
            <c:strRef>
              <c:f>Pivots!$T$41</c:f>
              <c:strCache>
                <c:ptCount val="1"/>
                <c:pt idx="0">
                  <c:v>March</c:v>
                </c:pt>
              </c:strCache>
            </c:strRef>
          </c:tx>
          <c:spPr>
            <a:solidFill>
              <a:schemeClr val="accent3">
                <a:tint val="58000"/>
                <a:alpha val="74000"/>
              </a:schemeClr>
            </a:solidFill>
            <a:ln>
              <a:noFill/>
            </a:ln>
            <a:effectLst>
              <a:innerShdw blurRad="114300">
                <a:schemeClr val="accent3">
                  <a:tint val="58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tint val="58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Pivots!$P$42:$P$46</c:f>
              <c:numCache>
                <c:formatCode>General</c:formatCode>
                <c:ptCount val="5"/>
                <c:pt idx="0">
                  <c:v>1</c:v>
                </c:pt>
                <c:pt idx="1">
                  <c:v>2</c:v>
                </c:pt>
                <c:pt idx="2">
                  <c:v>3</c:v>
                </c:pt>
                <c:pt idx="3">
                  <c:v>4</c:v>
                </c:pt>
                <c:pt idx="4">
                  <c:v>5</c:v>
                </c:pt>
              </c:numCache>
            </c:numRef>
          </c:cat>
          <c:val>
            <c:numRef>
              <c:f>Pivots!$T$42:$T$46</c:f>
              <c:numCache>
                <c:formatCode>General</c:formatCode>
                <c:ptCount val="5"/>
                <c:pt idx="0">
                  <c:v>6</c:v>
                </c:pt>
                <c:pt idx="1">
                  <c:v>39</c:v>
                </c:pt>
                <c:pt idx="2">
                  <c:v>163</c:v>
                </c:pt>
                <c:pt idx="3">
                  <c:v>351</c:v>
                </c:pt>
                <c:pt idx="4">
                  <c:v>250</c:v>
                </c:pt>
              </c:numCache>
            </c:numRef>
          </c:val>
          <c:extLst>
            <c:ext xmlns:c16="http://schemas.microsoft.com/office/drawing/2014/chart" uri="{C3380CC4-5D6E-409C-BE32-E72D297353CC}">
              <c16:uniqueId val="{00000003-CB31-4F77-8011-548C8B707FFB}"/>
            </c:ext>
          </c:extLst>
        </c:ser>
        <c:dLbls>
          <c:showLegendKey val="0"/>
          <c:showVal val="1"/>
          <c:showCatName val="0"/>
          <c:showSerName val="0"/>
          <c:showPercent val="0"/>
          <c:showBubbleSize val="0"/>
        </c:dLbls>
        <c:axId val="507108543"/>
        <c:axId val="445107631"/>
      </c:areaChart>
      <c:catAx>
        <c:axId val="50710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45107631"/>
        <c:crosses val="autoZero"/>
        <c:auto val="1"/>
        <c:lblAlgn val="ctr"/>
        <c:lblOffset val="100"/>
        <c:noMultiLvlLbl val="0"/>
      </c:catAx>
      <c:valAx>
        <c:axId val="44510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07108543"/>
        <c:crosses val="autoZero"/>
        <c:crossBetween val="midCat"/>
      </c:valAx>
      <c:spPr>
        <a:noFill/>
        <a:ln>
          <a:noFill/>
        </a:ln>
        <a:effectLst/>
      </c:spPr>
    </c:plotArea>
    <c:plotVisOnly val="1"/>
    <c:dispBlanksAs val="zero"/>
    <c:showDLblsOverMax val="0"/>
  </c:chart>
  <c:spPr>
    <a:solidFill>
      <a:schemeClr val="lt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Viva Calif.xlsx]Pivots!Gender Split</c:name>
    <c:fmtId val="8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6499703095841689"/>
              <c:y val="-0.1301606011780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9555610304420801"/>
              <c:y val="0.176604475999719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3810292256232029"/>
              <c:y val="1.26146054285513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6840451764753883"/>
              <c:y val="-0.107217511405579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6499703095841689"/>
              <c:y val="-0.13016060117805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19555610304420801"/>
              <c:y val="0.176604475999719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3810292256232029"/>
              <c:y val="1.26146054285513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16840451764753883"/>
              <c:y val="-0.107217511405579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448165306803961"/>
          <c:y val="0.22337704217925419"/>
          <c:w val="0.73718767542053132"/>
          <c:h val="0.77314814814814814"/>
        </c:manualLayout>
      </c:layout>
      <c:doughnutChart>
        <c:varyColors val="1"/>
        <c:ser>
          <c:idx val="0"/>
          <c:order val="0"/>
          <c:tx>
            <c:strRef>
              <c:f>Pivots!$K$28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13-4B65-9B74-D0F190AD36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13-4B65-9B74-D0F190AD362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813-4B65-9B74-D0F190AD362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813-4B65-9B74-D0F190AD362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813-4B65-9B74-D0F190AD362C}"/>
              </c:ext>
            </c:extLst>
          </c:dPt>
          <c:dLbls>
            <c:dLbl>
              <c:idx val="0"/>
              <c:layout>
                <c:manualLayout>
                  <c:x val="0.16499703095841689"/>
                  <c:y val="-0.13016060117805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13-4B65-9B74-D0F190AD362C}"/>
                </c:ext>
              </c:extLst>
            </c:dLbl>
            <c:dLbl>
              <c:idx val="1"/>
              <c:layout>
                <c:manualLayout>
                  <c:x val="0.19555610304420801"/>
                  <c:y val="0.17660447599971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13-4B65-9B74-D0F190AD362C}"/>
                </c:ext>
              </c:extLst>
            </c:dLbl>
            <c:dLbl>
              <c:idx val="2"/>
              <c:layout>
                <c:manualLayout>
                  <c:x val="-0.13810292256232029"/>
                  <c:y val="1.26146054285513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13-4B65-9B74-D0F190AD362C}"/>
                </c:ext>
              </c:extLst>
            </c:dLbl>
            <c:dLbl>
              <c:idx val="3"/>
              <c:layout>
                <c:manualLayout>
                  <c:x val="-0.16840451764753883"/>
                  <c:y val="-0.107217511405579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13-4B65-9B74-D0F190AD362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19050">
                  <a:solidFill>
                    <a:schemeClr val="bg2">
                      <a:lumMod val="10000"/>
                    </a:schemeClr>
                  </a:solidFill>
                </a:ln>
                <a:effectLst/>
              </c:spPr>
            </c:leaderLines>
            <c:extLst>
              <c:ext xmlns:c15="http://schemas.microsoft.com/office/drawing/2012/chart" uri="{CE6537A1-D6FC-4f65-9D91-7224C49458BB}"/>
            </c:extLst>
          </c:dLbls>
          <c:cat>
            <c:strRef>
              <c:f>Pivots!$J$29:$J$34</c:f>
              <c:strCache>
                <c:ptCount val="5"/>
                <c:pt idx="1">
                  <c:v>F</c:v>
                </c:pt>
                <c:pt idx="2">
                  <c:v>M</c:v>
                </c:pt>
                <c:pt idx="3">
                  <c:v>O</c:v>
                </c:pt>
                <c:pt idx="4">
                  <c:v>(blank)</c:v>
                </c:pt>
              </c:strCache>
            </c:strRef>
          </c:cat>
          <c:val>
            <c:numRef>
              <c:f>Pivots!$K$29:$K$34</c:f>
              <c:numCache>
                <c:formatCode>General</c:formatCode>
                <c:ptCount val="5"/>
                <c:pt idx="0">
                  <c:v>736</c:v>
                </c:pt>
                <c:pt idx="1">
                  <c:v>6272</c:v>
                </c:pt>
                <c:pt idx="2">
                  <c:v>4672</c:v>
                </c:pt>
                <c:pt idx="3">
                  <c:v>317</c:v>
                </c:pt>
              </c:numCache>
            </c:numRef>
          </c:val>
          <c:extLst>
            <c:ext xmlns:c16="http://schemas.microsoft.com/office/drawing/2014/chart" uri="{C3380CC4-5D6E-409C-BE32-E72D297353CC}">
              <c16:uniqueId val="{0000000A-F813-4B65-9B74-D0F190AD362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Where do our customers live</a:t>
          </a:r>
        </a:p>
      </cx:txPr>
    </cx:title>
    <cx:plotArea>
      <cx:plotAreaRegion>
        <cx:series layoutId="regionMap" uniqueId="{00000000-58D7-4E06-82CE-8E6E97EB1A3F}">
          <cx:tx>
            <cx:txData>
              <cx:f>_xlchart.v5.6</cx:f>
              <cx:v>Qty</cx:v>
            </cx:txData>
          </cx:tx>
          <cx:spPr>
            <a:ln>
              <a:solidFill>
                <a:schemeClr val="accent1">
                  <a:lumMod val="50000"/>
                </a:schemeClr>
              </a:solidFill>
            </a:ln>
          </cx:spPr>
          <cx:dataId val="0"/>
          <cx:layoutPr>
            <cx:geography cultureLanguage="en-US" cultureRegion="IN" attribution="Powered by Bing">
              <cx:geoCache provider="{E9337A44-BEBE-4D9F-B70C-5C5E7DAFC167}">
                <cx:binary>3F3pc9s4sv9XUvn86MHFA1s7WzWkDsuHfOWYzBeWbCsEeBPg/de/lu1kLUrO0lWjem+lpJKyyYaa
/KEbfaHxz4f2Hw/xeqU+tEmc6n88tL9/FGWZ/+O33/SDWCcrfZLIB5Xp7Ht58pAlv2Xfv8uH9W+P
atXINPiNIMx+exArVa7bj//6J4wWrLOL7GFVyiy9qdaqu13rKi71L67tvfRh9ZjIdCJ1qeRDiX//
6K1i+T1TqVx93L5Gfv94maXZBy+r0rL7+GGdlrLsPnX5+vePW4OQjx9+G37XDl8fYmC9rB6BmDon
xDRtx3L488f++CHO0uDlsoExPyHEcbiN+I+vXa4SoBzLzxM3q8dHtdYaHurp/wH11hPAW/jjPzz9
w+YtbN56AAD8/vFzKsv144e7clWu9ccPUmdPr0l1XrZ5xM93T+/kt23c/vXPwS/gLQ1+8wra4Sv9
T5e20fsPyP4Rwwt9XB0AXPvEQcwhjkX3g0vICbEJsy2YNs9T6hnbd3C0H97hACMQHpIcGch3q/TD
TK3SB6kfsh9v++8QYPvEdhCyHZDR589AgAFjBhrMdOhAgLc4GjP59kO9f5gRgO8nPDLYL1Zar9Mx
b/d9epuhE4ZN5nCCnj90CDs6seAycyzQ6K9lezxH+/Ee0I8AekBxZAhP1vGHZQa2wQFAxie2yWyb
4BfZHi7OhJ0QxCjo74ECfxdT+3HeHWIE1LtER4b2p7VYJQdYqkGesW1ZyCT4TTVOKMPMws8Sj7el
ejxf+9Ee0I+AekBxZDj/EecyPYBIg71tcWpaoLufcXYGehvsbRs+YJOzbYTHc7Qf4QH9CIQHFEeG
sJeBD7GRZF0eQJ4BZ7TR2pTa+3EGswxT5pg2hhnwen1+L1/70d47ygjM99IdHfJxpQ+BObjKiBMK
wv1sk8GivOVLA+YIOdTizBxiPpajt9Deoh+F8xbFkSE8jT9MMrV6PEzAxCbcMsmLS83Bq9oGGZ2A
yGMQbetpFgwW6nexth/t3SFGAL5LdGSYu1V5CBuc8hMTg+WF3lqwCT4xTTDLMBkgPZqh/Shvk49A
eJvgyNDdBAvcNQT6DiHS1oljkg3K5hu2Nz5hiCALrO9tvf0+rvbjvGeMEWDvoToyxP9IQH+rv9+p
BsuMQsQTEQcM7B3NbRPCKeL7NPd4hvYDPaAfAfKA4sgAhmTHql6rlT4IxphbBBPbfsMSg+iYs7HV
hhL9Lqb247w7xAiod4mODO0Z5H8OksCyTmyKLdOETNXzZyDVG4faMeEPHhjd4znaj/OAfgTIA4oj
Qxjyb6nU8ao6hEDbEM1GNgRO6BsCjcG1Igzc7YE7/T6u9iO9Z4wRaO+hOjLE5/E6PUBuY2NyE2Ri
TsDc2l6hIWjCHQzzYBDvHs3JfoC3yUdgu01wZLBubMuJXAeHMLXJiY1N2+RkJ+5pn2CLOtj5YYTv
WtqjedoP8u5jjQB6l+jIwD6tkvssfiz/fiMMUhpQV4IZ2xVjBlhjiqAy4ceS/ToC+h6W9kO9M8II
pHdojgzozUy+hAqZQ0i1fcIcyFNCYuMZz508JdSZEAczzgYxkncxtR/r3SFGgL1LdGRoL5J8reQq
/vvFmoIKB/VtMoqfTbFh5QE2T0ywx03IZ+5zo9/D2X7Ed0YYAfgOzbHhnXaHEGyIjCECxpj9kq0c
BruxAwYZtyyoPtperxcj+XkD4dfUY9B9ff+RIXu+Voewsc0Taj9FtZ+FFIFi3jK1wW3eJDAxJYP6
obH87Ed2i3oEslv3/xcg+2sWtx54UxX6xw+p2VMJ+N5KXhsqeZllcfwcvdyHqIVtYmP2Ein58d3P
NZ8QgfpZe/xsje3jaT+qr2m3nvH5EX/9Uv7r6nXPoSj8EDEO6wSEDcpx2RtpCBBJC65BomkokmMZ
2o/e9vPswW/rV1CKvk1wZOherKJD1P2AOgWLCaro3wpgkROOTWw59iDHNJaf/dhuUW/huL/Ofuv+
Y0M20x/+SIN1vD6E9LITKN4j1PkhvTsBDthpAfFJZsMk2HwGntDF+5h7A+09g4wBfQ/ZkWF/uXqE
VNMBvCHrBBJNEI+0X2p+hnYUQSfIgkIvWHS319vxHO3HekA/AuYBxdEhrOQhDGX7hNsMQpbopeBn
KNdQ1GVSDGX2fOACXa5GMvQWvq/JR8H7muAI0c2zg1TtPQWvQH6dl60UQwkGs4tbzHYILN5Pn6Ec
KzmWs7eR3hphJNhbNEeGNwTooCzXXan71UHUNttsitoI7dtZY4s7UHAP1Zp7QH83e/uR3z/MCPj3
Ex7ZHLhcp4/ZgzxI1QA/gWg057b9EsQcCj2hUMtrW5Tyga/1Lqb2o747xAjEd4mODm31ALt4vb99
h7N9QpHFrZ9bnHcWcNhK52AOdjnbZ5hfrsfy9RbaW/SjoN6iODacMxDqvx9mBjWaHHEIj7wo7J3a
AXRiMoiQQUhzsICPZegNfLfIx8C7RXBk6C5X+SG8LPCdOUTGIPT1JKJomHMCIxxyyVCk7QwKQ8by
sx/bLeoR0G7df2TIQr+Hcq3W3d8vutQ6sWzLtil6qdbcQRefWKbFLDrsU/AenvYjvDPCCJR3aI4M
6Wfj0lNVfxCswZ3GDP1Q0zurMeyRgn4jCPFBHPR9XO1He88YI/DeQ3VkiC/X9eogDUhgR5xFbIei
l+jYHslGGLbDsSHa4znaj/SAfgTKA4ojQ/gKWo8Eh8hrUKgGgc1ujvXWfmboQWPCjgprGPAez9F+
hAf0IxAeUBwZwtdxBZ2sDqCxIfxFLRs2PL6ESnaKu9AJtBkBy5sOCuzHc7Qf4QH9CIQHFEeH8Oph
fZgdUdDfayPFL5UD+7S0van3Is+xsEEm4zoey9dbOG/Rj8J5i+LIcL6VsC1Ky8fDqGvuIJPSl6qf
3SIRiJbApikoMRiA/C6m9uO8O8QIqHeJjgztb9X9ITzmTYATQxEmNO57+uz0IoBty1Br4IBXtR0O
GcvPfoy3qEfAu3X/kSF7t3pQ0NkvPcieZefEtKGTDINdjE+fnVV5Ew/b/IEiv81nUG7wPt72Y71n
jBGI76E6Otw3e9VVulKPh0lewPYJaCMCW2VeaomG6zWGUkAIhsGavi3a4Mi+k7G3gN87zijw91Ie
4QQ4y1ZFdaiCBChHYAQSmE+fIfrQkIJwqCLk/Nnp3pH89MM7mHt7BgwHGQn/kOwIsb+opP5wdS91
foiafBNC3cSCqAkEyTafndQl7G0H8w4akuwR/3ey9jb6+wYaOQP2kR7fLNh0FYsPU7wANjrUEUIl
6cv2uZ0YKj6BDRkYwmoDj/wlkjmWrTfR33m2ccjvkB0b6mKlN8/4d6ewYScltAOE3bH0LWOenMDW
WeSAXhis+KM5egPrbfoxMG9THBvCcq0OUo8EW94tRGFD7LO1vpvgRCdwESqWnP2L+mi+3sB5m34M
ztsUR4ezjmSXVQeQZejpS6EbN/nRkx0W6a2NV5DKtqDPhQlVwwNZluN5egvlwQijcB7QHBvSWbw6
SIXZ5mAFCKlu0tr7zTRIdDIO4jxsQXQ3mqM3UN6mH4PxNsXRIZxmh2jZDI3EGOUW1KW8Vbbw1OzC
YlD8P5BkOMpjHEdvIbxFPwrhLYpjQ3jT+vEQiREIolJCoI/YS+prj6FtbaR8J319N5qjNxDeph+D
8DbFkSH8CbY2wIE3B1iOoUkJ7LqEgMpL2eBOHBX25UFdGdSBD+Io72BpP8bDAUaAPCQ5NpQr8EwP
kfWCnbUUbRrnv701mvCNy2wObK5Pozl6A+Nt+jEQb1McHcIZlCkcpLE+7NNyIOoNuvgNewuBj0ww
dsgOxuN5egvlwQijcB7QHBnSXyDvVR3EVYYzT8ARpuitzvqwXwt6uGJkIViuX/eVegdL+3EeDjAC
5iHJkaH8LYsPEeKGQzJsaDkD6+7QOQbv2YYt1NA+bBvbsYzsB3aLegSqW/f/X0D69kl1Pw/7m6zK
1fTpmMBXh9X9+urTy4GzDQekL0K0px3Iz2L7xePvH6E0n8IuWTCgfp5AuBloSwQ3GciXBNAP/LZJ
1xBB/f2jAWs1tEOAzVmWBSExKEaBUZv1y6VN5YJl2tAOFEqJrc25hCmcvySeDjMEZxvMOVjsoW0R
5TBJdFY9Xdrs8sQvg0GTBfPnQY7XWdwFWfrzzbz8/CGtkutMpqWGcW1YMvLn+zbsmrDPYFO2akGU
hsHmItg4BNcfVrebPhzwIv4HTmRL2pZ16qozagvnLqlwIdw0dcKFVYn0SjLrUgpbLC1Tzf3eMm+K
LuJuH6Bb6rPbSFXrDOWF27ZiEdb1ubDxrKbVRUSIZ9T9WZziCyfFk57YpVez9r7L6QWKu9ilVbIk
zJn5gX2hhTHLOuPGCsVnu0u/mm3pOX6xdpjjKuy4cZcuoiqbCMMIXEvQhemIL6prPIOhmy6Kl1Un
JzVHy9auS5db7YXl9HNTYa+RwWezkK4BTzSNVXPPZXnp82hWKvoXDeJ5XZZnqW/NSsrPa1YsfSGW
PGtnvGdeIPJlRUKXZsWlaslX2F59KjBe8q5zjSi7CnG4zAw8rSs+KXQ/Eaj+xqW+FqK6DJrOqzNn
zppqSmNrqUg+jfh3rTiZJmFTeaKqznrurPzGdqXFvoZhvTA0n9SmvhVBPzfCcJLkvWvl6q7TnXb9
Vl4Fpn0a2c0Eh9ZnUyenfadvE6e8T0m7NJx0KfzioraSU7OvzhLVnVaFdu0g/26H+RL6xk97ny9o
wG5tYeeuY+SnpZ2mLouby6iyDRd3xXnhRyuasVueW56QfufGlX1VGeVFQJJJH9QL1aeeto3bkLcL
jPwvLOk+B5xOrVRitxBy6kctc4WPCs9OikvpxM3Maor2Ju4qf5JJa2XXXM3zop07uVl5QZt/JSQX
btK09ym4N4GrVICKqe5400997ajwNOSpWJSZUuEV6/tWuiGzUjqv4QjSGccNoN/qhWlkaJ4VVewa
Tn4bZWV+llqq9nQRSRfHmF62Zl9P6g6HbtzKzOVpQCY+7cNbcJ3nEUHaNcvgNEyxnsBOO2cKj9R7
Kel7D6eV7Ya5XUxLB4VeZTfs1K9Tc6Kt7k6yrpiUXLSuT61o1ldl7mV5Qdwm0J8dVaJpZFWdG8bk
RjpdPunD743pC5cb5JNB/IfMoROnY1c9MWdMRctCR80kamqPxf5a9uzSCcuvRgN0l6oq6yncW3lF
XkUutYKpTLIbkiVfmqqUk7zWpevDuU1eL1g0CXN2HwRl6iKVdm6ui2qiGV9KVQeu3YaP3Khat2ZV
4tW1KCYRcdZBzv9KO/LZNK018C/cMkPa6zoaT2jeBa5IaD4x01C4eeRLt87xaR6rCXXkVS2SMydp
vrC2+17Z6CzkzhnLhJy1RjWVgfgiezLlSVwsO78pZkkdC9A4hnWZxf5dmovADXikp0TUdFIxGroN
Tv9swh7ecpE8GpmTuaht1MQWQToLo3bhG/E8RFx6vK+/9Zko3LhsrySy70Xd3resVq5qE5i3tnVK
rdoEyvg0cJThkoLMnDzuvYKSuZ+RP8tC2i6oKa/Q5kIGlXYrS/7ZBRQGN9iD9ItkYvHQ5VV5b1Rq
oonVea2PJkXqf6VBUXsd1zBAhTwWBR6tDOKxUlVur/JPoqHJBIVdN20twL31/T9pjCrXz30b5hed
FZFRuJw3IKIygvNgMxBL1Tga2KPfE0Taee0H3K1M5cpINm6TFAspewt4q89yR1+1iVRu11euk9BF
I9BSlPWXFKGzsnF6NzY4d6XRhW6F2otIoLsmKM/NVHzCnY3cOrQmqQpr12ENnVitcSErB7tpF31W
gpmuTHJ7Ett5XN0JEaUz1ehAeEbmM7cuSuQZYS0WrJQzEdfMTZFjzFHf1W6X5tJNdZLN2oqc6ai7
yROdujZu4xuZ1dJ7feDt1vr2kOWdghnzclbxzx//9SlL4O/TCbj//uXmqON//zRfZ5tOYXp408YW
+XnXv0/R3az9P4/UHVgUz+clv2Fu/PLi27bIa3vChA5avzJDXvcre/YQnpb1J6ofFgiGKqtNNx8E
hyua0D8eBvxpgUD3gM2OFmhJ7kC/tU1T0xcLhEFQH29OU0abJmtwbiO4ID8sEAJ9QmBAsA0cSORC
a733mCAYvmPbAuFwEiC0i7LA2KFQDASW8msLpOwpaMqqapdpQ/m0bnyRuxkN7ciDha6+sQyzOwvb
Oo2mCEXltzJj9eeI6bZwNU+Lr6/e3h6DaNOAbMgN1JtB9zIwheDA4Y11/poblnZ5xEVVL0mR4mUQ
9anvVnZmCa+ty4y7dcOqb3adG9JVsPAWXhGqKHD9XtvMg+L09JGXJbqCMUQ1IXGMP/em4eB5Z5n+
GncGbme/5phACH6HY9h1CAeocjAloffHgGNpC8C2K5e0NYMAhLePP9eQr6Gz0u4y0627FocTafuO
C1qwk24XITpPatXhiaqz8lG0WmNPGjloWTgovHbLBAwZ11ZmFEyDLBTXUcXPEs2FnkACgX/RojiP
4sZsp1KD7pZK1Mn810+1CwOU6SNozwongkI37aeHfm2WdkbQGHmsl2np8y9Z4GDisojA1MjTqr1u
WsXvch/Hf/76azdz7bU1DFvn4Rg7MMcJzEX4Z8PWq681URuwXAfpMnV6vMSRqJapVp50fPHl198E
4rPzTRyO4rHhXFsobXYG8yxPWdcXSmRLJ0dsVTSZiud+6XTEjXIxRWDD9B5FnZN5ITWb5D9Nms2k
2H5QmCjQD5XBuSHQwHr49ZDrk7CEJnJpF5G5SsLKXEXxhgezT/TUUlnmdgignzdx0RC3iDJ7XcZc
LxresYvWogp5tAmzyAvtNPlMVU7oRDhdt86NOp8go09sz+QZU6cmtWBV+vXb25x4MeTf3qgNaGoC
p36Dh70NFLIqMzVN37jElZ+spCp14GIjKlPm0q5Lg7NGyOg+cHh+0faFmFkZa6VHcG1/L+2+z7xO
BLbHsrBeS0Xtx9rMhX32ayaZuQMyZRQm0SYgD006zCfn69V0spQjkRIlvQxZkfvc2ZiI/bwtW8pn
ZV1VnmoLdFMnnVm5QgjbUzida6Lyecxy4kVxkdzmsZm0rh03wdcmTLJFp8vSzc0i/2zpyJn4YH14
VRaG0pUlDRvXD3W6bHJDXxVGT6dBgMFmMXo/TTwC5tmpaZXxLQmD66BLabsx7otl6RefSpIYsPTX
BF6k7AjoBlb1vYsaJ7yIhel881HFzoTl4Is+aGvuNUiwxINJJxeGo7rEbTqnn+DGNMBMbR/A1Czv
KmTYAmyV0p75YHoumE/Ip0LgJpr7toGl24vIv4f6MFW7Mi2Mv6rETiZ5rskiytJ8gQseP8o6t0Du
aRLdSe63NpgcLDhTvqq8Dt7DHDPCr4omaaesUcUM4xbX0xjOqwy8ugmcwquJ8KeJpmpS5fxK+EaA
Jhhn5SksNaTxUhRarlPa8Z9tgsQ5UTy/M2lpziseGmSmraRfOVamphq1YT+rIyeYGW2LVkTHzXcd
5Lnp9aQEaw68iTqYtWWYgXA0zbQL6sqZqcwXk7ikyWkKt4J3ylQGLzqpwZ/QYWh49sYFtDOz7V1W
xr5HSyNN5sqKpgGrOnTTUMwmUisUuyHMpHJGy4breUtt8HOjvo/9m6opyiRxOwmesnoUviCk/6Yb
o7UT8DIUqPLsgXRJWFIFp69VVY6WZVQmUXvGZdHPazBq/UWipMzdkMTZHbINugg7SiuvAgx8tysQ
bwGuxHEmqe/DeljGUVNMragJkKfiEvtXooAIQ3YadXYjJl0b8/LC0iWFGdX4GdaNV8FaOLMMEfpX
NYiOFXiFkzsw4Wikk1kaS8XduIDFy5+2tbQ8w4euR6bb+ShlcPypnySe4FXjz5rYjpOpBv8rmplp
kPSe05ugMVMSgWOUCGXEbq27QF9raSTJNAuk892oaluiCcpIOZfMqZylafiBf5ZSu7TN0EtbXfTd
qYZ6FiWmeSDsBJzPui9mXGlwM7vYSrpTpHWSeybpYunZrdnFcyULaXgAK/lq5EmPJ7BpKQJfIUqQ
cRWHyABPokzTr2GS8GRBFS/jaSRK6xbcREpnoZERfC4aoW2wjAUR5dxXdZ7ewWJMz8KgJ9GsyoGD
aVbGQT91cNtzzwm7vLlMnA6mtgGioiY+xtWZoqYZTwKfBtXETmuAU9oa7JO0D2m/jiMoA5g4wEAy
oV0iCvDfJTsNpB1ZHomigk5kJv1JX/mR6RqNyvl16Dch86gswt5N8rA3zpEfsxnO/cAEdrmdT3En
+mwhJG4CCHEw0bib+1zMJU9h+gS08NpGGr1bttL4C/xQCPW4EuSILHGfyl66Ts0M+qmLG1ItrZx3
2STlRXlpViksSYG2IyDgCYW35UuB0289jlNxVnRJ3M50Y/byHJdB+YmFxFyZrZ/4roNh8s6qtLXp
VFu9BOYrHCaTmBaR9pzGn0osi29x04BlEQZhfadNq7nPlaCntd0E/tSJTETc1PFhHDPOwnaWqhov
+zan7EaXJv6ESwPuaCxDO14JflQ7rUkSylMIFZFmkdqBJlfSsDm4YcVmcoZhoed2rIW+bjtWOh4q
GsBGNCkwlmlQuuewgvEv1EEwuxPQkmoThWizRam5T65DVUXRLXFSzhYtgxjSZdmWG+NTdO21GRlW
O82aBL46y/q+dluSlP0cRfbm4TesN6CfgK88wUtmpvAUVWHCqxJRFvUejyAK4OVxEMmbVNkg8qoC
qyCAa6BTSZmKqwJDoDB1aS4QwN2otrpMDJFrV6KqaGctdMWg064uyEZpgDB58ESgQFqON3ZymSZf
fDiM9MyppXRcR5gRzIsusFZNSoGNVoXdLS1bpM8DMHPD8yxPo/DOgdVirlOElwUPim9wvKFVuIIJ
Sc4yJ+DVuS+yoJ50yi4aMHA7Os8JvFYP2UX3EMWRed1WGmWnBerq6GtjJYE+TXwj+d71fKNDZBGL
CfgBDp1K0gk9y62EfzWQn8ySJg8K12ag5jrViFuZlfqcJ1FoTkyiSABqDw69d2tB+BcVGnUwjUkK
YtIbPuULlma4WCegkLszOAkIZKPZaOxpaBrwRtu6r6ewyDTFOVYVsTyfx2UNKy2tEZjeRfiX4jX/
ZHRgpkOYsFT4sdQpRAETjO16IRsCQ7UJFr3HmsAKFjnAAvHQiFuzPqvr8rLt7PgurHXhOrY+ZUlb
m6d9YwE4EcK6n+dxlGWXqdWyC6NELJuKIk3q86BrcuE5EFwUn8AS0Y+Ip6BGQHXq2o2EbrTLm9op
YBXoirs4KLD8E2c9dWq3Bwus+5yX1OAwmPbVVNhGFJwZft7ciwAZtRfb2ooWkiN802rD7+cKIpRy
KvsKJqkkZUiv2yjuzWVi5XHsFnmNrEuGBWu9DqwbPW1EDqg1TiohStjbCegOreMpbmmrJnVMHDXv
nQJmf8TawJ50fgexKz/XVvG1MTv8KRQK5hqsdPwLzPVEX6c8xaBgSc7DmZMIq3Hb6htxqgbiH1FU
259NkhbNpDGDkl0yP3bq28LXXMHiDjN6mksKaILj0LUXkpZRdmGrXNBr0qLYWvhtxuG52tYILiNl
5M0k0T7oDLDGqvIyjn3gX/EomGnhRGLStAgtuoKB3HeWZUuX+cK+fLJKX/Io189G/nMO4HUs43Vo
Y0yM5FI+qExn38thkGRroP/nkZQ9WR0Mv3s7q7M57OF1+OU5E7Sh+RlMMaF1OVj0NhTD2RQx8BB/
BFPgCAkbUvbQORlyRxhxcNR/pHMgZ2OxjTNrwxrFHQaXfgRTzM3ZQtCzk8G5MiY2oTHQj2jSFpaQ
zHr5+XU+B1tDxw6ySGAuAw+QWqbUHHqwVMQ5Dmq7XCaRJWZZFstJmyXM6W86AioH7AEuII0zZaJG
Ip1GddRMTVwSPM0o6dLGY52k8XnhyKK7Chs49t10QRhMZbq4tYrKTUzQUXMMXl+MXcZiqW+E4Yc1
mYC1lqV/9cqq2LVdVVylEC7Ia3bemmajWw8bRahXdl8q8CtKy7c18tpW1RA1xbVQ81Dn/BJsSLEI
WmW5RdOwz0WWe5EjQRNUGZgkLIKVEhdNfQ41z92MODJd2nFU3WKwQ+8RuIT5og5FcF8z1c5ijZIL
aUXZNGaZvwwNk81qIxSnFsNJ5DoN7W7gnAF/oasMEiCp3SxxWJcT5effM4i9QpyWELVypNReXDLQ
nMI3yUKYYfmJNEXiwRs0H5w+5vNaxM1FUMJanPVyHhuM3jo9iqctBIbBx0Itg5Vct5BdKI0F7Gnv
lgqpcBZVoZ6xHOe5C2YlblyK6T3AVJ4WPupDF+ccTzgX5C/a5/216PswdSNSkXuIgJnnoDuDRReF
+k9qajrBUAF4neY8mPROUl1VVfQArzRdFBCBu8NaotgL4Vj3S9ZI7pp2JpZdEgWToDPl0pRazzmP
1TSEpNSyL6R5mhRp6PEuUZ6gQffArDa+MBtff6mSrJppHkIeyJDkklIcQ55K6GjWcT+HiVJYNzjK
jJksTH1NJeQLygpl53AycX2udXTmd0k/7RzDmRVm135vGETlnTwJztpMMuAttI1L6VvoLIFzGjMv
62AtKMvKuig6J53nQYUhrwazqDVVCV4J4f5ZrAzrS8WNrxkS5IJAAugK2PdnRpSwS50RBhk/ha66
XrRnsdOEi0Cm9TQzyvCS6by7FcppJrXerPWyaqdB3fszXWgdTA6if//7NOtm+97bmvX5BOBd3bqh
+qFbNx3GoTce+aEMYQvQD90KW0ERgRz5prcxxQTCQT9UKyhdKIaDPPmmshGCd6/i1FC4jmF/KcTY
oGsPdMi136Na6VMg9XXMzIQoHUcQIISDR+Ag1k21++vgYJabfWR2vr5CMf0UZfqOgAgmTN9EbQ6Z
qpqJswBBsAOzU0j0QPI2ivyZX1uNV7aV76IC0uR211QTcH9uEWQxPZHb2G1Yabm6xzclKiDIyWGs
FGRzGoc5XvBAETcX8Z2y09Dt08xxcdZeGgXK3CQNc6/pa8MzWtOfgBMLGe6aGK4qm2KJ0uQTrEfm
pV336UVISOlmFincwNfBlMT2nGlItDp11niWgMRbr9JPIoU8ZGwkOWQL9aLIzZnvlMFUR+Aj2SxZ
QyTtC0QhDDcm5mlGjTujj7DrF/qy3zgcvRncQ5YhdAuz6jyVNdNULUJ8gQP6WIuVol7Jg9Ms84NJ
U1cQVeyrEN5IFE/SuI0mpNf5NO/CVdNnuduW6rEqmzNc5o3LETyQqkFTK+e6MyB33aVTo7+oSnzW
MucvM7QWGQqZyzsTTbhtXqhAXUsobXBZ7UA+ocVXkaViN0DVFDsIIKG2dssg0AtbMeRCbOGWBA27
4YZ4aEl6o1MHXIuYxp7EAs9IkRFX2zWeUUtV09zPymkcqXDiRw12FXIuiBSLrpLMNZWYhE5620Y6
dFFf4WlBIRjqaCgasDhEqSxwTaZBUdZ3QYmo52P+NTCy0M1kPi9QCGky+xPj/QobQTpPusgtUTmF
BBufZEREEAhTkHll+WmDauJZZXFGMTxLr4o5p0noRT5O0XXOyvQOSijgi5WGRG121TP1ILMmW5Da
uIYJvuIZZMBVGKRnIsJ/qqK+VBBdmRgOg3RBQ9dtU61ru+tmumxzt9COfwoBj/sERNTNgBUvgrV1
JpvqziSBPk8cdFaH4be85+d9AWlzMxPzrDFAZ3ewvCEHzcrAx24W+Y2rtF6WYQ/iU38SgX9fCNs5
Ten/sndmvXnj2Nb+RQI0UcPl0fDOfj3GTnwjOLEtUhRJDRQp6dd/S+mu6nRV9wEK+G4OUHUVVGLH
byRt7r3Ws7YgMTWOeKzWYDt7p5c+iI+8hyOfEHXCkd9maonELhnlMaoJvEmXnoyWUcab9RHf0156
QwwmTqVKXUdD/lNdACTAd166Xbw5WHI3qqLCq8KXUTVDbtZpwuEr5Wn0pzmfnTjO6MJwao+tztd5
VF9rt6oPktLhrolImtmgL2a5eLtkEs+Jj2O61hQDXeNlo68YLlAny6ptJgyXnOFp1/5xZIpmqolo
MfjT0V0T99gn9Bh7VbuP8LNkfRQsGXpEDf8WqlWj10z18hDq/tA4UdGoVUP80w0mdMfDkxbqHOLD
nC0hjYu0HgsdepCP8AsnJHcNrGI1mi/e3JzJMJ1UsFzTcHg0sYEfPYo9WjaeSVGtmeTe1czTF6aI
BGdD70Q43fPaPid8vhnF+nWsMONymF+ZUM0zBOJTOLuHZRyfdBK5aMykm7lKBVnawlke+zJ2B7UT
SzJm/jDfVENwz+WCVsh6Zex3J3+aZLaM02dIqldWe7dQ4a8wDe76Ju7zxIzfq4rM2cTXry0dgyzs
E3AYjXgdRYzJaYF9rv3uSVE0lk6nStPiroFLtPDnYGrIAcQSwBDklfySKuibhKm/j/B/Im//6xH+
+wKjP5/iwS+nOOzmMNi2OsA6/smn/X6IY5sHjEpgcNuYFKQuDtDfTnG8cwbncwAvLErxbpnNo/5t
QAqw4J4AaXcjD6vbwiD5K6d4+ifjCIaXj7f8EXQEPoTYjYf7xZKhvkSBmAL/ZlB938UXp3UW2mYg
OEeBkyNs+G06+QEvaFR5U4bqtu68ZfHibNGM3Cat295Oqndwzs/OkUBGu5m4sxTWH+VZVKl4XAJp
b6c57C4Igqgf0CXtyReWP4aeHc642SGK6jn+qHxIrypMqp3XDIRmca/VKwUSnmaOSXkx2A7dQAsq
yQP400ry3ZjI+3QCtj74Y8SmPKVSgdHw2gz5+mztItQlv/Ez4jYiB7TH74SYqie/SenD1DktfXQb
eLrjvo29fj2uHWixbAhg8s8FBrrax184udvJbIAK4BhbbKKWN7jO5n4AhmdR9wc/LDA/GvcaRV1T
CgJh+IsDQkdkveFxnM/Q54bMDtCXM2KW/pVPU3AMjdDlivmkwPyXDR0kMd31hScJLVwzpORscK69
VQ2L/ExQHBho+uDpOb0BZbMwGQT7xRub40LR6BVqDR9WbzTxwTfEK1Tc/NBNS09dBJjrhjS9PiYY
Yc3D2iTebhmIXIOc4saEZJ5CkXP+YVf//xZV/g829dAX/pemvu2Y/PhzOXDxVb819YDYUQwCLPLY
1qeie/+lqf/Z7+MFq+QfjAke+t/qQYJVjfgPC962Rz+KocD8Vg8SvFwOdQWv3sZ7bMKNWfkrgsmf
PFpMFD44gwDGJX5OgLX/XhDqIbZNEyTtreP132qmISJP7XdvIcfWEzJrojUf0fHFuMFdE+/WoL6k
S3+1icCwv1FYgvUim2onH+LJ39XE3bkqeLTM+GUSqyk39XJxdVVEDrpa5ulnlvhd3nrthZK+zY0z
HFo+volorrPJC99RF8a8c0Sd12Q+z4l552By84S7SwHJp4wWAy1mkWvpTk5bDILMBfRKncdTOkG+
caNcK7nspFru/IWQwq/b8zSTIINi+TWA+1xASH5XbnQCmNAV/Sy7rDYjz0QdZITCrJdxerem3oup
1jprEsbhTjs2a2MIHE3UsHytOzymoq6yuAJPqndLrKqsh5Sb+XZ+Xml9A7D03FXdmeIzoWsDnCZ8
/8EyXpi6FiWX/k3l+U/V0uqdQdQGvXEA9GQEv9txJ4G0FBxEsLC8SrqXhAxODtWknuqcmJ7Vj9pv
ulf4J8/LGtqzBgDXBRqVzbMwSfvhdQaoyiTfi85GqGpEZaFdVDYFlQ80Nbmhtf8c9GgvJmZvHazs
Ljmf1sIna12uKfyJekidvaOmh8Ch76St1B5eTe7BgTmr6E3Pb7CpIN1Eb+MSqP00uPt2wmQ1dFao
59Sj8hFHRcc/WL2+25k+rAG6+HjqFJqpgSbJ2wB4uML9fXS1dA+z9tWtP1TpbSiq8QQdJQ/TqZQW
4KIewO251GU5DdPlGjQrpGGmhN3D5X6x0hYxE/QmmNUHlG//4Ko6RWGPErpmf4sXaEUAv0PH/e91
7vFnzPnPdW77qt/qHLYdYJVNCJEAmigKya+UXbABc2huQBX9syX6V51DH4p1pUiCoGmCW/RrnUMu
wMf3QsOCfaZ/TRgOfxI9/1IvtmUbIdaohZCFUYaTeMuO/dr4cNnhbnQb9xbvgBvojiTrkKM/mn4M
GFRMyOfMFRU/OJWWeeOlz5U2NKsGMMGExN+1aB9jYdMMVFExgXADucq+T457HE1/4U4DM4wMTcZ6
U1SR0TseeK82nmvgLBazYd8fewModmW3oBuOgqY3oEEzbxjTfKoaMBrLqrJ4xBDImnK1ThEHutA2
gvjnrHegp6u8ZfbBDzQI+9jJCZcA/zEKqc55cigb8so0Y9Yztqur6Nw2X1u2vIJNmLKGNA/j0LjZ
0I+5J6DZwI6FzCn3C8bYG7cLbykY68z1wvNKuquR0zkZq/cutWfmR6/+EvH7cAbgW8vqBnINzWrf
+WYHUo7I6b0NkKIzCxZnHYdn5rvvdQw22nawvaO2/TLHzvtEDD5Imx44T26Wtqalh89QufyGrd3b
2KhxZyrOSrtoIA5+T/aSVHCPwDMPifiydNXtONlXEWEK47F/mZN+r0MOgF3gjDLocZKx3vcVueV+
hyJu18NkPTeHx/ncROkOAv6NNXTv6gQ0fNLcS+GGuZHzJRnXix0Tt7RV95VREoCW6aHgpPy5HxfU
Kq6/ktWe7dbV6VF8qmS4ga1bXyivrymM2ELqqLQjDiDYCIexSods7Osnvx2ObkdZnsQ6Pdlo6ko/
ou+yjh/ratlP3M6lUOK0gH5AWXY+0DGf10juIqDu+H8HqcA6Q71JSoUTMaONvpNj017SWTxFF+Vx
dO2AhSL0DQUNgNjE0/gpPMzL8bCPTA9CZRrqHf4gILG+7BTOGJcbkxlnfPQM/AbCv4WLt09xqmRd
Qs5jE6c4O1VYSCnup4YuO4D4u1Cvbb5Wply20EQIfyfn63DTpe2YNaLSpQ/T2a/VmcNfaNNpzXg6
3IfcnhqKgZ0OEPtT/NuH1VmvRCObwOLlx1Sr4YVKDWyuTkWSRUrGD36HvCBUuUE4926X9g9gWES7
92aGfIq74w6NssmvPnk9f1QkdXOqWvBLfXyK5fw8RsN3zac+65S6j+t071B+73XtMUkEyYHSFd0c
gyeMTcFad9glRF+9oA3x4bqyj2MnC+bmoPQclrQKobq18ZrDQRZ5x0ShEYoJouVtjnz0DPNrUiWl
my5fcKFpljTOcWHORfZ0T7lzlKnKIu7lddMWqVMdGrHseCLrbIYat4TrKej0i9cPBSVLXfhi3hkB
EChgzSVmPc8197N0jvc2jUCdCFyQZz00+2WedlNicyOmIwO8k8G0KRYxFpSlX0XT8Gwc6MVsrgkc
jHQ3iwh6B5eHtHevgU5/jDbEQ4CJYga3wsN0SzTchFNzxMDSoUNxh7NvLa4tySpnOkzj8GMazG0z
J8XYhE8uqwU0xuGy8hhtBZFlyPEUugnN+tlLdx53H8lUffTRiLvTiCMEzwRhGXPw6njOnZ4cwkDc
wdtBUgpofMMISAhmcLBPNxYd0+yA+xe8zcM6+dYGU6aj5DCBahwWd5/G0x2LzIvrd8cqnHeYwuKS
Ny3q3yydrIvUQzClOmfrcBu6Nfq95rCFDDpmrlW0PvWgOntf31c+QKHeZFFPQImkS7Gu/i6KhjJw
PLAjoylGhfZytcEuJfrsynWXyNDACnLgyLvf22r0ocFMrwGyPblFfu3oxfWdtwVM6vreW5NLmiwm
X1eH7aLVntyI57GyUAy7GjOjw7YQEpn2CMzcBa2z4y1a1TT5DPx1J0WHSI0uofTCP2K9zK2jbxfd
3ek4+TKzieaCIDU0C5KWM2C1rzyolqLuzGczTmc6u8/tJI+NVheaAlmYBvYwrX7hs+GT1Es5TV53
pfO8A9D0BcL2iimVP6MCl6Mk94NTKYjE6TcnGl7mfj5bQSFeAkvMg26jfMAHog2kM7mtbX0OYefl
Vbgcqx5uWOZV/RIeIjhcz6Z1LC88R3o7Z9U2T+akbF129AlvMvSIK2xZ+h4iKlcsRqElH7y3dF1v
vUEEJdoF2HK+t5sHqItV0H/G2vA81fxGM1gG0zLLgir2ohr/Tgn/IeTSZkaF2UzHH5h4Cu2mp9hZ
bsdoPq4+6tcQQ82QRH6ZF+e5m9VTy3yegbwpuhaxrWSxt4Zj1gnX5HGVHWyAqZnuB92wkrRxcwil
W2VRZcScCy8w9PxLP/UfjGt/M0/+1Z4ghwicF0KCHxGQNhgVN93mF11m7LEFcMHEd+s9iuwr2Zm7
Pge2lKdvTw/jDcTfUuX6wC5kbwt6UDt6Ishp3dC/B/lN2tteafHLBflTmvV/WuRh3t/+2OH+48t+
73CxiHl7+VwClDEJg+0S/W7PofmFehdi/sSE/2/+HLYZoPPEKvYQswy6WHzVb5M8qAgCPS+OQFRg
v7P/19CHP0c3YgRV0Ct7MVBLvJ4cmuSvt1Ay1306JXS6bRiCf0mbhjeDnM+JbPucTMNzhBxY32iO
ziJu1w+qxt65n+DKLP2KNmXLJKW0k5lGTEnX4UltuaW+xUzrbVmmmHvOnm35prCju5oj8QTo1s3r
DvI9sCgEolLTy534GZNa6u5bSjFxOvDgshjkI6R7fwxPZnbWE+nkTKt8SRZ2mlpeLH7lHLQzfNap
XBHFcCuoXQpQuMfTYzvV5rnD1o+zD8PlJgkkmGf22E0B7cpELO6u8xIEIAfHLZCslIUKVjy/eMAz
/2eY0kvPPB502ddeTrSvd2TurgmhaIUClWL6XucMfT9QSirtYbDj1RvRl2vZfxtsfVk8W1KID/6I
Zjmsz3ZFB6ybDuooEDDoA0lupxGzKq4w7EUHY+6g68/Kquh1WRtTweRHphgsODBdOnqHdJgeKA8e
k8aV07GLqKPvmSf7A2juHB1EdAAVMMrHCFVsyOhUxSYL4ircB541TUYq8smryR63vXf7SXJerELe
Lc14jUIkPlt67V3/nGhkikd7ckQEvRCIVY8QZANbinXvVvoPTKfffj4zf6uAm2j336djZNDe8J6H
t/GP5QMzJ77w9/IBtW/bPoWnHUlzIDa/lA9k5FMCAx/vPISRv2lw/xqQybYXHu+9xFDx70Ig3seD
hDzs/QSt61Zb/ooQiHH8jydQAksCb/eJUK/wepD4D+VD1okxrUnUreu29aGrqz2toUMNgT1PsVlw
j/vjZZ58tQ/cFQbTPN3JJkRKR4rvQ+irYnTGAww0UqbBsOS1jQKElGmfTzRcYWtav6A6caDzR2vh
2Fnc9XX6QgnmcDMEQT676xmw8WUg4SFRKRhTh+77pXupklrla5/crMOCZ0txc5hafapF04NyJKc1
YSKrw/gm8sMvNcFzqVlyn9qYI9PJgBUMbz4JJZjO+tkI0mUW2R/Q7rHJuVlvIhm/zBWgaC8Ivqat
eolmc065d7ExOksibnRiuxz86xc5VG7meMgxVPYcQ4KXstl5tfPNZ3Ne9/UOBEMMtbS7dLH66ifR
NaCiyShBeHWGu4ib4k238AXljNyvE+uSRSsFLtQiWTzMEUD/fimTREKQMGZBlEXcDnYGhF0HB0V9
lsGSvtoWHma9Wm9PuN41UQ+n3TQQBDyZO/56F1TRD193T3xadoA4RRbU8m4Oo91CxZGBic5Ant1F
U/yF9lVdduHyNWIo8sySroBMw/NWMrUL2DIW0o/3wNXuh1nGO4+2p9lrP+gqwNRq/0tEBw8MsF/l
kUpvGxP717aKD3NSP/bXkGKBAmQ7m5yjpWlyCDM7FhvokD14V702pQ60Af+afKVRBOm3l37WKraH
6gzGS6gfGDFU0Whof37v7doEk45bl4teDmxBGRSi+T4MwQdeePRhlVsf6j68biTwbHr0/q4RZbO0
4XNAOEIPSwKEo2K5kv1JkOjYEg94Pd0NSQ1vHMmLcplnP/fraNknP1VKSSZdWuPcs86+pyu3Q05c
nGIuQIO1D7FXAOhB6PR+3gNGSKPN4PYrwCtJnBSgJw/+xi+oYX5DJuCJuQp0lSjd7cTErYv7KH1R
gYEts5EQfej1JUvrueQxgvIweePc29gJ3YKHCUj7kBpkG/0qwIxIMV5Gl8qMHkYlMBht3eC5iNup
TMDM7IKN1cB7dN2ds/EbLuDi8wKkowLaEWyMhwbskWzUx5ZjO3YjPgvVFvD0Css+BGRQu+utUnhS
mo0gwTF7VwEpocJ1i26jTCLgJq2MXjXwk1HdszDssgFkCubs6jhH6jpXLfpxGH+pr97DsQU+Aa5F
hKIrYz7ywpkdXnQb/mLJBv30pC7o6uxBJzTrq7/xMsOlaY4jGBqm+iXvK9wGRlRvywba+Et/U23o
jQSDM3fhQXrUQRtDn52af/AJj4wvFe5tEDxjCotiQ3pSRNVASLdPSIx9phv3U8+474INBVKyLkME
5TKngz1n6l5eHH8mNx4gIoeJ/jobzH7ISDVlnK5VMW/U0VRVKq8HkEjUmhsz8ASEDCilNmWPdMDd
TMLaOw5tQ8uwwhVHLgPpxmW9V1UXoacKwEsIs+YdcKigH6bCxd+U0bWvYICCmsLBXu3MoptC9To8
UFyvjbHiiDFBMOrvRRicW2BYbuU+VZvL7/nmVG2+f7BuGyLGn9siutkbvvKUjLaMRhk1+Tg152ky
6AS0CYQPgKWS6AvZ+C1Jaxpe/u4JcKzjaMf5+d97gt3wMcr/gFL/3GT1z8044KVBusLfg879B5T6
59IciNQ41F38iQ0H+K0hiLEzB0lKvPz4p8z+K+9HMGqgE8AORKjQ2Fgb/pWGIN48xn8fSTFNABPA
y4U8gu4kwA/x6zzBATins67iazWPp1r3Rt5oCzE4b4TpOkSU2LTuEzuOCJyJen5W6dYlqxR7LM66
od/mYHxExmop6Ch5bvW0721d8LXGQOFKv1BeG2Uqbb7jX5tlgSSsXJwRwQrEH7w00lCPnW8I9DxI
geDKBCHzXscdfeScHVI7w6WrprxFuqx2mXPllUwsPPi+hHhYf1s6Te+qirLojrZLfEckeGZERYBW
ZRHaB1WQSrjyKULQb1dBn7TlOHuVRmp0pOx5CsWIECW3L9xPaVCMXB0YbZrlAInsBomwk53IA6nD
pahi+eyu7dMUsiBTtPsBKhtuHp2+I37EckgIZQiqmW7JmMEJr9Hko8WYnyfKIEqCD3OMUzgilFm9
HcNh13nYhWJRHGQcll5IX1D1k1xEHIWRPPLE3jYNsuqLw97xruUnMYUfbgidYsT+mIwk+j4OOBxN
HIMHi++f+XXHX5cNxOaWHdw1tUXfQ1kXbfLUt56/U5JLlFLtZNCTDhQmpzRmKIRlx4BiCQkRNM6Q
iVpBsXFZ+g3sA7ix0DD9TUsTOXA1NCmhf1B88XDScwutbPaPi/EQo5vcd1elRTJBSHUqUuGIG/dC
pm81VWckDc5jkG4Zcwf665o+xlULqQ1BpLly3km67lp3PsJJvdZDhBxONRTdsEYHITGFjSDVtXKG
LGKWZ5MjfliazoVZ5Ffc0jrzUyASUaj5DrfXPc5YnelEXTVpnCxcqztENO9JDWatpt5D1Tko6i0C
u+48kLwhZsxxv0GiVV+nxh8yVeuTxhXU47TDRMf2M0FnG7m9KlcZHoVZbueevHijvqaaPUGC4zlz
x2dR04ctsYXDc9p7deQcm0gHyE0ND0tcPbnWvV/7CY+Ix7oC02adpYwthTdUd1O1Hpa2AjM/Oz+G
3gEtEnZ8vxB0oquXQn2cMNXXZNwnsRsW0JDWk+ri22aLB6iE2LybZJBj0YzO+tBe0CW+YzI+Yb0J
rPOR3URNh40qbnzGLOnt3RSg+VL38HlDUYRe8za4nQXVrm/TIfxqHOrmeNRN1iwC25EmrGZZNr2/
U9AYOxgO8WHdZt043rK8UuGM4eaLb1d5cELcnVUNmHVs2Ue7+Ot+iuOvxJJH38MVNoqzvB38Y4Ly
i2U6yYUaB30M8LfcFWG4s31zy+oIHAF/EK251hT3tqWQA23DsQMovfNr2e+iFja47bDGpR/mJetl
9GQ9eFfu4H5WfvjqBu0P1PdjbwM3Y7XehG7/Ixyd55/2hxDiWVjtl346PS6L9vYsEt/UEp6xXGmB
XozEKVSMOJyj+6BJsBaGjS70dNp/DyykB5/AstoA3Yn0N5Ezg/rhak/M+n0I/G99kgaH1JVz1qXx
3ToZWSSaol0coggfNZAZNJMfYPzGoxvrR9gjbY4FCe0BywgW7OHgDWpt8NpF4aMWCFBaxKZ2WAFg
C0QjGyw76iSQT/dq0MGWnAQfZl3SAjulbprGx+KnSmF9FpcpqIsQAj2izZlwbQAG2/5wDJ5kbwR2
4FaWXNlMsNto7OcicXxaBH7/YGUEZx5+VukhvMeZnLelR6Bag6VgpFmKpaHdjYjtcRHVq5DzXAgn
FCW2jcD4CHC3dkPzI4plnHVVs5ZEVrs6DJZDJIf+qLpwxzHkFDSO2l2SrCJDPVz3sulfh4Qgfers
a1vt8c4OisgN4tFEIcexjMCyUi1gdjjAwSIQ6veR9Ltd3HtHZG8vTcwwmYkm2Y+wYAuLtS7wSpfl
hAVk7xzA8Y4isnfyuwBDFHrSks+1PFAp1y+rFbg2dnFgF9eQsiSua42IK2Is5ojM5pBhS+matwSx
wTY9Vel6dtgqEHXphl3FMTeJqkCO+jFx4uiyjj3auwkT32SWu26iT1isteBA9Nod4C+WTdQZYE/p
H1EvTCagQu7nRCP559VYB+dDpfJaeqcZQi7V6hZcMbPvuvUc6OoCVLvg/XpnhpGXQdO7hV/ZCOnn
4ZqS5keCIb0dK2ClcQodG0tlwLkTcLHJUlZRDWt37YHRufbZm/ib4s5dO7BHDi47xxKPqGwGL8qG
sPto1/izhnkKPy4ci4GF+JbMl4Vt3W8dsuaZmdi1SicMkJ5rCtsPVa4qfpaJcA/N3NTPPW2BV1ff
Il9jssOjiyj75yD0NxI4wG/0tTO4lUMtfiBslJZIUXPYvO3zpBIGRpyh/Xec+9Xt3MJp2Y3XkQo4
Nj+34J/zEGcqcQwKmOd9zMl4iKfqkiBus3fZcmoriUV13IElLl/EMlxn6WMsX7A5YEDIGxf01I/e
mbTYtdUlnxZbu7IIxDg2MxyqsflIHLNDVkrvR7hnY4fftcp5BlSAlRBnAdN7mGLMU/wtnZrviIrm
nXHcrBni48QwGRKd1DlMytM62l2LzDn2SmGPTtON53nF/cwqf9j5fvgRgKDKgEY8sqbGH0YBN8K7
sGFLnAFugVKRsD06t1d0YEc2Q6VFp5MFOjqtRIl86tht1CdZldoXL8A3h9+BFQTNmduI7gOhf4RQ
Xuq4knmH2caN4cihiYGtMebYCLcn1BPFkgTXmbMvg7XA7UfAN07X33UsvUCshW8I3WFyBpvFDcGq
tVDsJzWvhfGbMvKswAajDuMQEKkdq/DogD9EsRiWR2F6fLQE0SOKvjNLWlY6Mti6h+EYB/Rkl+aT
egQUg01usadur9b9CBrUT/bDIgsPjr3Dn7Bmi2dOiP0bbkL22BwIUzVGIxOs34Nk27ZXf08idkFk
bUDL4VJcrP4NsMMWCreIL3dgLs94fJ7qZQaUppNnr4sxDiukaYcyOWAx4sFX7dFoXlRJ0N1jjZ4A
OS9ZhIE0JJ7zQo1SyO/52I9z4jM+cgAFxSRmp1rjLPfYd/QqXcKcIqwU1rqtMXb0JSk/KcQWsplj
QYPrIKsL8z0bkBRzsKGwkNyxOxaqIhR8KiqjvlaJt5YyMT3WGNUe8tUNds3IR4ss2m4Mwk9sX3oJ
GRR2gcbLqZiGY5keaRy+QWG/mxl8XJj2HIsMAVag7xpzzsMegITxMmdRMLMoJGzu4mAbcaTh+m3X
Dr35lC5ZndJLPwBfa7uwmHV8NZqBDo4vHhYuYa1Z8+bBPB3T8AKDAN2N6r7jbFngm7c5l8mXkbHw
hODbB+ABuV8bFwqXSQ6hme6gAcIu2JbBYJTI0NfYIqrk+2AF1tRR4C2uWgEfRJewx7YWbrAfFXId
EcoeUHcvqQ328UJw2JFxPEwGT3Tj4y8E2ZPzEFzC6Bm0N2sEKrhBIB7dburxV96zPKS3vOOoAGBW
ZizSHMDApYm5OqPsM9npW0Gad+xe41ntQfRc2FXV7pUAdmuluYb+baQF9sn0xTA49cm46gUbQI6a
sm861l+6VA1Zs7olcthzFD/O9Zij770uvf/KsCgwHR1URlEf1yVej83UvuIH/EIZIg4xesGS6o6d
URVeQ6HMi1ixpVD1zXnGjoJiNNirguAgSJYFolPkfe2M+zY3/N5a+ca7BELqqHEnpN9aoi4soC8C
a4D+RuD+Af+7mH//+0CPFSX6P5G++KLfBX5k9ODlYbMYNtf6fvRrfM/HbyE1BwItBnPvQzv45zyP
N4IhuYeXj2zaO9DtCFP2b/5givXXZDP1MHz/I1D9F0jfnztz/32ejxEPjNDebK4BqLo/5PdMN4/Y
FUOD23EOXSR7zNEuIRj0JggAS/aonj5qkV5eYh/+2ViHP8DGXzSCJQXZ1kE0MywoPWC4h9yaSVfe
OI07ZMnaTcU8mitCy2MRpgNILzV9X1L5jTLotaJ94GGzl4s++YH/0HcQNJt+mbK080dst/UvmO9J
Vjvxl5GnKm9TobGoofqyquaFoHvC6b7OeTSLW1IHt56NyrRXp7jtj5yswXHFSJhPWNyZGzrvsbGu
9JPuEx7lw2RrcpIwMvA4f08YCtO4Ps9wNREhhhQXYOMLmm4hAcFUuTuDVca492y96ZVDacsppwd/
UhKnXwx6lwYAwBC2ylkXXLnoTy0P0TkPw+f/Y+/Mlts20y36KucFkMKPGbcgSHAURc3SDUqyZczz
jKc/C/ZxR3Ycp3Kuu7r6IpVIFEgC/zfsvXbVh8IZpQK7VGqdo6zGlhhUZxrIcj9mNJ+c/oFrZkUC
QKIOVrYc+FeNUcgufjOeUZU2f7GUPrnqNfPTHPHmln4WXhTYDU7Y1O8he8BTzHGkw0t1fKWcvDBv
rHMTjRlz34FPjR2LU+O/XiXZOMBzyUOYlsLwoh5VtVGDvtBGM7jIgSo8njiBUwWYyrMcsRWkpoJC
RA3W8pTGW1Ud07UURYoXhwuDDWGgaoxsY/A4AQ7xBWcwWpxUa6KNJpf+BmJmysylVby2ULN1rsZH
dpmHuY3PSS527RTMbpRZX/w5NpzYzLS11ESqO3VTvBa+OXlJF6RrOQ4t3ggxsTytbK+NGc3GY41G
RkHEkgU1UDWINTcIgi2vK/VwTX0Zb2XZ9132VqrTqKp0YWKlOdnMlVYjHVXEtmtjBVK7irFyOFMR
lGsJDg6qviTac3QMXqCEd5PSXHednK9DyZocqLlvRdpAdQkN2EuVre1Lm0OC4wB24Ly8RRS8L0Oj
x/c50B+nCe18O3WAEpWRUociU5zhMwO2KWcf+AXNj1ojprIGZMshrRZooi76nGTwVuWYh34fZNJW
buNNp6drnxrVGcB/OJmd1w6GoMzBkdg5EjQCty6zdGWAK73MYrzEY3djDFmybpRY0D0r6RXYsHYL
WeZLm89vLVyBTVuifElxtp8iKCErlVM+rStjZ0yDfzQks/csP9duFKl7iOyilVy57UaWf8oohBN1
5aeBv8qcpQTOTpw6jRVWnhRNd0IaEOiEgbGSe3ufZwoqyGESyL46VvYNWihAc1Cy4PPmubSHVL2N
VPW+x9u3Qixwl1Xx3ozz68FsVpJknhr9xTeVQ1cY/ROe2PfBaI+jxlAoRynuWkM3HDvm61vbpm+I
arqCIJGPCq8WMnDse4ohiEpsTdITExXh9Lb5MKPbcqJ4thbp5ufGxFEDRGtXxNMFhOix0yMIbgts
N8+swksiQWnWh7o7Uho5fYQVsuY/zxsMC2aj6ptp4iMUVXbupOA2Hf0XueieS43HgwXpwTWT+hAN
4nVMDAPXsAqArSkCGnSBYEGFIqjVa1S6bKJm9nJp058aa3jsDDy7pqRdI/iznCIz852l6/yXrcyg
P2EaVrbFoYvlLfCVHIi4v4nlojpHdrsglWN2kqPttiMjad9IkHNFLvwz4xmNQKavi3w85Ur7qdDM
Xd7pTzBXwPtmgrZkfoMUBw+tGLdcdLoJFcRymZjd1DCvwpinjF0wPqyHVWJLBfoqsZUqYzsNlRsr
ESusaLgAXz+mSoONN0rfWsvemrl6JYLSk7SKdj1kPKqsxlTwz/prCEpi1UTdlyYyrwErtuu+mHZt
poXrzkyBmScX2FUSZwGDXXU6hG16yWzJFVF4lwLjDI2chi7N3S6LEHC1q04xaif3G5OqZ95SLB8j
BiYyoInGVlZodd79DlUe55g0eYiVG+s6WtSFgZHfyFFdr/+77Pi27ADY8ve1EcrtrvmLeIoVCT/1
oTgybV0Wqsa056uL8aN4CpyADMofqMBXGdT34ki1/0A0xb8CPACoH6XDn8URDilMSyxOYCUt4AP7
3yw7FPMvyw7TlMXXgAL+BAuJ4I/LjnHwAwBivnZO5tKcdrNRZJBIQkYrZ+BUapZR7EjK1vKX72kX
3k5aoDkJeht25J2M8tGIHFihyRoBquY2OtMOeWCOYY0q1UlfvIppDlY8cF7nqmEupgKTrRuE+hnT
1sqPr+MKIlOAmhpCNFRpCyqUNc08M22qKhxQPuDEpHcGKaN1rtsUg2Z76KCdOMKMHnthXCI194wU
WglyyryfvajCzNXLmYw7vLjMWJoLo9ix7YVnnRYA71qJWgROFU/T+dWO64thVPK240lOC6dcK3Kb
njptLjag4HLmSWnBsLP6ovrBK+LIdpVJ5rqd3lEosI3Qq3UvqYGbZvlpVLTHMg8QjiKd2GoN7M1a
RUSRlIIxRYGqZLYY+Yt+POCIiNdKPb93GEG7oj8Ie/CESXdbFl6jNusaWCSnW89JQh9b9+p7y62d
sMiBiuBQqR5zbv1ZByHZBT5yqSVngceDtTwn0rTcgnhZj0V8l/Igadv8UtbyIeQB42fRYtrILj0f
abc8g+QxqnOvlYS1sYxyL/TsLW9CCAimf+SMO8ITzBcifW7sUebUFzFS/7zEdRoo60YtgvyC1HUq
vWxRAgdyIj8h/1qE4H3yCZEwhyXzkkjpPtlNuDEVO1gNFv866oZ3Kp9mFTcj89h+3LZTeKXl6MuR
yaDBb8MvA3pclGbTM/yju3YeL6IXL2pd7umTn6M+tlcGBJy1GWifI2XcD3IwvaRhlTDbKOG8qqhf
ehijuow9QK8vwNa2JgLjY2dWd1PEZYE2h40RWGeWfYgBwxl7uu52YcuBkhj2ujUmecvsT8SFBjqw
fehbuHFZqSluCscwIQDB06UILCk9fSl0fHk9s5ci/BQwllyl3YSIegDYEU+Bp0jNczQU24LbZpVb
jMOZqlMvNDPUAtx40Ix246D5sBuk68mXnupW3hulKjh34nuCAwIokIrJ+gdmAFhZxcJDaCYmNIhi
z0hgcEIYlV1lMf0wki9N2J7LTHvtGwqeFEVxMsVXliIfSjVEBV7YhxygpoNdul/FmP3rMAqduO0H
rxqBpbUhm3rFJn00sZ5ns1hnqb7DnPusJmp5O0sGWp7QAiWr6PemFN6OIEhke3iqQi3alaG9m8fq
4AdWefCL5smgtgLBfCsZxi5UrbNkA5CSjfdSm6+yrN6CDepWszHNbknkAgOZ4KbvqU1A+AVd5NVx
aDOhthFb96Px0vTNLlTi7sa3sCtFebqh/j8YLUPg/x5t3442BLm/O9ry9mv2FXHgv5D38bMfDjhd
ZZFL3y3ImrQ+yvuUPxD/sq7/s8X/vs23/hDLsMDWMeHK+g8HnPkH7Tr8e5bw/48Dbplm/NT9L5Rt
ZH3M5vjfIj/8uM23M3O2F+//Oe0jeMCruirkfToKbZ/TaMer2MBnFQfUpqQfWEQyuLHOFmIgGSHM
mWKLNr4byUxIrPG2l8fj5AO6KUMGgaACYT5GMyjd9mHIpiuTBAY9MpDWYCaoFmvqOHL7dgamBVIb
ZrRBGf0VR66NFs0ePeR/X1SLJcfwVaS6BEDAFVTW9RIKMVvapotjiycv5SmPzudpiZBoUm1aUwET
K1GXd5oBxUTriJzA4I9VYcb7NbSOtsRS1ORTpDhiWgUrPUsCV4+GN4PskHiJtNCF+QnyRrTqSbsw
wHY6MBxYt1o8P2jQgNM+GYHGerWcVz6OkHAJz1CJnlGWOI2+sLbNErAxaVTSdNtvU+Gz+B/P8hLG
gULvOVriOTIt8RLyOmgL840YifCoe0pqKyg/B7JGw0HOR1noSL2WbsTv2nfDV+YrPIKvEQuOA4UD
dGxdyRwaLibmloCBYNYuXLdwFS0UzoLDwxuG5CD0qkfKg6aSyr5uNzC+mc+bESIks9ikkyqzsBrh
6IYoigIb22HHEPs0ydboJjy0NxYgHteHC7FqGVg5LJRCBgLwnyc58te53DChlIvUs+yhvVVYbT4A
YQrdQoaZmjSpfAJRg1F8SJLnogaXQhtlPKF9y3Ahiuo6NJRoZ4l6PFa2jyJrSov9wkygw9W0+OgP
ebkgfcdjV8+p4syZ7L+NViRZMCilapcr8iUpbLEOw6G8lyfeeM+3sClKsR180SxUcNkixB7aiVUe
2uwpUyqnWeTa/SLcbmpguSi5W56wjO3XaFKOjH6f5UXyLVXdVb2IwP1FDg73ge3WIhE3F7G4hmpc
W+TjVSaDfV8E5SjLYUFjw1rE5vkiOzcWAfqsJUAZFlG6ucjTi69KdSW6Nb9J1xGxF4ucncFH/2BD
lN4ZVNhOuMjeCTHCcI8Sflwk8QCH3XERyf/3Yf71Yb6Imv/+Yb5klh27qPmf81tE+fjX5/ny49+f
53AbNFPBjWMr0EOsBVn5H7eHwOrMGBUUyTfDx3+muSo0S5ufwa8MBRPdFj/1fZqr/UH8BT9Goplt
fZ0B/4tpLr/nx6c5qSN0KfiZ+X1wYX56mteYmBu6ouAcpIHTKIdIC50Pb831N+vRR5Sm9jXq409L
koX5BaM0v4gMFJJQuKgfT4xMFLJdptNICgijg7Bjw64ocb0xs/E0MkbCdg+Q18Mbws5PYrXPGWGh
5mCFUSBrsI2TWZtEJjCBrU5dLUGizzr2hifWz/K41poO66NcCnNes8NfF+Ugl9skBFdeMyzyxhEw
e11QWw+ECHp1qJGIVQyxpxol4+feuCZ6IfBKMONuVwS1F0lBqqyDuoglL8+AqN3m9Rx+Afres4yO
mD8CIZOlNQAUTQHsiBJbXotSy3iWaJms3rZ5icCirMbq0jJZhWs+b2ZpkTCN4ZNaAimngnfgv7Ex
s5Od2ldez15/6AyBGFi66sL+QU/Uu8pubutkPgZ5/2DoGJQto2LmHGls0zSY9tUxDOOdCIJkJ+ou
ctGhHgYoNmTRWYhPC3bVI0wpsqXmYtrXOpt1lGerNDUNZxn81JERb8kDO3aj/EaBy6CkVKnyfdRI
Virew7RI3cm211NhxE5r82xCZpFt2nHEWK368wFZ/aH3JW/MEmw3UeBR0tYuKF90AFhhh+iUDbq6
9lV2hYTAefNc73yMhCHEDi/GRucGUkIQGtCLoBEMyMZ6XYfZLefNIVSZQEtgOD4BnCY3qw4GNATG
ZoQ37IyCc0hDYcZzzs0A2o1lhaU8Z6oWc14maFoQTKLuDmL9VtfwD6mj1m3Bk+nMeWzFzXzIX/LU
nioDCW5g17s+GSevSOV3aoDP2NtZFAOqP6h2xo41TPToUiI+YGq9aANEktEvC2lvJ7FgIiR/wlNM
ty9dtcK8b0PJS0OfNISpJsWNEkAl7SGzLn2eb+xYcePaXzdCQow3JNshVZA/triBVd54PTe3jdw/
ihmPeomemcXOC6CgUyGj9Yrqca+n8vXML+1FDrg+dGZNMMmWXpVGvEvSuCu0+ajy0GduyWSxsOa9
mc3WRo+hapj6fTULZwn16qlcutZqDyyJj7oyXQd+LJh1ISfwE1Z/gfK8hN279SCOtpbTZGrnKtxO
dLgr4Ca44wE2m6F0Z43NvcZqdQyS0dXD4FrroZqgk5hoQqMD6rUdjsXUmXvxUErhHerue4BjUBiH
zZKpp5jjvrKlPVEQKANjY1/FtpcanGSW2bhqIci76LT2RhviPdd30GP5hVSw2CFJLXJYlIYbRS3j
q0wbk+0oZQpiT8t8aqg/asDok3+ftX5yM2JXIF4xFWuNzAuGjm3oVhKmpzhl3xFyzDuVgvVr4LbA
+gzLlZmFRGwfvESWr6Wx3GFU55Si9hIdV/nW22xYCM5140FqGFv3jUHsIVWHn5YgWDSbqUOoJqzc
u/QApRUSjaLftDLLLrVi+Bn0aBuEiA9ML2+zMmHhMsC26UnO2aD1fzKM25hP3q06aXbNsckZF6TG
yS9D3uwZ23NiFG9aEMc4kKeQW44wEU2/k9Fp8j5OiRdMwTFmEEtUkX9J2uKtG+1V7DNNiqllfEm+
9Q0+ZbV8abpkTfm+7eP2i1kP51SfYwAQYBLVIX2mMdyEhvmy5A10FnNnFJAZ1J64ZB6eW2xjpmPj
M7wBMxOn5jqulM+Z0Y5eWelunPfPvep7oPZKyvvupWm1TVnzMSfDRvHNR5E3DyQUPOqiwBQ+xrdj
Oh1ze9i2leAGH+LHIJwgtXOLjuOp9zMvyHw8aKlx07bzWW+M5zHUrwqUN5bWPw4YgcSA09Wc+02v
Aecc5XrFp7HOkb5iZwe8HhueFuu6M6ZEWrZWtAuaMVyHak5MkG7coqnnHUwFq4HcvKv6aN+q6Iib
SH7mJCDZkQ2cFOXXBMe12yIOHvWpMh1VJqQH1zGPG5c0wJOac/VIXo8WckbCrfai1Z9txvs+uTml
lZxhNm2h6joN1Ew888mrZEmujraW0CIkyJ3/KrfJnvfajeYRSZ9i77VuujSlzJ+pNXsiMba1brz4
MrRmkkA1DCBABl3IKvOGMh7SYBRey9r4xZcHVlBz/oLAF9nMHJ1sPYVzUd0hf53dJC+2fYDO17Kz
6UhbynxEoW6OXgy/OMg12l1FKVo85exDCk0brtGNAyuoA5XSuH7K5ZAoF9k6M65AIZRX1aHByb5q
wzHb6IbxKQKG6lZyID0NpcH3BakaXUDps5aK0s8jZmxXUYHGu8OknEjw8L/8vgihn/5Q5iwlCDQ8
OmCqELAS4mdanUh0AeDDl67i+N5IHhL7TdO/OZ7BtP8aGf5PL7FUWh+M1xPfYiPpeAm5gk9qnrvy
PMbXv7+MH83d3y8DrT+1oWrAwvnxNRSlm2DHRMFZhs5kmeeZzdZ4J0nu719mEeT/WLDZGIpxDTAY
JxVKBqbz8VKIKptUM+mDcwddukKO1hA9I1X3nXa96H2MhoBE/b+txP/JQfgQ/76VcN/T/7mimnn/
axOxYB2/NxEK5CMB7ZH4jG+u8Q9NBOnn9KEsRL5j3L5vPZboQewl5BUuwV6yov7ZRGh0HthF4LUZ
xlf/x7+yjP/41dfJ9xOYTm1M7bjFNW1BUX/8vrQ+9PV0zpGTsgGUk+hoBslK7af1h3fmF52E8nV5
8uGLqfNUofWR8axAMEC3+NMLkTeVsBBPhmtdZ7LbEm+irfWZhN6I/IdCCXgqDyZrvrY421N3rJLy
3lRq0lgg764GCvh1Uovk0Nc6wsMC7IsKjNKR9HJB0NVPQ1OWKyoqhv+LkiNs0tuSF1wpZXpdyBGj
UpMC06qUCi3zQmFChIBKwDpU0BxsNCwr8m5n19bJSFVJ9wTgtFE0vXU7IHBYP1Brm9qjZJknW+ts
lGTqU6iBZcfUeYup7EbKCB+W9Ks2QtonD2xGSSvc1XZ/NfhZwDhC3DP+RfAX9L2rLMPlrsd3IM2b
Qesebat+VwLzJcgmTikcYElnsrmYomu99g8GER8b09S3hu3XXhPWfEJ1fV8YwTaytGCVhuGBKIa3
fAgTGDJyyQSC0zwtxpLDbJEjYG7biHZ+4Um6DILID7aY8UwpbQ2Yi4qztTPFfd0Ep2LMOqcQ041Z
dR6DyS1uSgnNC9lUg6ZikiBeDjqTfitNZbrKWpT5pv1it7gaUXd2i6ek6TSCBdhn0wGbfH6xh5/x
izVhbJEN/YTGnNF5juSmYgElzOlKIQl6nNh4DaGINolIr8mjiTeqOnhzpp2CAMhNKzTP7nlvwyFh
1m7ovVtWZPSiakGcdAOrZXLVuXmIDKjLAdkkSGHT22bodkJP0AGq8ieZ6HAnGKaHNIp0ksPmszKC
TW7CuCdGpf4sUuWzQkG/Qsq5BVS1g6su2DINHtqkSwbcajQL42iqZD8baf5pjsun0MRRlBnFHfsd
BMuVSUvQoUs0h5Wi+gsyhpQUvmKgnLUB4hU0q9c8plPdzJYEg0c3RgTkMiJbgmKVmlwebahyVzaH
DazRRWdA05CmOhxhxJ2yj5dQUz8Psr2LdELGZ6ylFIhl/4DQf1FDALyiDYmWtQ1tlpvEyk7FGykQ
FrWLcdaqXtlS3ohEemewkFAONxeyiRf9S89ot2lXI9agYkjETsp0lDxDf7Rqln4Sw1o9SpAeNH20
4BiGZyM2GxqH8hREsr9qypHNKOJ2rTmWMYTDttkOQ/tE6h62Rzte9bFMelNxSgxuWTVPrtmVHFJJ
2s0pwqUwCMP1PE5IzProszFMGQU19c7YiZuwNbyxaN+xjQ2rsUMNYpRPQ70G7r4LtZrAKGk7GSYy
SPll1ic4O+nUOFP6kmq3/dCgy+n2JQLcFJNQnNcrZYOJNbS1FqOluh5UbduTPlyLkD3cXPaeasbt
RhYow4Jee8k14bRjMbi+VAPjGkqvE/l5KoZnpgwohCbtoW1JlCglcunulklrYNGlbAslo1L6h8fo
j9Em3DSICoXGgk+HIsLU5yc/XtMg+PUnY7omWd10NM/fj7fFCdKPI73mj+CcdqgwHP/Ajq1zGZPs
fv/6PxUx317eNjl3kOnpaFJ+PC1qH4ibZHTzdW++lv7OlgmaH18kav9//zoKQzJTYCzQWPr/+Dp2
y5kVEQ91LaIj0axOmr7bwQ7Cxj+8zo+n37e3k/eTM1Aw3wL4/uPrVLi29U6E8rWhH2oDfCY+Xu3x
99ei/eoz+3gxP71IF8pyowDWvMY48IA2ed1v5c+Wa4HkPxHBEjg3DE6cbKNs768sN3Wu+lO0eWjW
/voS7wdny57g2Lr8h26x4f/rh9//fcryZv54MuMnABZjUmCjsfhKh/1Q/aZEXLKslsU1Aswr/yKv
5ZN4DPakQmKFcydn/yy8cXVVbYatrq+yA+v7C8q0DTDU1dc/5b/wEIUv3t8Xkif0eO/1+/TXOnL5
uf/UkTJRHiqf0oICoSCkIvwwjGaxp5ogRbgnv6p+vy8XjT+Ih6SIXPQ2Jr/t+ySaITXlqElZYLJc
XJBE/2ISbepL9/Lndwh0FaihhUBiqSo1JBDQH2+krKTEmFg7XmUqnXsp+xq7IPPZtIJ1YXaPSmvc
Y4Xyp95TKrFWKuvStcG9n87Jin5FXZVaQob8dDKOcSB9UofkPiNAzhXqAryr8zejJfF1QmRfZgg+
AzKaSuxFOvbIVYgScsX99yLlffkmWso8FfTAOtYifzOH8XaIamPrB/We+ginzSKJRxqfI5GfpRZf
A5r5IapeJ0T02Hxfa0T1WP2XWInx1H7V2y/K+xIJfse0Gicsqnw2ZS/IKqJDXgp/LQbdYIod3yeI
+eVF1a8h7/cXnb9hIUxB+E8BdYWWc8U5dWvXXoI9oGL8RczPcI8L+Jnl1nbASNAsjgIiAly7wYyE
20DELI/S6WrEhUAa7apabAkkQH4u8ClQjVXEJgxXNmEVGKOUnVZsIH+T3lCsFOU2qE61uSnb5Lla
/A/8iV6zOCIQhbrp4pFov7olFt+Er2GhWpwUvQGcnS2nF/vS0VjcFsXiu/Cjbj0U8U2JIcNYnBna
4tGApbCtivRzvbg3WqUpnRAKcL04O0DMX0+IAbFGMbJe3B9hjnBn8YOkGEN8DCKNHqDgMes3efGO
EDp6DInPLTCVjIZvk7llHgfsJmlpX6EycY1YXzDK8XEIoPoyLDFJamZWt6hZF/dKvvhYghlHi7H0
umizSbBY/C5RhPMlWjww0+KGabP52m7NV72UdgGzxE3XKIBImRcqynQZTAPPL1Jao1I/TRidV1oV
3+Qii6kZao+C+V4vGPFk5EThBbCOFcTA1CpOZTy+9Nn4EDbNW1mRpCSGiRxRA0dREXcxU3AsVUnc
Mu/Bet5XyWMX1YzVLIibUZhd/EZTodGM24wmaMN8JnfmyRicpNipSC1ZN1pf+DzIhCzPGoPTxJA9
XaS4ccPMKXvgJlOqMnXMX1LB6FYMp2LG7TS3+d5v2qNMcLKS4dRNGTlZvfUWE5xlh4FnaEpKt9Lc
Dc1C1JKIwTAo0It9V2vvBRKVRA7Okpy/5E3KBAYDIyOuo6bWB7UrTl2fLLTq8ZJmvTf6GK46A/v+
sMUGw2pD2+jgAKuAXCBNhhAyqYcyBaXayNdkJ6ebbia1FSb3YLJdbbR5Q471uexScnxnc1/byg2s
qgPl8VZLmPJOKdTLuFdgO9anAJNzXvafmmgyWaMrt03RPOL/PfhjfEIND1V0usnlFPEbN32SEoE9
RI9ssjz83tvMiKwd/iHP6KEyRmbL0I8tPYl3Fy0OdhCJL5nUs9yQK1zODDBt+Ukeh0VbCqvHVrqb
IdQZtGHPmU0M4/mcPXWtijgVse7Uuso4c35a+Ym57wtaN2+QhnVr4/qL+ue8ZqGhy1/mBu8XQvv1
3PhPEVyoRRdM8vGNEtEdkNGVKuzicbFPo6qin2aoUxvpAcfYUWP9NLYdlR8baJKzz1qfIjGamEQX
wWnwMd2SPfvWR63lSHV6Jcm2VxX2FUEwLMGGcZNVsljTRjxEojsiAnlUE+lK+PHtvHyEqqW/lWLk
bgzWqjIcYBw9jnJ/VoW4klkWMFMu1vU0vCoSyMSoDLBVVZDUWz6LWmDV7YLIq6zspVTV04SfAyLT
omyiG8zJgGwM8WAa8r5C2c8mzNUb6ULcMeQA7c4MujXj2TfG0bez3gbHHCjaDsPETYmwUFoojD74
AW3WX0RpeKTXOZo66Nu4NbQ1kazKNhk17uXgPYGc4ph5IR8mxtyCoLuNEABh5IgerdJrlvZhuVJG
C3pAIG+brHtqhui2yufj1AV3ft1scwn++zhYD/kQeVwzdsH0sa3CnvjZazwEbiz3KyU2Jh4rI4Py
4jy0AaifuaH/7bdSOnvtbO3QeV7mVGzrwOatEWepIkU27KcLURO3xM7DkcUx4Vo1DINeDJdSNU5N
ynm/ThtJSdfdUEUPehahxfMN86DkbAYzK+03YQUdtppNJ7J67s75iGKFIWbNJZE5RA7v5JlBbl+D
v7WcrO3zNUTSylEgyNPeIG7A8v3W474gMibecMKgl7NQ2ZVKShAQqPmvGeESEYrEdztFb/f7OB1J
upCmLzkJWTp3MWI66B4qBmEgDEA+9TR97NnaglwyatcMLaYPYQNbN0NhtKqz4DgQaXXOK9E+xcJE
kQEBTNpAtdUvzZDPhNPNIJyHVMPu22eaWJfDnLqzkI6DWu/7MroGMLHRRlA8yvyQVf5NUNWHrmLW
ib5ipaQWKD5RPWFij1dmMKxrQf/KltDrNB9vdNu+9XHHJtB61nz11A8Th0zkZl2/aX2ksWpzV8qA
TCwzfOXJ+iCr9dYfwrOswxyO1UM28zbZYbTmi1Qg1VCfylk/QKA/IYFXVwxs2EwlG6Kw933HEV1P
neUatX+OZUzXSXGDOC9yWO3tysA46mO0FfWMl6HcZfbg6IWcuORRBysjVoGYZbf0n8iMpsmFi3WX
p0OO7jY5yNGwk2WJiRRMQ1F7yljtCAHypIT4SLM6BGX7CFDgkOZiX6uctKoFgLj8tPju4yS4jD6V
wqSX69kP14AgVnrVvoMlPwLgXTV86caxO3R2+slQIek2pCgySbupF3uvEq3IiZkcNTO24SjfNotK
q82BZ0yjwIdLgEA9EPwWuLaPOaGzm00bi23WKU+9pa3SWIwbYAqM4ZAY+XwfkS1WPN2TJ4C/K1Z1
5KXXytpOOtQ3QbqTyvjBtn1PteZrIr9CtsTiDkDKRo3LxwKingvGiHEgswO/Lki/iodujWjzatDl
Kz9QX0YZQncUl4sCyovtaGejydowWjr0yfxeTkzuStp1nu8Etit8WYJi0NHmmuhIp1KsabqtcyGQ
lmrdukgtFHGtfEk16Zi247ySAnXTINlxfIzTyKXkbBtOxrM+xNOtzZPGTQiGGkeLaLGheBz1+VJK
xjNSCn9TRtWT3FO+yEa3SZoemHXDVVs+TtHl0VPBhO7h6mwDMFLQCZITzrANtvz5LCn1gajTiuxm
9ORVnX3pxdhQIjJC0vinKYEg0le3QTSWXjpnu8FUWL223XGul1Nb155GwY0Wy6xC69EmYnTSrkQS
XSWkR2uQ+3ZmODPP8WuMVKP6SIxGsB9q/2I36bMcMVlabncDFq5j55zmCdrsZytsb/NSu4hhjI62
Ct5ClLuglO9gc6Bm0EFuDJ0XAEOT2V5XgQwERKudQM++dBbkMQ3VX6Badyw991GLY703qDNBpTdK
+zSJ6sYewVjmpXkVi+AqM2N89Np0yMf4oUrtZ20kd5Tn8EFX43zdBUaxUVrtec7snb3s7WOmwV7e
84slkHKFiFq3hOy8jVOUZs1X+UfwVQoyilihjcDjq62tb3qRRDWktfJNR/Kh4/vFgPynScSy5UKR
qWDxBLQEEuqnBkqJZBllTR6dY7zQeX5qID3Y2u3vX+Sn8c3/vYjBAAmNKuP4n3ZQiT/WKoO86CxP
Oyk/yRKTVO2uHe5+/zJ0oh+awa+rLpA9BnsomVWUbC1/xoeBgo9mii5ApnBXvgzFvaR+2zf97bru
F7+fBZeQQWPRbKKY/fH3N/ZkFIWRped84IvG1PH1X//9JlnEvEO8UTpW3h9/f2CC1lB1HF4WfYd+
rdvfeGh/+/cvA58/m+W/vj8//f0aUPhQ4lFKzIknYckXm9p0NciO72ns/v5SfvFSi9qXNY8GwwuS
14+Xklpg/FBBJWd8knAQWmylCydzxTEslf8wTFv+7J8u64ePZfmKf/jYZRFlSKHSlDHaykZhS9/V
usuyuN/8+4v6+Pn/dFG5iaGis769kBq5+FzHcMM5shzF5T98135xX5qouZHycTouKu0fL0rVc6Xg
4M3PDYgwGLDjWvc//f5yfvV1/vASP3/d5kanVtLl/Jxbr7H/rEn/j68zbFiNRaJQ2Pb9dNdD6tJb
TVLyc8wTUDUJOIxXv7+CX7xJeC1kg4CXr3tn5cc3KZdy6ntDkK9pvg7mFY4kR25vf/8av/om8yU2
CYghWU/YP+0Pbdwc+QQQ6FxT+E0rq3KEfkFvXZTurP7DN/kXr2WB6WbUbgIgYf704/WQjcSQDT7M
GaTZ/7J3JsttI2kXfZX/BeDAnMCWMymRombJG4Q1YZ6HBPD0/0lVudp2V1VH7asX3dHhkChRROY3
3HsuqY1xuYzwJNeLkhrr5vPX+nfkqU7lvx55rrP/W5XNt7c/EeCqL/w+80SACxqdwGG0tkouyx/9
h5mnwdSay9J0UespZer3maf/hbU5gUIIINSgVCl6v489vS/sMGxkswTcgtplT/8Pxp5kMPJB+M+R
x9gTSSy3GWt0i/UB3/fnD0odBqOjGQNxyHb5IFUe6kAwqsYIFyZO25y1WaWmsh98cuyqWyLcoUoW
GtOKHJxBqw3FYQ4Za6Qzo0GGpo+AUcWqweS1rHiWN7PC1uXxHC/YAyshVF+u68AfljW+deCo822v
kl+t0YswV4h7n1BYFmkEyMwE/QoCY9mBhLuGCNkuHh+hQSkmQHXblBE9IhkUO0MPX6l+7kZLv8AW
fyI5XFXcgbHQm4TYQMeoiGqgyqX7nVSibUm0LUzd56AzD50Ltigi/FangdyEtRste+nqC1gBLy7G
jV2nUnOb0Zk2fjm+u6X7Ljw/WeGW71dtPRz90XrigC0OTHyQeRLIaw6AvVRCLz/mq1/kVyldumcN
YknuS1k+jHjH1kx7t6lBHJlD9hjm501YYhIO4L/OTv7uIhMcVU5ZmVVbm+QyRHE30k3DHS4MeuDB
CdcpyemrBOTKutfGKxExPY1D8yEmFQ29GyI50yADw/CgFqnwtIQUtWyQpNZ3X4mop062IMwhp7ua
VfSap08PXoY3/zy2WAkqOgKs3WwB/ctIqz7mPoIwpyTSbdLbWDMxkNtzNm7zGEpkHXMuV4gAr63U
vMfmTHruhAfTVPLQMLWeZx1WGuo6v7/r3Sw8YWCsDrOeNz6wgnRXOeVaJvqNAa2XvaoHfRhsMzyf
+EHhnHHs997CIuN9ZYWMqSq3QulZMk7XtPIcJgEoMHKTTFe/Exp2HpmQOd2jBclcFGsFbzH2miAZ
H1FVvgkrvww0ImZorms6NDA4Quu/AcoE2mtbz0wqvjIgJZsvFNvJt1HBMoA3dWDQomxXI0Gimslc
s0bTyshgNSaC3Ov00g0EAUVwsLwJNeVcfOhqIjL0HkQ8hxSVKg2dxaAlr4arPTkmJvxovMmi7nIa
tDsY4V87NoToInyUd9pFPTYn3QruxyK5mGTOXyswH8KcwUDUBHfBKECT8g5VZmhvrIpVfUqhV5j2
cyDkvaujucxCWq1RQ0UgYv2ltf0b2SSnEKIb3CuyicRwJQ37xiLndJEH8XWDANr13KXteQeFN+xd
eVFpzks4dQ9KoREWDmAPR2Vs7ayGaa1Oy5u205PTe96WlUeONBxLK8ccdLkaqJiv6APBOOBJipun
ps0Plj8cU8vcR/r8AP4OlTgbkmVtyX3VOPGSDyzFnZbdANZ4qawcF36aNQtUrlsga9Yaq7y3Djoy
XnB+5ZvSZy9h0zInbFT2QO2WY0uCloluW524nFIG9EB7OJe9Dm2NkIdNz7Qq1IklNXCQ6rwFnEnX
1gRXsPdfHRdRYSXce9O1j0jGk6XVA4IYJuCZpTrimggyWKjfmn5BvxahSqzafNFCcfENJ9vlULCN
rINqTiXB3GN87Ofw1tDtF5Fj4g1N70jaRLANQ03bIFm6MQQsljokX2kyxYvJuGRtFBmZiW61niyN
3JTYtJVddpMCG2i6ObhNauT/cWPcFfFQkDMp4tcq0k5uOQxrUhIIZowfZTRcNTTbTMs+Zrb+6w7Q
OxQPHapKXRnLuHU07NbtnD/m4GrC42yGjP7coYTw6lw4XnPnq3jmRgU1z3P5tZxjf10RckOmxvwU
DAQ1i6FloaUR7tI3Z0SUpyg0EJQGX0cSoQ0VDW0VzSGbzXUa2oz+OueaJOhj78O5dVWwdELCtMdA
AXoY2B4VPu3IgLZ67u8scqnjAFcfOdXJoKLSyBHlp5mffJVlXU8PucN0USZnPg+8CWN/n5N+PTsY
wTrFgxn0gn4cvPzo08aTmW0AfNTJ0Lb18b4wcevZztklY7tCWM7UnadaxW+LzEWJoiK5fRevQaxi
ugvd7BYKayXjaleQ5N2oSG+Rtxw7LuMHFfftqOBv0r+JAK+S/Tx7+l5L5b74jAlXgeEwg8w9pI94
5as4cZhyBeBZSInEYBgQblFGqfjxf6uy38xR9C9/XZUpc9TxW/f+J1WZIj9/r8qIedQ9hgiwqj4D
rvmnP6oy8wtGJAN9H2pCnAFUzt+rMrysukf+Ldtm/Xee9feqTOCAFTQQKGM/0y/+WVX2a01GCWF6
nungpoXx8KuikYzAvs4B2+C+PDehvZ64Y354U86/1Xc/2qJUz/efqo+KScdWxaLd4TfEtmv/UvW5
pEpYvej7q9ZOkKo/aPqVz+AamVWAyPbUGuu/f71PteffvqL6iX5ordWCIkZ3TawP+zkuybBT0FMU
RvCIy/ZaNqV3GDpyG90UEmbrEiA41VSKY+CsgcSi6g9B9Y+IUfcu7lKIRqxTjRbCpOVFl06ZPRSe
mYJm1d8GLf3wR+2Jdda5NDhCRWkD6wqJ8yDBngrDjLx1gyYcIFMcspVzt+2UxRsHYPkmxPa1DUjm
WsaE/SxEg9WkmPFMEOh7q0mPrX18Q8bIhe8gtRHxcKnVAX+lhGUGGbcLcDAreyKl15XXgcoPCDRS
L0rjDIUDYqS7L/Qe60QSXuD+xJap3TcaPoOh+DrM1nkU0W4Qc7s2KM7izt7alXeAsD1CACgl0/im
3QbRdCx7Md8KgFrNovkM2SlV3o5L8E7CDmZHGUsYz1yxzoIJ0YzlVRbalx0ColORz1C0WmT3uNjq
l1T3Ll1XHtnLXVYi3o+pPDZ+wKotPU2z+2hkRPfVGhcGSc+bxoxfAZ28ZVrprKVjH8fKPgQqkCCt
LrtAEss27ScrPutzvSwCnAPjdCknTLAe/IsOEyxpyPKiHfTHujexUCFpyyHUOhl8ryCf0lPcF+ci
7ShM5SmdU8AQqViMFRV52oGdqEdO/HZI9YVNVwvq+J5tHZI4TQ83Zl71+76X3TYLzPbai+vpMptK
shM8E0DJm6/JKzvybtqeJQ8pIEgMomZjsOAIsvjcF9qtHIpNpPFnKYGHeVB5Rd69CVi3oBySa5Ml
jN+jLY1Gg+Wpu2J7cN31HPBtNbCvt7eyGTbkQ646TAa5oa/KsiSFzT7nQV0vJXC5RZelw804RTfE
0u8bEFpe5T0R+7YchdOwsNGsZULCXWEBC2MNAouZGzhgoEzOp5EO7zppdQWrTUAbDNKFzzoc6Yhl
xVgXJfiW8BzFw9F2kl3t5NtRd9aZKJaAsC7atsStwYJ67tSm8sQ0d2VKbc9BcT1hWkeQobcLpHmb
2rce7KZlBcVkr1aRdIWTTbsUgBYxEAXTfha+1qQd0na+ayu4qoQ/n+KmvE0GfQXFlI91AMqj90xF
kP3G0v9Y1hkSyoSRvGwbImFamS+dAIrm5zHz7yhCDe3++tI7Z99e35s/0V7xVX/ceDpyfOTev+ur
lLz/jxuPRDicwTbp7tBQdCUh/H7j+V8s7CpKvs8lwWCfr/p+43mAHcha/5Rzup/Ex38wh8AG89ON
xE2E+hvMNCHunkmO0a+xb8MkB7uzhbzqRjISGRo8lgMSblXYZn54RSJs8grqtkCtat1ZHZTrwdKC
W7ZbH+DcNyjE7MWsiubQq9e6KqNzwUo4boKXRpXYYwbejE3mje1n4Vb3y2Arh+DoqdI8qsRLb8W3
7jA/Rqp4N1UZb1b2knTHfJeKipAASv1cFf0W1T+O/lteayU7oHQ8xtEKbwwsMg+NTDC7xy717xnM
U/ql4VvSekfUtNc4oa4i5NGlYCAx0ImYyCo3NpMBAqaG82iiRmB+6y6EamHyLF0GoSrA66VVE21K
3BUVI/BVQzU/vmqDUtUQ9VNlra002LqqWYJd6O+Cyr5rfBJgoKb3ZM33gI8XtWqx4hwolIFVrVPt
F5P1B8d/y8tg1ZiU1rRoYuieep3AhyoBP4ZcnujNiQPIHXpW3OP0Dip2PxhiIyxmQL4ePYRGDunf
05B6MBpiZ0cAxLxLTHElY3ESqnUsm4eSVpLL4YLcK5a780rp6oFU7/sgvTZVDxo67o3HOxTEgAa1
stnILDs1tK1urL+k40xsDM4M0D/0tj5Nbk6zm9D0mqr7RROAqa838NbRGhuJd0dmEBL3WX+AKpTh
CUsuZtrpiraa8uMiVH12S8PNbOXrSANeWehHaMixe290GnT8na8Z89OFo3r3pgrFYlb9vAk4StDg
66rTr23/yJ/pUlKe1QQYBfYHyow192GxkMwJiM9qV6Yd35ZMENyESYzOTGFO4Bw3RfnVKtxnS40d
imn8ZvcQi/mQk2cRFugnyD01huwt4BPpNxYhBgSWETRy6N1pV7odNQ4ljRlZdw6TjzCOmRsF9dnQ
oYVwT4zKtksHp03JSlPDk8miNNFJg0463qS5wL7qRBC0bFJHGYGt/SoHzq/mMa0azQSkop7MnllV
+wyg1OKZe87xqpRqqhOFLP7nzr4n0Si6nmTj74MUtVMp2nFrD6g69F7acEeMZD2puVHMAAmRYOej
mahBVwVRkEwUdRCV7gfo9wr2B+TcJ3UwtW+LwELlxjb6IbYT1ZIym/OdmekTuagFkBFfovzzkgTf
vr+dKtmuQF15q0422YF9rlhjyFZyC+u5HBxSyGcetyziI13IzuXyJqSDDcOSQKRV6PnjrVeRWVai
Phqj+c3sRtLPQ29FZu1G54LuU4z1M5kq+De9aJV6Ib2/OI22vUA8uZx17zF2KBs8qtbOQ5/VdfvY
o6dFe5GN5TmL+w38dKCqWovuDXmhNnQHOyrCU5aO96nt3vLuGtvat09t0pzHur/3U5+BJ1lvYSBf
Wtd+KEvrKddFtjCDGosrLM26nmelBXtwIoRC5ZxHSyQvOHUGkNbSYiAUZZe6JNmGnM8llSyVKf5P
VvYVoxBt3VjpxzTX91UiHqo6PmaN/QJpGk5+LmBD+we3Zxhj1xStmIXRQ3ShpswbL/TRN55ZXPLH
g0ad4BTtUnGfD4PkCbG6pSO9aM3Cf+XOmo0ZySc0L61XZcfDNPHoETh3aiNz36LcgU3a3SQ9p4Bp
HChOLyDGXKZO1mDIEeha1ayXrFqfsDBGYL3w8KfgJ8bT3r1r0QwUxq+TTdf7zBsr/YSzXlsPMLp2
JnKROQy+aVNOwPl8r02w2QG+kg5RJ7cTIB+S8ND3tfT/gKbTlQjrV3DAyC8avVqWeXEfey48guo1
niGxhaae341Fs9MKE08XCRNBxV8jE8Fm6sllI0SbY0PuRV4Fq8Dtd1XC7VB1r74pMdjmGZ81lFm4
YDNcqM2h0Y0JtUQWFmiWEJa0Qdf6X8287cTx34rocwyg/21FtM3ei+K/CyL1RX8URMYXzwEgBc7a
JpVSbV/+KIjML6xK2bow76IHV87F/xREbEuAsX3fzPBP3wsiaiXP5HvxX0oC4f4jU6Ph/rxT/a01
Z8PD9/QoztS3+6lhhklCHdB7/pWZUzETTzBXEKYUns/SishcO1HeBl+ZdDbXEKqA+UE7KJYzgD83
8S+bwqcZztOXlPHkRCjGYHbhZqLjYsZpoX4DZTjvi9Gq1/3gX6ee/ACpGi/B6VG0m1sN3mnYghxw
6i2O/q0HD3WstJ0GH9VpAPCKpLwME3mdKoSq2zWrEIk64wzE0pw1FrRVMLwaU7Rpi3nzZJL0ESsw
K4pTJLP6tJsMVp+FZryACEAiNDj7BmwC5/ce3dUr3P8jcMWM65Tf7dnneu0UFpZVwXszeYiREiIp
AGexJYAlMjNSxTuFbm4wdjWc2UEBZ6VCz6aW1qwrhaNlQ85vCwWMYPT5MW+Ho6cAtjIBKdAoqK0J
3TayQUZbfbhpFPjWaEImD7BwPZi4bLagIShMLqG+zzl0C4BepNuUV6MC6mp54GxyBdkFKr6n+KE+
iimiDGxoK13aA1Bc8LzgE6wVGU/5Epo6PrPpOndSjkPSHkHgvU354C10T2XFlwErGaxbVjh9A88p
EaUaH52pHQxowYChLhOFDw4USHj4RAoruHCpMMOTDXB4hDw8QyDOtUI+8fe86Jyvc+4e7bhVonfI
tclBd4NbqVDGiDaTdoVbq44uWbT3xDXEaRguqiwrI2L+qGiJDwwdsc9azybZYIi2sefh3YP86R9N
iIEHkZaYI3Aa7HlfKn1tI6/ason2bwMgvv4ymww4AnVJ7NWApHrL0N/OSCgfw60xlRHbvqIxL0WW
9Y9e6Xo7bYY9+e9x+HkcGih8/rpBhHYK7Put++8TUX3dHyei9YV1Mg2/xcIaIxUnzh8nog3C1jEc
C2+OjRWcBffvJyJebptwPei2gKTgK5ksmH8/EQkFAOuEhV9919/mpf+gRfx1UW0DcfKAORlowEz2
6BzlPw4Qux5gsygdee71Q4iVYLop2+0Pb8qfTEV/84r/NBdlgis4313iVl08db/IJgy2EUmSttXZ
kjiq24XttHgoI8ssrHOkNzXPf+mO6fVcxq53QrIunjghzPTa051pGen5aEKBq5btWO7raLyMgwxt
YbyeY4Pgq9laTlN2DhxtlZXafmp9SNTlbadjJ50iysxa3IxxuyOPG0JePm6KuDNWjl0ftEpeaV76
kk1gOmDF91W1h5n9xEaW2Jo4wkbTrj0zQ+zYIisZm4+mF9sqi+Uq48TaxrXdLzXcnIvOkbt6oMLu
RXIvvF1ttUt+vafQ1fe6j9HVMqpDPRbvWUsHEVBcsj19D4B+sPGvukWpjxDu22YDavUy6IRceYVa
4UiTw1noL4oTY9nwNgy7uBuMkPGged+MPN34AR7TfGpRoshXqtrDZDfFpk6qYxGNcuXXwoJpGDjL
oGxumxhqvLDLbh1O1pGeCOlAa11nEtzsPPRPWmLB5hNomUwBWd7sPhJRY2yITYaydXkuSvtCSDhV
zEBjfDQ1HZjOkLHqONXHpC/WcWWyBxy8dGFX86OBtcTiz7koe+3GkRp1oZndydwncdVLn9G6I8eX
1d4HIHnKOmksWVwfWi2mrTJqe2F44WXYvVpJufEhRMa5NJf2WJNElBWPwUwOQ1DDiipDdMxe36y6
gU5QOK9VTK8vJ5Tfwn712jwCjhN/eDl2pdDGSVR3/h2qhA87Bj9Vx+9xTRie0Sa7yGyilQHfsQzz
82C2L0aS6MvGJv4Q8/8+i1OaxqHbUMciabDw9DL0lWsbD8XSKfozq7j7IeyB1mcdBNeoURmNt+HY
UavjXmB6y8LVhi0+cAPO6nT2veTWhC3LEhO+vD88pjo+rHhyP5LE/+oYqUqQxYVsjSnRr8B7jgUG
oyWT8WrJuXIfTvUt/Vt1IDQe4JsQq6iMGFqOeI6QmqPRqIn+lbwfQszPqRvgSOf+HpLi3Takuxka
/T4NM/J4CKUdNbCEQ9iR06Z9dJr3TOYBW7g0WgrLIH1zDFgPw/t3S3PdWVO6rz69zNJu6oDqnGhG
oAj1nRNKOks35VPuZ+l9imhq78yQU1xL3tW1yR1UvedIUuK0ot4vqzejq5GcE8bGUpPUuFSCr27i
5NG2O4DzAY4w96Hw1+N2irB55QCVYk27afrEV5UGwJ9VkDMLHwiU1gSa+Mav0Pxl0ICILluGVoVP
3DraoLepxTTqsHaJwF5X8cWnthRPNJrvsT7WC441xi2zscmzisyQ6YJy9puG3B2/GdnQ/XPYMyLg
zLlpCmNNovJNaVh7aWg34P9XrhY+wNp6bj0HxKN+4cvwjLn4POXRcW67zUyQY+BPb/2g8GMiWaVt
l66h2i/TGoNP23RMu5xNUw0noVw0dZoRezmv2FXIRemPhC57GrsP7Wrqmoc89lPmIu1720HLqsdH
rX13ej6Jgys2lp0IGirgxShEAkkRm/STpq31YRIPIhzGbV035jIJCbZ2vKqrTqlFO1zahCbP9VoM
RQgLNOHcwmdmV2C/yFPZdlPZLL2Musyz8oe0bjdNJ5+kzB7aWntm1GFd670zn7nw6k2T1d9q09hH
jfU2Bt5VPU8nn7GjClRAuES23SquB2+pJayJcnTYd3buTccwj27jMHxJzEZbSpyTFw2BSBSbHRb2
gjxFu4ueC5O/oozu4rhMVr6lHfqhfeqNciZOD5pdoLAEFT8fQQ3cPUs/5QzotcxdtX2FPr7ztDs8
FKQSTr5UWEDiohq7fQz8tl/Znch3PM3eqs5YO7nDsBuMTm5JYMOYkJfTVgJHotqDrx52JFNqWexA
fPONHbXsGa7rTQtPjRCmbTKoAlULXuMS3tLsGneU2k+NMd6GTuPuQYY8lQqvZIdzcPr7a5fi4efV
oEJT2iQ6u/Q6wlFN2o83O6i1yvTMuj+XHunOxhXjO5ef2qFbSP6Xlf3nKkLZ5en00I4byuFLyLDq
un5YQ7IFGTtTtvLswUlLH+qJhc/D3/86/+sl1L//8BLg87NM9pk8VzyYE1PSaPhqV/9DS/qnL+LT
aOKYpsZSVdePL9JGYHiTQsqz1dzV5eWonbRh//e/x3//WXirfniJXzTKbLa80LBHeba927zezDlQ
f3lViG/J9D9e6efZ/+9/lB9eSf0kP7xjWTQ48Nr4ZeqJVVtBJKt56HMCwtZDfpjz+TdpxF+K19UP
/nORBw5VV0sGuKckMqgf54eX68JknBvMpXRATwbzPuHehdHFlP/ba/zGlDLQsP51r7HPq/cm/pb9
Sa/B133vNQwaCsX/QBn1OWHhOfzeaxguWgoEsRwGyo9v81Xfpy80KBaMAIp/vvDnlDHzC3QqDAI2
kxu44N4/Sg0nhfynzwhLMBTajmnqFqeSajt+OSdEhLlx1OoJRGxVGRuDPbk4VgIw04c+z4VDqdXp
Hbe7RerwzEg+TdnV4trlBHPt9CYwI1UZB3LXGANuRlBnryFw5mXpB9+gQN2mQZqfpxQSUD275sZy
EAHQSLVH7MofUcWoM80RR8B1izdEvFpr0cYN+QVSYCc0nMuZPD4cMFlHuU8W7rQcXTg+CSqHUwXe
gNvEv0SilF4gZipWrGmnDdwpiIk17NAMwtISoBOeUbKmTvYwHSCMXnplF1zkMba/VPOhdTBc8qit
XSK2UgSwoy+ildVxDdfUeOyjBWbZkRux9nqAP7b2nHF6V+5YHFia3xlupFPskANJ3mQF5HTSTk3i
vsqCi75mC7aFFP4xJ8lXQiXZrtmDgb0rIKWiYrN+34DNZK0SHUNCKfZ9lLx34Ww+U/aSM03y+WZw
s3ol2oy1GNMDbPN+4V+gKDTWrtS1g12N+qUTF902jky4IE3vXjZCXHtZmNzSCe1lNN1plVOAFCzs
re6V18IlFBdAFTETuo09rqSLm1Oh4koZgY9Tql0aUY9gdGoi53moYDkEupVedMFkdGAhtYkyeW4a
t0F2T4YsyWzxcTKo2RdayHKe2T3fyV96voZD3PNrYomYnDj7qpvMO83ss3hPgNp8aIbCv4pRHtaM
9j1EEj5vQnDlk8FJBmbqfwyGn16axJEbYT7fAm3H5vz50P67Sjfo6f/69Lp4b/5kbqy+5o+TS3DS
uFBmyCDE66ZOhu8nl6l/wXBF1I+pc2q4ggHK95MLWMnn6MLQPeoPlfPzfUpi2XBMwI7o+ELwaplM
m//BlOTT2PGfy42xsU8VZTAnMXHgwYP9xfnFbjnUDXYjJ0FO2CJFeovYNzKzlWBduRWD961lu7ep
VfYcYT6JrR3y1uvZFIvYTJ5jkxzuqygo+3rPoLDKKcYTsNZIgXtxrmgI5bmQ1amy0viO4FzUlJE1
C/ScM5IbmGdfLeCt11NBPgoMFdNYh1SNBJwUZRazDJ1JckP5H65qZ2wg6wZajrLX6ETWPkPgTGgc
RmSjZPBavdvG7cYsxtg45J8g7HDmEWSWESQ0dYqV7VshY2XFzx6Hzl01iqutpejGZB0Y2yF1jbVU
/G09dZsH6P69sUux3s1rq1XU7sn053GdfdK8KxFoDD3tSiO0vGKH309tBDPFLFnQuS5YcBTG2IYV
K9yoorS7Ta2MfSnZSdnVaLqRua0F/38K2/JplrZPrATa3qTB2VWKfZ0Zlr7+9xH9HGZaPDh//Yje
fnttvuXvRfdnGk++8vuDahJkSksBQNSE9uP/onjxsNagffztX354UJG1WLhqGDbyP4hAKQ6/L3i8
L/pnthZgXPQrypTzDx5UU9GOfihDeVIFB4j66fDe2FTwv5ShjGQKFq6jvBozstztPq421hAlazWd
yMXYbVotbcHHOfbwLJP8ooKpu3WpQ1jLxvEy4JO2ClSERqiyNDwH/cBUEB6kx9qF3s3fHBW94ZPB
Id26XQvs8kzzg1ur19xjMWTItnD6bKpxqE80TOgro4cukmtJPPQm9r0DWZgHuzE+AJM/yAhpiJ1e
1RkwBMPc+TFKGD/JCevJrQpSANXLDBB7Nep2y1WPWISV1nsi7Hvpal/TQXuXQ8R1TYb5ckQRyHmQ
v9U5MKJUh1quD/3KaMibkqqMGnz3ZYrgKXEIG8sMTQrKnS5e9VP5EOXltemGa7cEIiQmxpp1Dw+b
w6APwfjtyVe6qVsXZEnwPisGS3F2DWgdVpOeCtQdDHce89pCzhm8RoVzN5DDRH7lxxQSghZn5rXX
QA73euhGQ9jel1qHga7v0FFmUbYZu2yEOIhDqnGxeYSds2IEau9aT8cukDFF04serQgQ9GUe4zVq
UcKttU5FynbhLgUtuMg1a9sjMLmBfGOuRhPbUDIxqjFiiJBOqVlHpimgFUrJrA3j+WHWGmbdIypA
LLfbfoRYgVMVIGRHdmmfOLueSU36UHyK+U2l608+Jf7Zp9w/G+blaAHhGcZYrgtMAQx2dyMmgahT
GM7PpXP3uYBunDl+y7MSiKmP8HMX20awAXBtXAlY/st29gEbmBMSQFsCfpvN+N4DK9JgzNpRyn9N
SXJlM0Ruu7TBzGtVj9tk8u78At9R7rDwCXpM/EZGUWzcaz0prL0urfUYzMV2kEV4k9uQQ0WL07NV
Gfc676XFnm4EBnXHJwAWpy2gT9fZeC4mFFBeLyvmo8NLi7fzQqQmQswkeiegbQQSOunwY4yT5pVB
t9AhEuQaKe/C7/pd0wfNzgREc1u7dXY1lKK4S02YNxX2JcIpq7vS61Zd5yKs6ecOTZOzG12UOTCW
WT6ADVp05QQoxQ+WmtWQQE6ay9qJwcx0NCqbKQ7cQzcRbB1UyzqSD4wnGYMyFELvTBxKaPuwmkZb
26OtlV/TRCKznOtgFXtdQfRYmb6mhGPssl6SHVR7h1RG447oF5TLnT/bq2aGX+06fnMtLSO4jMAN
HL1hIpCXsBtfxd4IFYCTqCicUYXidCoeR/MIymnpZhapCs/59z76bbnG0f3X99FFXITtn3S7fNH3
q+gzhcUmR8UwXPO/akYLAIDLOApbgZrjfC8ZXVSZ/IdbAt/VZ134x030ib4Diae80IJW+R9JDYSa
r/1cMtJUe9CTaWpcCyPoz/MQI7A6AKzCOUUzH+V7049IP0SVlhuriIhBrJ5syGNCXlMgMay/UATI
7FpplcmPyfJVE4NQX3ZCJ3Ji8ty23udlM68mMWCj652WAg/G/IGAZbTCZVbO6XWZp4+VzG/QSH4d
pdkxtbdOkws+yC4c1mViBO1TRy+lYPls6oUJgYN11KRry7EjTblI0iXI+mklrfY2MoKnyi+Izy31
BIhuFuXh+ACRqOUM7uft4DRpVa4ivqu7LPupK462Nrm7CVlerBB7ZELKta6we4EC8JnJ/DVUSL7O
zYOlURWblqMTVRCq6kTboQzrFiNEP12h/TIF+Zvt/D6G+mcecXgfS26u0QIJ6Cs4YJAFdwa0wLzU
1z70wGS+NmAJyqF9JL5hbRcN+/N/H8TPB9H+H4Vh0X37v2XTz//9NKqv/P40Uhjiema56yleCb3X
Dx2cieAZ4h1zn88+7YfCUHzBnaHIF/RpRCL9aMl2URLpDrNrg93xp0r6nxSGzq+zJzJimTmh1GYG
pXLu1b//MJ/0Aw0uNjbKK1qfcmMoAFVjUipkY/EYNxYqVIWpak1u7yxFhgZgbF87xsdQ6qgwaZUO
IIAsot7hOXd6vwvLcI322qEGwi5TFj0R3UijE5G8yAAFB3wdGFUFN2+m4FoC4yBQ7ck/R3V+7ygM
Vy2Vzw0yFzie+zDskAnGj1Ck7vI8Lq6EwVqoJIVs0SPeXetgmw95Fj0GdpiuU9+/9lKmrGNvvrNf
7zehqcm7ovZ3mLMukopoUH0s1lo73tQGxXBZZXuyiU4DC2BChraO3qL1dsbLXDS3aFZxvEzlsXUE
Uu/OIlHSjxBKt68T5RZ3aziw9ZuapRXjtIzrW+7ZDRJJWFcAetqmifdDJr4aRiRwZMjToNBD3gzq
EkoRRgmgR2VsrMYUTXfWqAp0vgnITN9hkuet6ePhIovnlB1TePKr+MBymBjpLFvPnfaWJJmPepQw
jrCMt3KWMZm4yIW0gQUjwJRYreM2feadrbBgX9ap4lalmHTWTVIJirw30ys/UMCg6v4UorKnj4z2
W9SDLG8DZboW3SopUTMSOYMyyDU5UAeq3MyG9ji1O6/0bxAFlOc6N471mIxrvTYqGHlKisxneDub
5p09s15OBx+OvHPPieUf6iFB5k6J7dbBSVd+Fi9IN5DALtqyO8sA806mb6F2bcoR47vhxI++3drb
AkPWMlBraz9jRRCL41RPT2aZb+yCrYecwIFZw83QIsw3ZvnOK4/r0creB1EbV/QAxIkb0zkZUcwG
aXT0ey24HKzmBSyqWHSNYe5j5fuKtFysa9H7znoqsI7q88ZRPrEmGapTOGjiUCkX2fhpKBOf5jKr
YrxGKtibV3nyMDgWPCrBwpJcWrDmk2PREwTNsw/UfGlPBTawipdokcf16a6R6BR6h7fYC0mzy6P5
3qpKBoHmJMllFLde7V50xvSu0mlXBHzcZMS5XrjzsJ7z4aSGv4YPu4lo5XlB+u5bMlf+vivF2yjQ
t8MAgy4zgJgpjfa6Q6/Ag3gMGDKvcPpXh1I0XF3Q5shaX4fljHog9PoFCla+Yhyw9Mv/Z+88lus2
0619K6f+OVwfMjA4g7OBvbEjcxA5QZESiZzDB+Dq/wdyuVty2+7y3JNuJ4qkBOJNaz0rmnepGn7m
dXiTw2ZDGNuLazYclWcNhkbIS35qtFJsF2E1RK4uiKRJdg/Lo0y1zk9C7SWtl2FjoVc+x6gCLrps
zQ8hwuyhEka9z0eHuB01j7n5/VOdfm0TeVH/eZt4fss+/rMuqXzMv+oSxQdJEprUlRIj9B/rkv4L
m0baPaInVurHDzcRdy1m2r+WHD/or3TnF16h3DKAi9DXUbT+zsJCXyvcz33i2qFi8yNIj2QPcM2/
q0s6cGfRlOZ1NubRSYmAFt5PU4bfEJheFkgcRnDzMHw0iAowYucHo0WtYg6Kuc9CBDbFrHHVk/gQ
Nik7j900zClvtDUvtFDPjon6SGJ/22RReVRwX1xsTA3sA8XOKqAncMHeuYvzYaYj13JQyn5IVhw6
Sn7ySvKCU3KDle8BwiRG3fVkCmsj4cL5GjPcrYHDUqVfI4F4QWUhtYh6QzSxWEOKO42lS0lucb+o
V27nftjhQBK5c83odaDw3ycOV/yq+6KsAcglsUQNicjtGo1M0veXNcLLITO50MzHKCFEmZMSG5BM
r+9VEpaZTQ8YMLapCF90EpiHWEdRPzYEjfbEM3drlkZiMOrqyGvatrYZ/t1Ts9pcs1ZDd5pfNTnY
OzuNLg0J0C1J0D2IiZ7f6A1OIG+pGB/nsD4WNvHRBbxLkzxpwTUVnhIy1KWEF6Kh96rBYur2fFxI
o3ba1b1BPHXcp4dhDaxu1uhqd6ZJX8OswUJbHpFge002Lxn7XDKdK8/U22UHQJSIijr+2jFeesAF
Tb9U5wAcyzHnahQUZGnDz9MwSBGvnbTtUx3GxlZvP/GviL2VEcXNOYQTk2lBqFQ/lTWum96LBdPA
vLtGeVMhHpw13Fsh5RuEym2Od4o8WBJMR1YAPYHg5mqVmdaQ8BnipkNquE2e5DZdg8QRWLwYJIub
kQE5cblt0FFwJnmRkAA3LVnkpKfMO2IiQBt0pLfZOBxZsG1aY40wJ8t8WkPNiU3k4lJHu5S88znG
gQqBfmeThD6zhGdx065AjcTq3mHraufJNLkAFauitUddmPty1bny/Vv7Yl7Fr6GZIIQdUXRT3Rwb
2iJoUP6kNLwsmJ35YDYBPKCIbzdJCDK/ZMfjKqTZUR5BmTLkkIE3iuuFHwZ8m6kdZIoDDQHBEIhX
7ajrqe4ZJBLrDR+zJLVynUaRThyyqICG4tJozYZ4sUxlOYK9azogoMLm1FTJ0XGmhQuBKbcVuGkU
iTLaiHHcyb746gBQbgh1XLEyF32AXojD6BaNeuR3eXrVWOTBaeqzdMz5vlWV7KVU16ivBlKCzm1K
Ddt66xBWu2ktPduWKxDSAOAylbAbdRX4ooPANCg00u3tkgAQVQ4jkXoG6RwVPlxlvrDboZlE+jVw
FNwMOZooLene20EJVL3WNnQNh9LCrQ1G7qg4unlUo9zxq7VP0tAovmpcQMg3RGNCYK21MdYxrozt
3E+KtsZanRfe0i/ia6NqX9KiCHdux38rW+kE5ULGSZblZlAVACk6JRVcF0jDVLX1zze0CmIQw1Pj
xvRI8gpbS+pJkoFS1jOx5LsWirlTo+qkznqQFGG/rVzQ5enSXlAoON4U21ySIb7q/ZKTN5OBGo3n
XVEWt7GZsOxJAWxXjnlyogGsaC2CxMxexMjSU+nulwwrTZ7jvIuJFCnV7ILFGbH/gCkosdsgrOu9
NXSfkR7GeH+rwQeywg8ski3t4kzFQ9Gl+dmNx5uS31HOoeA+iopGO8LtZab9M4P5Thr1aQidj6nS
4JJXxbHP4FlG6hSAUbz/p0P4dX79y0XSffLRtm//2SOsl4N/9QjfNdVwHUnR0+gGfuwRuHeYGGh1
9kmGBovz36sk9xeboZZ8he/1+6c8X1wr1ADWTMANNH54/1aP8AdHDcIYbLoXRlecwTQrP/cIix4X
sVYl4pougnVKsXAyU1+r6JtwmVPxBrZWeYbzDDJcutqZR5lXLl5Ri0CaoakJG4ju8oGUxm4hH1WZ
AmK7v5StGTTMR6ChLrXLj21nv9BGYeubenZFHOBNbp1Rh71diwZcnuUDXpBmM7gi9xoQzT5OhJcw
ZbwxtZM5p1uclm8LBH41Xb5oBhybYuqPsVluCYC0vWxJ9t2ABjstly9woPakUlGesv4GPsNLijuM
o/zZTZsvaFzgHpnapyLL56YdnjK1AL01oIx0ld1iLzcoH21eWXVQu+CaJbHaToINUQ8RHtuhBGoG
4EaZMeMiQrAbZdd2GEDmwnlqpEYRBkZ+QIypkjNvnFKgUpRkZY/zj4kSc/N+UIiNNaaDppJyX1t3
sh7u5r5oH3NzfstrBkiL7XEUi2dR8P4QVeHVYroAajY3MrKVrZmW+x4wFbFEw8kwuoPlVoSMhuZx
Vr+RWPsahcPj7CDrnA3UKovDtlpg1swb/QK19kO3mRZdU3201mZNCmP0FCgCfYd7BFO3xT5g3qfd
HDi8TesxORNVgEc4yg1fzlB0eLESbdxe9VOvxtsQX1HQmxAvTn21VjCjFv2hctiU9bYLCxgSVIp6
RLQ2dh0jHFkt6r37lo+NJEPI1HrfygRw70mXM/ETWtX6DMexH8UwGOrVsTs0zI+V/rWM2wadMl0K
evUYJUbFX0kSWJfuqxVCOXOz5nNd09BZYakBnLGxV9teZGZ39lLjZdbtKyXWHK8n7ILOHhepEn/J
J+OldCZJrtp4zywZe64CmNtozG9p3X1q8/Sx9Di6Rjt/iiyDRwG6PBHtOJlIwG5LJcFw1Otbwxxv
Jk2PfN3N9kbcvjiZ2e90BZySGTovMIWQTBskI1u2/AbigvtBLieenN5FcNM5niBJ/pJHylX0ko9+
GUVH+MLfjInJs+B5IVKXjc7JKssgrerbUU+JIMWRWhto2q0qWiOEUSRBGImE9RzWRR6Y/BNHlc/R
0tzibPCwGXVn2b2Uptnhz1UqJM32kvj8UtNG2JmvwCFhxMwBtcWdl7cTbnLJnzghyXcc86JDRu7b
YpVXC50avcCnxZbGyw2k3rtmztqv/9SV73VFQzH555Pn1cf49u0P6sr6UT/VFSw/UAQ0DEAas92/
VC0qm0+x8ihXR6RtIaf87UTB7KlZFBZAowhR+fB/H8shWAJDclC9oONTmUr/xkqUc8R/jJ5EW6Ft
Qd3C+MtX8XNZCTmOQxdL5mtib/UZR64WkhIx9e7jtPDki5lAYVcrz86S33FpeyfZT/FsZeG1GedM
pQkABBtXc5e516hCK8h41rsbZ5d8cJ9ALDxCWvkccP01q0E6ce2XvC7qjdNZEO1wUQutOFerrXpc
DdbZApVdNLFHE2psyB58siJr2ekQnWGwNMTWQEyoNPNLlttP0by8K6FDIA2ubiwOj1Abblrc3gl8
9EC4iGv5qauqieQqnOFcfevNjFdcdagXUznuClzkOjNqyo4Mpd1hwGVO9Q/xhJa7MlaeB3zo5I1t
TM29ApcMcjMGKWzbKJxLSE4LLvYUN3vj0A4j39sgufxWucl1l6kWh81mvl/w6yQjLD617rylwQ9v
pjpq8bXGRsACtq5ivhRLpiGtC+3tlIj8yHmRC61Usd9PYUCuILnOqzPfcLHo48VwpLvQ2g/31lxX
sPTNJ+xTTeZFSWsAlB8iAFDDd/f/ZFHtH1UpYduNjtnQpDa9iLf597ow/Vok4rVghBjdNw01hFyK
LfDBQOTTflmLzLCWGyYdmDcUoO97g5CaZKzFqaBK1WwT8rVsjWRILmshszoenJja1lPjkvyjpeI1
5GFuTGogeXunqbVTrsklMXhC4dVIwVRtgJ9rCc0IgYmpqbOB73YtsgXVtlHN5hGQ5F1UGHfq93os
sbZPwZSm4T4xQ53Y5nDPOrDyokY/YR1XNxQH+zArKCJIaH9SxtbZWHQBNEeBSOgEOvoDhz5hcc1s
I6qawSUqfXclCox0FUmCZwkFKq17uNPpO7Ak4WalE1lIsMjpTCqd37OQXgWF47kMs8eZHiYqIA2s
Tc3UEwJNl9O1ZcEvH++RsNq8gclNpCMqBpunmR5pxGgLMPOtn5Mt1rmTSy+l0lNZCbirkJBuL1sb
rrzNHwajfWRNP7JHRexAFThldGn1SmHo7Zdmbd+QYl7YctwtMbpLPXxW10ZPzLNX0PmZdIBoInY2
HaFumNfT2iI21qKd07VtbOgfGXiuqIy7rPyWoWYdIOFvOxkGVSIFt29D9Stzvkks03cEUEFXkjXf
290XNLOTR+b4W4GpGH9B1nuiM44qYfMbgCwP1hp6P1U5m5jWfijL6OQ04mVx4kvuTrc6Rg5VZCRh
N+63sBD7woVvatnNYRwKHsDwIU+RkyFOY0O1iklG9YHH+Atr9ZjXQkWwqnXbufo3l/vENlXkTRUS
lVJ06rre1bBDhSWAACsmNorNN/eWKUch7N5lGe8VIhyaQzjGYssmQe5Ky32fwv4ty5ubUCVkNrTN
0O8kMZbF3LjbNjVPtdMZN4vuBAr6WLAbK/ugLtWv4cz9IAKLsFTVWV+idxVcwrByE2BOKds+065i
RPJgreJuN+dEn7gAF6raXraDHWc+11SWHH3j0p2y5gKkjxlopTaERntewDj04BwSsA5x3N+1K+cB
kcfBAvwwAYAArgAShKtJ3QNsNFdKxBxFfhoXA8lFhv9Pyf912UwZ/vOSf37ruo8/ErLyUb+VfEQJ
JDZwaiQIk8HvJwACAc3rP6Z8c4n8UciK3ZftNOkOiNaQLXwfQNkY9PH//j+dKVPQHtAp8C/Xsv93
aj7AhN/XfFiKaPTMtSlBIfedGPXDGXQcYPghN5DXM0d+exuPIZ3/sA4B0ZxQHbTw1C8ZGfBzOo7Z
kzqoOPvR3yb9oV4SeEGjtWTnDtsUWTGT1i8gk+uyYkYpdcv8OiGlRwmPJmnZ9lHLrBFNLRofNXI/
XUGA2f3cdfhcUR2BdAvnZXH9vK7W9jVWVq1oY0XaAhs6kxz2lko1cJIM0aRuCy1ql61hq4ANQgd5
XM+LPhhEBiiXrC3DfMxVUNAglNoDelt2V6Vl9PtaGef9pM9D+il1Z9pFqYMILYpSjDfguAHvZFN0
pJXI3xOYCL5LVK6ymet53Cp5a2ELSFj1xpQ2UcD3QfVgvo8mB61lKfSgZ5qG4NRERmDO8aclFcKj
S+eTpTkkmyIqtnbNvyMCds2gGdq1ostTHIHHdtb9XJQw2OI2IIO2VdA+2HbGwq/PWr9Asg7uRiEj
ZzUxqHMi9k5rsNIOZfmmOvmysZYqOtatkt+A7YsZ21U3cOryI7MXM9BzPdpCRTACbo3kEXXgwLPI
TpmAhvwmE3hUgeNgOxk1YqIauXWgD4L50j9i4gn3iDt4LEa6vIJz8batIgqipbzXGeBya8nJSHIr
J4jb9tOWYRjUGq9ju+CG4MsW8G3ea3ZQVUV3BJKe+poSpxe+ZkbUyqqQXY1eMqTCR0nK9tCW8y0h
PmYg3arYdivdqJIFcUyt4cB8Yhwtl5Yv09G/5GXGW7ZJI6qxIUj45u5XEeu76euR1QQuuxXo1Nxi
i8VbEMn+1k5Ybi/Ew2DpnrGscszMd4twiY0ZK7npjKneTqo9AJThBBpOZbZX8xb7XpgW+39em7++
Nv9yUjpX3f/8Xxl95B9/JOj6YVxSMQGw5WIi0hDyiHUe+W1cUp1fXAM3o4GOeOX9/yAhMX5BVowk
GfcZ66/1HvcvRZf23R/Aa5Um3Ybt/7f4satA5EdBF1kCDF8MZLYNR5a56edpKXVsNtelm17Rlyym
DT89MJrnH+rJza+/2o8EWRyYf/BZsEcBimDdyGqR34MfZSoN6gCk/mZ61VdpkvuVI4gxcYGzeKGu
ZdtU71qv4kxytiOmnwGMupcvhFVxyboTdXybJ3C9zTg5SyE4w6mKCTx8wGWtJsITUXyQWnEYxviS
jO6+HtSzWORtN2uXZqlozvVrrA1HkWYYfse1+ReNu7PX1wsRz/Mm0dxvZJVLPOHw6dI+m1iRD58s
lpCBlBYoGcSohByEfPxkwzcl9QvJplSWIgjlZPu90oHdcQnqgvlO1cj6EtOXZjyFJNwGdm7qAJvA
WSvMk0Eistjaxuz58i2QtOwZ4iuWXScDdBO5dZgeVL3ssW7pzhUyjZmt+cBrawIpFm96vdadp0Vr
CAFttDxolcUyA7WS2JsJUaDoNmgRin4ON4Kwhmun0ZQLv37tr8NBtnq+K6UMHBb3voWulSKA36O1
nWSv50Z2HKbGcm74fJ3+as6R3Z20uRoryqh+h9LAnG5iFRVKE83uyW0t+wgXIHrBomc8j3aMfSSf
8Rj15WAcnIpLHPOtKZe9Q0W2PCE7l+mV2dTCPLFVBmH4Wj0xGw+Z9Joomg+jZo4I0Qd72/N7zgyy
dG8dN9tpJnhynkj9dJvkoGDQ32K4QfhHTsHdMnI+EUBe3Up17yJSHDbcRBLfmd14V9WQZKfMIFFO
xdiSPBMNCIgX6QUCloSAyR7FYIdDhuPxlBwt4gu2NtenoO9z1SvdcGWQjdpKEe4Csr/20ijpvyet
u0Wcq1Jhigtxbpex7cpd0Sa3RmUenHiA8Wfl+yqB+x/p4qZz5X3PTPiISd35hIzBmTnzLTlZn1Uy
sGbr/Cxs1AehoHqyeoIDqoxRmugzh+PPxBGss+pvXdd/lEn7MafzE/pCdN3j0Z2KHS8Q9m9LYEzi
Mjsje8B+r5oawWdsM9vxXZgD12Bll0uV+kNC3zB/BdxD3foaikH1pZXrVHFcApk5vphW8p4vpEta
XdYdOQRCWZTLWSu0gx5pF6sefMakl5o/vq5HyF869jYcLdRazh4g5MsUdtuoIFeiEQ3b6wh2RleK
Q2qCG1JnRnbbvuF7vDOBv/tTskScfcPOM0aRXGLyorw41G77HA2ybPpTpE08zL0a5M2EFjmkNjrF
fHL5IRKVvdHc1p8c5+zU+tmYqmdl6b3MtO8HLbotm/ps8/ej5p5JO7yNXY7OWr3V2O/TLU0bbWas
TmOJZL+tmLRbcZUp2WuVqa91VhyTLjuRfneEO3e7SNXPNbAceX4xjdRr8mY+EYVKL0aT4MTz1yaz
96iOfLflwBlP7FcXeXSqZT40S1kee6f6VsxIlZS4zJljgImak55B86uDkKi2u2VWmt1fv3n/wJwK
J1VgGAG6g5WT///5zRvPKthIK0+uqoaVzJi7MxSEOfOLYszPfYGyyR5DEkXigq5p+VDrprttmkw8
OIvDYmqa7oY2PYsp9DPXfhZTH0CP/iRUNfLrGuQHkRokoMykNi8803mYeFVIFpakIcV7Mmq+7fT7
sareW3sZvCTtnjQMs1vQA2yQBByQvPRk43XTQa25fvRhGahpG2hQTnM4ll1hfyMF9x4CzRH+52np
8mMzQH6qq7PTaW7Qy7nyuznZa1Nseh0JEhaayF1spEGE3MXvRHdnzIPq1bF1FLHLzzVGMGg0KoNo
Oz2myWhsXAslgTaTs5sspddYFhbZJLuM9XIVd+kBnHFggsrA88FcXWYsoyCU07lFO4JGtmZUn/Oo
GGFSadcJcb/5UOypa0Bp6ooImbnbVWl7naX5HZwBrtk4anyL5T3qMJq9tr0hgXP0iwXtSdumj8Zs
4FCdkjdX2KcEiwTX+tpz0FJkWfMta0QAiBoep8p5iYxMnQAJ19hL3kN6V7Gts8+iEdweXOVbqFrL
pmbhyU13Iv61UA9Kvb7L+nNiW180ke8I/hw3Dlf4udBUj+NLtjXi6FpfTJWsMQyzRp06e9jRw1Ol
6/KEpLm95HSyh79+VDlU/r4RsZCwOjYqW3bHKzbqxxYhXVo5tcwlVyxwuQocW234VUz2p17+n7Xr
/JJEwqtIknACrWr51aj542fQLbzYjhsB0+QSoljXyZDsk/qulQDf29xLrGbnptu//q4YQH/6vv7z
s67f9w+j6VBnfW3oinIRc3mPjZwNM39BVfzCdDdvYvTpXu+Yz1aosxwiWHacgLTlpUQ4q5HFVbbL
l0qxzxDehYd6cpe7Un13YgLBC5E+Wk4h/SjjwpQbL1aYTayodGvgaSqr7bDY5daplcZXa5AkdjnP
h2Gy9feqTPsdeiid5OHka86zum2EFfu8gWe/J2HPY6S+HwzifHkfPiKC0A5FBNdq7r+hL9hTlB4Q
yO6sTnYbDYS4LmIFzRIdCsLPMpiXQXjkEiBHkCYjVDLdaXHJrSkhzEmP2Bm7QGi68bPpJDGUdXJo
DWWPwuhhWuDjiOxo9hXamxUrl4R6joYnKXmIzUO2pCdERn45h5zgcgHtJsx4y4rnUeAQS9Li4sRT
ULZyO4YLT7DYZn1UeDGzdZUWzqZeUsdv8/BSI+KNTHuvViQ6O9F0j6WUBq5WcA9lSCz0XngAPYlA
J7ZIHao3a82XF8Vtg9O15QS56VS0oqPC+EwONjoVDEHqYznjmAqnyR/b4apm6e+ntXlgrvtgQcju
jUymxjSCqDbONrvQ//K4/bdnfG3Ef3jaJEC2UYNweEnP5U10peyaU/Mkg+Vg7q0zUu3Y+8oqG73L
pXyVp7/+5Ovh54cf4d8e9VVUwJEH3/L6xf3wybG6OmXmGMql9s1Neda8eoeRSj0pz/ZObMXjteKd
n8dtiiLvjf/Jr+az2ByTXXil15viv3w1Pw82v34xOroCDJhcgah/P38xs5DIpdQ0vorFDRTLTSKe
2/HX0fdP3yg/v7P+83OgsPjxG17aYlDiOI8prh9Ru3fn27/+Hf3D78FGPklAp46x8nd/msUEGJfs
JIq3ctNwXW1Nes5f31D/mPd13u9/vvVcw1829Mp/6AzmI3/bfOLT55BoYrnSXLYCvxPRWAbSFYy5
63J0dff/duy0fllvmTReKnQRys6/h3eAJRzc+EcWKZtQEv/W8M6Q/tOP3Grh18yVE2BqYPA18/dV
E2u6aY6Zo1zZZsHMDG+dTRrXfYvIYBXwRYZWUekMoiLi4hY/MILCpK03krFTzn3lczeDoaoWfo13
3+OeWm00OQPTaBzpJ133LovpqUqn11o0l3nQDwvioTMH/nZrsGcKa/0xctugUAt8in1+N2lpQ7C2
/tVSyfKyrY4BX9y6QsGu64TAzNOWJtL+nAxr2qWyRgaL1JTt53bJgEQPCoeDwkUsMzBkJGrtF5ki
d2lUgw+plF3ZZEjblTaQGawxwswJqRiKI3YtmfgmyIvNQga64sMifK3zUZlvUzk6444tosQ/UHU9
3tAmFTWvJdUgrpuFalVJd1eruPbHbi5I2xvAzc/6djSJs8iU9GZI557A5xyxrJN7g0i/9bb9EQqD
jUDC4KX3V/n4qEFcQ9gAskO6pLZwR7m3JzXbIPJ5TUm130wuEd9sDkavq8aTFXbdsRHle6PFaUss
XIznC4A8W1GrMLTbJovInYttE+VL9iBibpj2MG+6CYQ0d8svJRGMLHGr65rcrjM+7NlTbHdb2hyt
o/pQ5hXJPF1QtGvDYB8nM/xiu4LDWqbPh8rC1lMa4qCCLIc51c2oCWG1hBaB1CKHPcnX80zSR3Ic
V5tOzW8fag6sO6HUi2sCQx8g+HNuJgaG5tk+GUXSczeTTfKUdcTiEZlDuMRWlQ6JYfOt6LDBCNx+
2F8g47e1uI8INQgB58BA0a+byN0pk7bHjH1rpvYhXPuOcdgT/tb5Yx899E5xDUYw0CZtpfgCKKTd
7mS9iVMTMkSRPpt29WBXcSAxGRcKSeJu2+2nIXqoy+XcyuSed/UXEJl7OIiISvK4RuyEbnFJGHxH
ae6Eamu7yZ7PVlkJMh9pwoYh/UihWo4tX5syR+aWBphCqoWbabEDWuRXrS24nAt47kN+ASN+V5hN
fZjNPjojv7lPBvleKt226B7aQVU9zoG3UZz6dTcStQi8xVKfhJtKfDppALRnn8wp3ExUPoyer8UQ
JVD9rN2q7EKlW5M+ESWeqtCwNLN8c0NS6wT932ItiAxwaUOY17AVV52CW2TCrWS+M2NYvgjT+yWK
1xg/pGfyHJvqU94IdSu0edcwzXlJplyFwg1QrF0NZEWsjen7GHLc1WV4diMkFPqYn/Kc/0x1AQcO
/Ua2xQGV6XnsyxP/5bKdJl3n2G/2GyDRubYjbXwmWUEpi7sYDLZG1x29pImGtTwlDMMUn4vS7bNk
fGE9wh173M4OX4LuvPZOifoKeHCFzxplgIfvad9G9ZfZJtVRK2j1pEFHow13jtrkvkqUPXJ4/Usy
tAfJNjFXxhBtunGrp9HBtvVbrXQTb17Gizni4pnMMgjL1jkwrHMsgXrqZM+plp0BLz3aJXMZ0Oi7
Pl4XVPklLpsTxwWQpAa0Uf4sODB8NYpVH9KyctTAMhTDIZpJ+GCe3OcaXZer3fGQHKsBsEDc9tdd
KHasyFA1DeOXQmt8Ltr5buwEC1Z5IknoxHaQzRo5OwyAe9Eau77FHrvIvRxZKnCfIqMu6PPlth8z
sJJFgyC4PU01j6yDIa/o8sdQlK+ZJGq7MQ89LWdngNCsLDaK8dPYJfcmfTsb2hyzU7gbTQLvR4dc
p/qgFmyDFnwX4ADPuF6P5cKY2KnyElfZian4dcr1e+JQEGrPtMNVI7zUEoExJruyrq/NojoltvP5
vST/05us0bl/3ptc3r59/JG4d/2o3/oSLrI0t0hnv1d9zDb/viqsLYthcldgm6xpiK7+3ZeQSsee
H0g8YzA+7rWb+e0ia/1ir8YfuhZLV1nR/y1xr2Gtre+PdwXTMRxierhhsGURzvpF/NgaK0KdO61X
o+vQLVi1F8Wm7+Bn5XN7pff5c50pmxpNlr8k83ElfQRlgQKxGvZCVYlaGQnBck2mNgkGzc5PEyy0
zeKm8H8JjlIV5XadJeEqwNwkl4eX6Io3T1x3iyTxqzqATeid4aofIm9UxxcrLz7VNNuaSEKJvo1f
LTf3FRabT6wZxB6pyykqZOjZIVwNvuxqNwx03Qm5b5GqvQwkY/lNwtW20w1ugYiddlMffo6y+4Bh
ZG0WbDtbp0ohpbVkuGTx7RSVb4uQT8oK1HetaPQqk21zpphH01JMf1jljrVLMHFnV++OmX6N7faq
MIW1aSXf4tB22bar1RvSaaia0aWql1NKqlGQ8t5km6/dmGl6I0qdEJIk7z3p9BMiM8MJUGKN9DLy
a9ilKCnVNUMudjgPxiaGd5E+oF+5weweb3QBEq7Tc/sMvfi+K0LWguptV8p2l6Lr8RV3OcW5e4z7
6VRXsfBsGQO67sdDpNYp22OsCKiwq001mMpOQUnqu9Tsxy6ryr1bmQPgW4RRESTlIxCqFHHI9I3T
9XyMxlj1RCmwhBSpE+jSUbZ1pJ+tRj00hlPjSAjD21kpAQU3vbubIyZ9NyffI1ISyyuJhL2tLCWo
Vu5tYrNga15nWExBF+nrpT5mcR7ZCTtKYwcqHkBVyMXcKhEbRw2wX7skGT4qviJKKTx19VnmxNpt
85LBfSrC19yWBytq6wsw39nnF50ppskuTcrJFzg3k1Dtt2NJWKimNXcspWPfxkHmp5PJAzkASEAt
RMXiZenhqPw6tELf1N3A6hBVLjEnJaFnYWXvk1Qb/WV2LniMMNlO1kdbk67awiIhg6b09J5HmX3z
5Edjku/qiJsZDcB9Geuvo70Wbva7m86x830P98XrInmvzGF3IPrvq22s8UIFrAVscliHhpHH2LVv
KBOgaYzc2JM38OKm2jub2MBWEF9pE+SPQkHLpzgwg2VJnWreZ5cQelvaDQHGnWvdYhfrEUMt3PtY
Hpps06eWsqDLj3yOn6eIn3ktcyoOO4PA5zftZmK4bmxZvMiyBkXkJMgdOoKzGnN+mrgFsLXFjzIl
xD1KMlaqisYhyyrg/oMMZA4VIqmwRLUJgQpxZJ1WfSAKR8hCs1k+LFV43Vr1eZiwyQ5V+Zn0zb2m
x4dSc06jAwSwJ9RpiQONpX6sxBeRYmGrZg7uRs6pqmiNO1FZI1yhZtw1k3pydC5SLKoPAK5RMmZ8
4W6076RxQrzwafX2rsuw/Va2sa0IIzxWyvymrQsoHATmppl6Ce16tI4JyTPOFE3h4KV23z+XAGiq
3RTXQH9ihRw8XQ7dE2t2ydVEq7ONJbqx3evMFa9RVpnHvqvz6IaE5sg59I1ivIYR/eclNXFRFmit
/MFFFMfVZGtOyMshB+bbkOdlb1TZSFI2HiHJc7c1CbLZ8BS+DMawX+BFIjOz9jFCfMhIeHck3ukN
SWe3zrJcT+VACFGxLGQrFTe5FbEChMO5LeqE11OWa9shSj+j1r5tLTySCu0zslmMwHOWe/bqvnB7
bh3jU2NWy46f4sAJgaqtqKdGLDeukZyGbDY9knje1In3eFXK6xTGhyrVnFYv7PZNriBM7cLrOROa
N/eg9RVgrJsSJUt2KKu1O9HLN0Lf4q2uDcQAWck5ydJ3zZG8Dab3iXa+bOYaF4IZhIbBz2GO+MRW
mKamc8lNs8j2Dr67cgnYBAfK6FxHmNV345x+EhsKTLZn2Y/8zc6TrcoyaaM6JQlzI0Qou5AEd+sT
Ojzefm1RRLtSr/FiYKfYpFoCcg4s3WwUgT4K1Ssks7JmNXdJaqIMau1zWDc3VScw/UtAJ0Si/X/2
zqQ5bqOLsv+l93BgHha9KdRcJKs4DxsERVKY58T46/skbfmjKFkKR2+9cThCosAqAJn53rv33Js6
0i/MiErcCpW11RCq6DnFXWqXpzKvLxQbFWKp2vcIG1+SwabQGbPDUI3lgn7xIQBLb9UuepH4OFmI
TnVh76sAXFWXVBC61F3Vuk8oDeKNoQKGtBUM6h1G2sKIDZ+yk+BhDtGMzRwvNbCqmW927xGsNrPY
Gq44JDnCJRyjNn9xXDd2szeFG/pdHGE+bJwdRSDrM1bVtJ8pmuNrEmKe687Z6ShWUvJH+lK5S2VE
nEqwStOVguWGAlIL3xLP21pDuSsV/jSo3K+iT16rVjvkerT57zz5LlUx6TD983nymmIxnsqO0yMe
UDHtXv/v/8GWbSC94+e+nShBnZic4+SQ0P6LZvdNp6IbBDh6DJGlpftPnslfnS6TcGSVHpQqOXh/
EXj/OlES6UH6Bu4zJC7vCF7nX2n8HDme+e5EiXIEvQs9XcO0+VU+NUO1oGu7tOF9GBvVWRe9OTCa
AkQ+m8OWs1OHzRtlNJAwDGV89IPKtIuZAVHpOwzk5QNeyvYcnIs8xBn1ddLZ5tYau/ZiSIPqtRJB
jlIDvXiUOVR4cDwINiQHFq2YpoyntsnFsU4S81FRGc9rAY1nPwi0bDkXQXGRhpX3iq37ahozi3VE
U/Z6GNF4d+38VriTha8GJsmgM4gXbeTs0k7KC51OSdeaBavO6FRCZo1Wf+PYlD1YalZsQ6vFn1MF
7XMPs3BFdY+iuvGGjZMMpEBEfXU5AI7IqNfXpBNXy576ni6AUpj9S9mGkXnQUFDwwooy7TbaLDrl
DcOvbIqz77GBBm3RHJ2owqKLPTO6jhJP7sBdi7FawOocLuDPljZhhCZglDWVqutwiO+rQVlaepjF
B1sp6O3FXTZ9SXo8vCudbppHFvOjzbb9DNPcwhoNDm0dRjY+sQ4WnhjK+dmwLFTquEjVQzggRIxD
hH5B1YdfiJSJORvO83PQRvObHY8PDZPxIoz3ioxJzDWbvCaLwp2okxDshtZNm3RyyWrUWGnScmT+
IDhqLsa8pE0YD2G8bgHtU133ODUg6N+bTgw6xtNujbSOGOHXTOLUoV9YbiO2dtLa125U5TuhYBuh
9WlfjF6tIl8sPazEwipvglbN31rm6V8UZ1D2RoZipxpzgPQasgzRj5tegVOzAvFeCyIm4uqrAxRg
N1VBcQX1TYL5ZvspRAO9nD3yVcYgTc6cxEzOW6VOHrUAeN0w049q07l8nLtROfDwhr7hyL0ybIIH
d86H24LR5aorx/haicfqFPVoqwv6z+xrpgn7oG1NbYXJPRKrdrRa1CDT4PhhYdlbvdffPBuPfEbT
ZhyMS+hB6Ew4CGlvFeXGupYxv17V2nT26HP+txa/r6mS1/vPa/H5M3E0Py7E8of+Xogl20MaY2nr
O+82278FgyzELH+UShYIfB063P9Ke/cPQ1cx0ZJR70k934fS3vlDJiGRzIunl3g4/uhfGKwAdXxe
iKHMMfAwEVzzW/APfl/a4x3G6Kio89HIo7uaJ9/PGGnTz6yZM8/5Gt7NRmNDtyaFYbZ3R7YET1VH
gEnu2TeJa54bpdjlSbIiJyNol46TQzSIUeHcZgSdr/DQXIZK0ewEh1IWwCxRvuDy4MhaaFBPDw45
jyPBNHRdbZhI21ZQf+Rd0l2qIAKWZWdfD6mc6fYTSfUZitnCWFYRLeh6LG+mSbkjGOPWYJ1dqDrn
Y7Wh1lOmYxS7e41goSlqX5rZwFTBACCkDVgl+okj2p3etwQAC045gZDqEKBaXVB8nZo5WUS6tg5M
EAd0hA36DOMRX8YzUdYj8B6jW2KreK2HfIayhdTJG91VqIrBp6rWGNLYTkDYpznthrFUfGAKB61z
jkbKCUvD9chEAlCzAwwiQkul94emr+4j1XtUQFyiuTMuUwCXwsrv0niGm5DMt6IZ1n2nVRcaUet5
VX7VVY2RdHzldbI7YBDhHua0/SYa9t1BKfuvakN7gEGN4+uG0dEY73u8mHQajSylM6+ApIxsn7kG
xCCGJL7FuPeooylHgYxXqxcD6S8lAbsygK9MEOfl6MhXbprOfjFWGrRZ5yWasJYa8D9EkKhMM1DY
uTqnR2Pbdc0xyOCpG2gQzmHq1xVad7vLsfiSULSwsnxniMZvW+tcjIwtjFLX/QjTm6kGX1KCSNJs
VPBTU4QX43NolwA4qQvKDB816FzcfZAcIkN5VhsywZoe7JmWIkKC4AJbHyImX+zKVdturXeRfZYN
BuE/heSIIQHUBQ1OTQ9RITpespwbhhP9CLPVzkxKAmfp0jnZoOkR64znnxa6ywHX3Cl1e4eQd6t2
+t3QA/EKo1ZdilbXmHnryRkmA0ptD/h0ZGEaDvpEWWC9NX18xsFm0jT1ohoN/ZKsKnoFab/x4C2B
s9nnacsUotafGX9bsD+m+Ihpf8Bdba4nN193ooUrNcUZKavFl6kt13ofP5QhMYse6TxhxP1Msik7
ciZcwGL986T9j5NxuQb877DGtB0fBjs4M2vQk9DMP7X/KoNk7oym9jHLya19tRhj/U4w9JNLANgD
hokPVVOZtX6/DE1VOLZJbJvHtP3Spaepuim8s//2qPc9Sv/lbPwcldjLj3uU/KFve9S7IYj0UkoF
AMIkAH5oP1NHQMs2HEbSf7FIvxULGhUBNvC/qIgfxuLvViE2PfYvygyiNP7VFmX+0Hw2IeEQTKiR
dkMP/F2O/kGIUpc11WmURCfC0C1y695tN5Zz1PBzMP0O3z05cD6lQYfkJNWjnyqdO4D0RLN23x09
gy3dPYPbbvGwGMEzetBEXQ0kUigHKhQgpVqUTDDrUduEJzMtYgjXtRlhItU6fUT4MltzFvtk4wXS
RVI4pMn1k02vqxOAXKYFKDbAhARzcgJ13s/cWWIRyTais97WYeMlYKZaSph6yJpj+H5i7wyOb6uQ
eoaenstg7/1Mb/FO/1cq/1nySoHer49nVdk+/+Tp5+c+PP2GpKjhd+OghvTjw9OvAkkBF/p+cnPl
I/5NE+L8ATRX0xwmIzqDV7kkfpu9OBjlDE5zWCNMhCYMS/7FAe3dSv9h8UUUgjIJtSPDIYPam8Xx
+5UxaZRUd2Y9OuYqqKHziILladTUyN1ZDU7VU0nDbj93tf1kR+aAbklBV7EYRmV4bGanvfMis7z2
vNiafejVQ7k2Ckfct0ZHDQ7b3FnZUQLdKVbugE7gTAiBDma6nvr6aJ9ct9h0oXbseqKSsul5COdn
PQpMNpkru3UZlzM21LM85uzA+EBL7dXYk1JJ1DUCPFJmWthVYdODhlen57RuUAwODbxQPaSa0Qi7
nVAm+0RbrLOiHxdK4bgLq/N2Ztg0i34gsi+3r8zeuspjW1umBgLiYLyY3Qa5R8+RrKivK0N/itwE
QUjAMakoGEbjzyMAPfZyH7sDImLTukps56x32wc9J+TGLrIzwvioulGg1IHuLs3WAfLYhHC5hsr1
qzm9wmV9W5tzdW40gBfngp5hI/FoDVGWzKslUSsDXiYMPA9jEWZnUC2B0lQPhl0jC9HUCsh58za3
zQS/asxWbtttszbB+p9vNZq9leMk9FM93zTFSNyOvqaTBnUs4TsgxmLwQ0zx27jg/8x+7BaFV94V
UfpKV+/ShWziVtmLlkY3dinwkojEPAusYAf56zKuZPCz5QBIzctgEZKAE0oucZmZV5Ft35gNeTfI
JV/tsjiA77+qJhc1vupSaMIPWDC0SECqjoci1nwhS2mzLDZZrCCyN7vZF3jcQYHdJXaL+BkmzZrG
78quxDWl6OArAwdgGhxrs3b6i07OlJypdfF/mzuBp/kO18aIm7i7nHuOcZYRXRSgbha1ojIem7rb
Zkq+BOg4tnZEKwji0Npp3HuQvg9OEPo6Z/EsD1FSy19D7a+g6KzrYD5macxoQV97wYmHtbww++4s
89LTPNlPsc0YoyDQb92MMbMQuu3EfUxA23nsNCs5K/WScx8bSqS494rDQE9YcFy1ZAT03sjAx/TC
qvKj4TUHcmRPfctIRUgsXeiYa8Won8heXkaWfpuLDN1PCZq0t49TTNMJPBmiAJT5fU3dFLQ3buJ8
sZXxvLG7Nz3Ib1rh7MATnyV9qu3UyAFBnXmtb5XcB0x+r5mGDkCfcTi6YwbGq7CPfHhZykcPdQNH
UVPzox5oJ9So69pLvyhK4Luyv4FvG8+2kZ9krBsdYiquXBT3kY0CkRMjKg61yA4KUXy+FU31IkA2
5jt5/oxlMl2JKbvU2uAhU8rJxzmMBRZ1uufOZ1khzjsNEHFnPg52/kwhtYfz5LuDfpmAvckCbxdV
KCXAx5qGuTUq0qVgx5x3lLWLwsRcPqXF0tRTKX6HimhFe4+99BATB3GJMipo92OvSd9F0ZPJasxL
D4TAVkvc+y4HohuWucYejQlhXWeq2DA5Q2hflES3jKZ+Gidzj9xSu4h4sXzuuUWCHYdyqycXh5HP
eD/X5A40mpYd6NNYaDG6igaPkm01qHMLwr8cA7RUEKqL3hbRVigG5lqEzxnWW1VbK0mQ/tdF+Wub
5kz3i236reCIGhc/iXXR+cFv+7Su46LUDEQNVDF0j/mjv1vaptRPuBxdaWyDQENY+e2UKrFpOspK
78/j60d6N4kv6InVv8Kr/8UmbdmfxNJUSJYB/oxuCc0c4iU5QX8USDhwQF3c38pRUxAVClZN1Zzf
ggETXWpl9qIz1DWGqXUzheCUgJI1V16TK5e60ysGVWhZOKS5eCjaPUiBy67Vmnvmqs70Yimsm3YU
5HCqQA4mZNwvWsDVm7Ad+D/ODhtQ4oQNSVwhOP5x1VeKt25gGRZVqr6ENXjDWh+rdSmRh0MHfLEP
5dJR8ncNiUbsUr15qt5xiRKcOJPKuB8KZ58kjbEY8KpbEe2aFt5ip3dfSLrmjZAoRmpxnOGyzobS
OElcY+5YKxaI/sKVKMe8ScIVFYKxIVklIpAF5GMDEwQlV7gwJpJhXTbqhS4RkTPeJV2M7SlpC9bL
SWSPbH7Ttabdx2YbQ15ML+I6jJY0sy6TWRQLoLTnk8rRxWVpHNCJtPGwtl26U6bIxMKVOEtHgi0F
ctJ98Q67lNhLJr3qqkXVKo2gHEVcCcjsK8yI3BYFsRVAAAuOZiJKwxexCRsGxGbal+PlzLK9KVoz
vRwhcZYSyelJOGfwzulM5zleswUAiSXvg1zjRBI9G8n2nN8xn+NoukuG+8A/kwiVKzLUKri2uOym
T5JKXfFgF7ui6XsWM7Ccga2457E5YPYhbeQ8JRkWIZ1Wd8Gl1kWPWWRZi6iwn8MGA9FAHt6KxuFj
qolwFYjqK8eM3BdKeAahmqTsZDpmCAMI4c6/RrO1xLkhjlOOFABMjuObjZv6XkFWkNLbu6avnb1u
0efpk4lBAiRLPc83ZsR/vIbJ9Gh17sKcBmLA4q4a+AWE3knKXz/o5nlvVcp+MhxgrJj8T1DCmPg2
TNRpQY+W4ettir8iycQZGQjIY3jQSGIh6rmprfpgmyziSlmiB8FPgves2xhR9iQbM0KlyQQ0pt0P
IxLgrA+1tWUG7gWY4bWSe686YDI7yS/LrrsNSNRpKwfrka5UF5MSTztd5nnB1d4qFg2unGbUjZoE
wcp134QyHuIMj5bpnE0RmS5OEm3qcSJwaF7zmY/uVJxZef4098rB0uKzPGJmGndWcF64yCByAojW
XRReR9MYkgGf7WCUb9Oam+RGnAWGGJ9S4gQLtBTPITS0hbDjI0xvMrULNmNF9DkBgbWv2dkOqtPK
hRmZN9AFMDDCAP1qM0jpRL7mVL9m6uGrPX2gUKejSXMoqhLkfyZxzqM/MDhZRAKrDmPlWzdTjxza
bsnUpkxNvdJGxeXZ+8Cdv1a1dmXN3c4hSNjI85UtRsNXo/FgKamf9P1zZBsbu+lXQJYIdrbcU5sW
V26pv3op73CeGW/Cm65MRkJLModgwM9rJTX9inuMxwx0IsY8zHR+P6OGZIr8At/gZpDPo5Ymu6aL
TgRhHXOJRETZGYzl1slLn4WUg4WlXubFeDHVk69juyyCbqmg9iWrZMNhcevga8or0t3bca1Y0q6o
xy+22yEWZZYEbDeNnBUEqiP6T3dVqOVGE6CUky486QL2ax9uR7DrDJXOkFCBu4mf647Ip3REjpt/
hZziB422pBHvBwJKVPZWBt3VyGQocdXthLQrHooHq8aVOBtLrAOrgoamGehHm9zcVthryhbm/+OV
OXqSEKQvvQz2azmomxzYnRd4PIEBqHpHXbte/nXCGsIKt0Zj5reRu7RdqMRhG+3osG4Jrn1QNcER
y7227erBjaBNobru8tdiqt5qldxkdPELxyDDy67WbTAt09BkzDiRLR5dGk10XvbGFYfNr5oiFnqj
AufhpK+qW8Xrt26rrNUou06s8kzAz6K0gVLptQvbqlaB0h9atVvzKl60nrvWjHZvBBMXrFdhxRc2
FuDp66BYUMC+DF35wD+FqI6AlAnRqs+bRAJYNPhTMTy3RUubWDmQ5LmbFQfXPBrgvknXESmai6gC
o4aQjnav7Wx00d/nXfEkIGZP4LLQQwIMgVxdimZbuNYO4COlmeVhM+0fhka9L5vkqlQ0NCIjp82O
785bhYXYOsLi6XQ2WLwuSSQ8VFhDe6W7zmJn647BMTDmXWHm+z7QEMli6yo6Ar+z6UTQ544XjJB6
9zJpvDNDGx8rG8tvQ9ecltpt0AB3atpj0VpX8J9VJpjtdUePtK8QOTUzdZuVnWVWuKeXrC4G1H+N
XKjm8mFKxUEHcVpVEW/2QH0++O0gDz1IsKvitqmmvaYDV9TN6KgEdMYB4GTXTAEJudLFvkFGNw+w
6eCjK0ryipbqNhE5Og38rQvPEY8m7nmdVJqEJJA01l7tnI60qB/SJtqpunZkvQW80qSMeNoDIWC8
l5mT+rOqPUZWW609I73JG5ExbEk3qaGdktRNqGbp5peDsYZBsQ1S2x90JV/Fc+n3iLWdcAh9bdKX
aYadNipOSMI2STDCeZxeKwVUQJs8i8ZCMIlui2oIBV3vrLouXDVMu32Ea4hMOj/P2CRGr9j2ivva
9xDOYnUT9s46VscVnXbWnxYNUTjO6zEvDpMID42wblBmsteIyicuYiHi1FciRrqFbvKso4ohlqHR
SoJGxPlMi6RtqpfOlc7nljyLbDzvTcYMucr29+FIe/oRm/Fjg9vCSqcDUzSkme6zg00MTdN0caEc
1RyZYLoo0ysFuc2vL8I590OvSDbq5UWQfagA0lxD/9SoR+Gq2oiMlePofmmQ2nWPYwn9eZnD8fn1
lX524P14JfmbfGjKlkE5aXPAlXQX+QHlkoPpZ8aLcpd0T3Fp+7++3E+/Pd4m5OwUg4xMv78c4Sid
G2RleOqVJ9Ed6vClyF5+fYmffSJOyxyWuQyilE+XCGxI6d5URafehLS76aZplUWMvcJNzERQFxe/
vtxPPpGpeRQtzFTo6tmfKgapNtUnVcQnQsYWsYFbitzU9Def6ZOlUT4P313kk125DRSBN4CLJHTT
RHOGcmD5//cx5Mf88BwAVaQFgk7phLrWxtieIqZAqfvri9CB/fxYf/cxPt2aKp3Sqs/b+DQqxgIw
gBefiKhlgXu0aO61R71rf3PFn90dVN7YAVFJWeB8vv9YaeySb5Ro8cmpL2t0GkQTOcHXX3+qn10D
nhqkX4PnQPsMcwgsQ7HdvklOcCFXuQ3+Ho1Idvvri/zsqzOwNNI91hjieJ/uTzlEjhPHY8L9eSzs
s4hKMWEx8AIkUwcT2e0QXP76ivKZ+n5YyLU+XPHTzcJphAtHm1CzM8Al6wyx028WAxmV8uESCN1o
uDsmFiMa4shkfvBJliaws1HLT8kZuoIdm+c5+RQr6zK6svxiFa9dX1n/+lN9f8n3lfW7T/VpvcOn
ACi86pNTb+ORp/eok/Orl9tfX+Xn3x2NfpWd07LfA8I+vE32rNmOAARwCmrP1xEuu+I335389j/f
HVwmPG0e0zuGyN8/2BV5fng58EE6lL6Tq3PafIrNEGVE8pvP8rNv7OOVPi1wzP3LhpZmctKst8i9
tILrev7N8vbzSyAe1DyYWyAIv/8wsZb2rjmH6akojhYzujHWF3pn/2ar+9krxMP291U+3fq06SMB
qDI9xelLpsACUVbYuay08+HCK+kms35zj374WHAPsSGbKkMktD7mp4mP7gVOlTtldhL9pm6eBntV
z1f/8kH7dAl6aR+X7aIP+UKjOjsNc4EFl0Ts5C9J2D+KBn54lt8vIZ1JKgce+mzfXyIZx1zJqLRO
bfaizDuGBL+5Lz88ylyA6Ru6BIvGGwrN7y/A0ukMWjHnJ855eYe9KNnF0KwK7+39u/rPtyaXl3/u
yj4SyPnj4FT+zN8NWe0PThgEYmuk2HtI0T40ZPU/mItKVihlOOcblplvk1Moebq8YTDCmZJCy/vf
5BTVG0FStgvVxeUvkTP1L5qyhDTyAPxvrWNyylnOxhwnHfqspx6/xMeHXMCCKWDOjUfkwNiziPV1
guZG6KSjJDLxd9aK8ibuteyIICi/bmUyMFa3bttxsvU1FpQQD4VAB2BcGI6prkSGVG1ykjdjRrQq
OEAcIiKIvY4s4nJCtJXKfGKgNDjHchK5PUxBNyYxxtSK0JAINu7jqDzmYc2+K1OPiZhgvorvbhVS
eC5biCP5TEpylhndJiFPqcIQbUwuScckKo8yW9mWKcsZGh/fJHgZ+fKw9XBJ4/CMmVYOJQNicpqF
TGxW0mL0Nb6CY6y5AWHAwtvWZYmiedDpPuWMIYfKwcIQGnD2Chl2HDoPZVtJLXaSUQLnZ12NGtdT
HgdyJGkZdz5GsIRJUbVXOxMXe0jXMuz3aaMc+tK949s8L0umf6oo6fMi+FoUafRk9ebzaHsjzY/y
nvin+8YqMir5EOhAGF8LkxrQyBQiEQqNIPOQwOy5r7eKnb8ZIf3TsbD3dgO+iPCrbuHhlVsLxQrX
UTColNfzIzc6YYpcXZdKcGEiX3ZJ8jCCrOKTGK/B1J6UtujPALHC3SDrZ1UP7oUx04GZg/nCKrml
ohqX+LBPaW580Y3mfh7SFyWomkUZRXvUaEcI6Cg/KjpamuxjKoO+szg/MgEjWWEIvSPJovDpc5OW
lH1Wjrm7Kh0jWFha9FiF86VpkuNR0+xQxpmT0Tt5KihH33br1D0a9LKNL6puW9POEdgFAfAdCKkg
5qzRmHZnVtMuIsd6UwgJijuXFBBlWr9HbwQejHO1z/a9zFBzZJoaSL0zsBWgh/qeCSJ6w2Vo4ReZ
LJrutQZdXJn1qwbcBOB1ZHoEdr7UesU4PoqnVZxP3apMPHBSsArtdOZLjttgp0xtDWWHduTAC46K
MduCJ7jKCnx0fWzuSM5qEWTn6k0RBQRDmCY8Hjkxt5IBpZ2dL/VgIJ5bpXs/BW/TpG9j8ut3qWXd
NCJ40ouCQGBkfKjQLui6Z7vBtGwm8h1zzMze0f4zj46YYHWj7IaQGNvrsTGv+xTcWyCsMzWmBPHI
tfTJXdo3aOn32kRkm5lhRCxj7pLw/Mx4aLXgqAwhjhjcbOYQb0Td0Cnw8mYDMgtNEVw7t86+RJm1
dsuKV53XpKocxt80gKFj70dnqHap4rjLLNa0I3JXYxnAj7kCuI8o0qSjScV60dcKWWGevdInoPhI
HHjO+xzvWzVeThptpamu0n2NCAJJhB5s1VqY6ARKczOFgYeAs253VV0cwkilmRl2xr61w3lfJ5qy
MbFtr8q6urQVzD1zOjHvDB8qJTdOekJqO6tfulNi0/NB2O8VekvhGAYrO6kea7qtX9silwbPzrx0
kuRtZqiCJtdDlfnnPv3f/il3tX/eP8/fmpe31x93UPlTf++gTCcttkkLm47r2g5/9PdIk/ANE0US
yRcOp/4PI00DBC2dJAzfnsa0i8Pv/3ZQfN9INVHeGQYaBEmx+Tc76Htb5bsdVMZ+0HFh86Tngjjw
+x3UUHRmCXWaHjXVFM3eE3Gl+nGfmwpeztRBi2yjhvGBsNSXGrEvHeBWOErbcbcDUrEppOFXjnCE
e8dUBLNG3N9ohtkc1DEro4dAegBtQZbfROPHz98NgmQXW5Cvt5VugXHDRlim03FUsp56X38OOAj6
kJ8PFdbDwh5ZkTEjjpgSK+lO7NzxDqP2q105V5VR8g8Yc7UNRwv5tFtuzda7BHBPYDL0ljzJ2QU1
nJDVINLbAHOkYhqIW9QJ6OSoHV0MlEOeoNmTnkqCPtDoNu62t+HM5OmwJVDg0ZROzKFkveylO7Ms
635FMZ5sKyMHYdo4LiKOALNlHT10KeaRwqrSTZiiHZilisCQeoLuXVowSJUB+mRayPW7+ECXOoRR
KhJInKhWqVQpcETIDqpULjhSw2BLNUMpdQ0klVvHWGodQg3Vw4T8oZY6iEgqIgqpjbBr+GeN1EtE
79IJ1iFy4JBTBFJXUUiFBUGH4ASl6gJRNgKMRGoxAqnKcKuGzmnuTW3I71DU8d50FFvbeRBi0rVO
nEE/Oan2RasNc9l1ysLBXnUekdtAdhz2fUmmIRmQDIt5rVr5pUlC3uCPU0lkZpO+wQq4r9v0rFQx
kefOsMnwiPpIT8+J08JDo/Mg5UCBKqBEUbGv9OZRV9KzZICDW+v5DaeEYSUi98XEiqmHzkWRj7he
I+GkOOsnICWGQdARlvwomc81ix1ITYdVWhH2bph9wFQ42nV5gP4toGs/2rq7yufwZR4pWwKVXKzK
Y8JYSn2Q5RUEBzfWC5PbZoE4KfWBzLdLIxpXHZFjTk5U9ihGBKiFxZypT/xpYvRNZumFsIecbAoL
m22Yx9gnQ2zS/M1E6o4YVTg0IEnUkGwFy0t9dzb7DVtyv1RHFSrUAP+uwZM+VaBcVVUcsFNxELUY
/caSSqSCJ7IlpygAWDQ4I0MAyTAiDcYhUZi2D07kBQoKD06B85YH4SsEn4xMHHy6kouUSECSJCVN
PcNkDq1+JylKpeQp0fD31i6PvipZS4XaCGJYQeNAR2KgikM6ccp0X0go03/115+6bUrmX+wf5U8F
MfzMt90DFjk9fhY8eGF0jAz+6NvugaLbhkemMt8hl0GCyT7UXw7sOQSvMEUcHEYf6i/nD4Q1UDOB
hrC1qP+ORW54ssPz/e6BdtXGacEm4tBKlX/+oZvVzvSAOquzL0IDbFPNflUx/nSj2lwqY9jjbZmD
Duu3ottRtnQFJjkUHTn+9i5O3ifYanbudrGaM68MuUbot5hQTOaRHevHKgT2zElyHqyMNVgw2b0f
OmgHyxmHI7CP1FG8ateaDaAsr7fs8bJLHBzgkVKGa8dqFGLfi3vcL7BbwTsIqT1t256Cr4e4Cp2A
hJlQaddBp94khX7eFDaQb9howaRe4dGAXqCNJrLTCp5Gfijq4EwbxrsJAuaCEIUADVm+6aodWkXG
lyGvTmwnsU/cOoAKDpCL2GVU1QXwrXCf3OeOd9JUVkzJ5VG6lpS3kQEZ7c8Kv4W7bxif6XJdibv+
QSCjoA7JDnmsWgyxp1NbFtN6sHsAsh3FH6EvAnvhPC5TwbgSXum8miymbq6qr1Srm5ZwkOGyuP2r
Yo4HDPrYkxDE+HmgvY5jVfqd1a5hq29ji4F0rmXE8OiVHzfNXWcBwkjq4QwPbweDjsViLo1rBZ1m
7XT6OkgJo1Fy0oeaoNrRrA0Xo1leJHp5VdcDiTXVIcbSFY3srT0qSs2pV1OXfTEnSs8m6pfCQGKU
pcuMgHK/r8K9GeSrpnIxrAd4uRAKJYhvy3TtTg6oEkOcQwnDepU10I2hfWtheN+hBGYc4WGSn4yY
RLrwhBYfAq4nfK0W+76jMqrV5j4sUbfMqXWYJu1ahOPKHjlsJKNGPlJyFVI2xpaxTJ1YhqbPMUCG
KVtUOHq2TRpEvjp6JxZ0h7rKeCszrd1qaNJxtJUXllaITWSgOzXSW/q9d3lSL8qqPipRxVTcS0mM
zDAGuFkCoiW/GygnJMe+U41HterKpcOO3w/Z9ZhaO2AT08KW0onIZQYytQmoEVWPDpCbyXb2ZnJC
huG+wMyxTHRxPwbDnWa29B/Ye8kl2RSRd0xay1cSlDuWgKnAwB48zOB3TgqRLyU9yQVZYIjuOkgw
2JWJRhk4hbuwNcNtLeqrzp4fEX481RbC5xG82YI8qHqV9Kbmm2p328fIIrQUHH1pR3tFKfeq4z0X
yLUxHde6r5faNeOWNUlgN1WrbhSjPA0UbXRujWty4NylG6mYwUayCyPzPHYqxTfSeD3GGTIweiWF
Nj3n4TxuiaXedn1jAkF1Pb+g1YGAhfAoIQqaAeivJ4nIz8bZPXjqBMlGY3aszs1ZbKfrfAAnEeiY
vQhssBc2UMKsnY5ABJF5APUqm/oCcfYtkoZojwMwW9na+JbG3lVixs7CNqqAOTnBje08fR16tNR9
DwCcLCfTpxGFfLyVhHMH6m+QkYMWoDK3ObYTvkw5WFbg/eqptHyT2K00HJ/tSBQrQSDjiiYJAtn6
XFPMtxQxDl43UloaSSexwJTM4EoasCVhGW8njMTFO88EsIkjCScVqBNVMk/cUQF81CGcH3VzFxLy
spglI0XTk3MNaMoEPAUk3oGWGZqG4JBnyS4CshJE9VchqSswg84mMCy2Ut1UkstiTBwgVclq8SS1
pZH8FpJXVo4kuiSgXQrJeHEGaC8ZVjZL8l8GSYKJ++HOk2yYrlR4pyUvhojrx1ESZEaK71QyZUhN
KXFR6mB+AM7ow9sg+TO0L+JVMZmHyM4fx4lvVPMQbAxCh09f3jWgi32jxchpMmAIAbVMqYMewkAV
0pYvnm4+zY36tdd4GNBL31QNNwykrrG0MtGyRBQk4+XOqYckRUCyxjFmUIiK6C8QP13xUdFKRseZ
KGoUZpIu3Cv6Yoau5LC5LyNX3XUlOWocb8edOVjXehU8RA5I8iaL/x9757EcN7KG2VeZmD0U8CZi
ZhYFlCWLRW+0QVAUBe8SHk8/J6lWN5tX0p1ezK53raZKxTJIZP6fOa/FyNk+NMFyAhEsd2023Bkl
9eGIzAuuLDEwKPl3l/R9l8Rc/9e7pJN4Btvyk1M2j3q3T+Jj1fnXaN7V3o7Sf+6T3E+aFBItnRIK
i4npX/skA5qLY9Oxj+P4e4Xanwkf4xNZIVvmhejXeJtu/4NTNufbD/skOpYNijhopOVLSV3bBzGm
sUl2jo4actYBhGsseQbFniagM2Vq1LPSaWm6UdS5/2ym8SEJ5yc30ha/dtIXY6DXnfzP6JCUyIth
3RhqSqyhgReUJilRCTuu7snf0IGPc7qNKCGlRAfUk62vGFmJZ5OS/9euV0No9qUlKeEDLeWku0t4
gJuYjVjD2JtufiCuJm1KgmHWgZuut/Lgp7RvJJUsqaGqpBKwMgFbUqjfJm7NomMl4UCWGmieq3Hv
krc2xWCsiG0TAsYMgymG5JL32qmG7NJa6nGB9KIZy3kM+QWh7dys8r0GEWZKwsW3bMG8VuJiqnbo
A7014/PatLdqrVymMO6u69A96yRuxpbgmchrqcRpK7AlypitZxuKmABzFThNf5q69qRkE+7KCEbT
TK0CTLxxHbPNhHBsdwRqE2MW3zKju0ly9QYoSmH5Q96Vl0qTLUfD5DYCtjqq7fiRIjff6WgQacMC
AxHpD6OKvzktyWS9pnFVrxjveT10TKO4UWxr3NQuNESnwRMoBG15jQTdYBPnHDmtQlp5A10r49MQ
EYBKKPNdGezFukmpru2RAxwRGzbCYmV4fbmqdc1PEuVIf9dmoKh3Nfe1edd68FHgPK4EHL+NmnNM
A2zqQ7ShJbV26icr7JkTa4qXMNwljeW3s0i37y7Fy+9b/feoILShdweAt0ZtyRe3XSLPOo0yH8ZH
NMiPaua16YWuxvXGyEf9mc5516cEF2LQv+vf9/WPs9uv17+L5/r5J6sfj/mx+hGbkMQehDbsHyZO
k79OifwI9wnCGUqzNCG9W/3cT6xulFM4eBFk7JtH/cg3smRaQPlYteTokvTEP5kxIu/97UsiVTpp
QzDlKJODJzlzfv7ulCiatjAtau5Pdd1iP9Q79jses4ramu+0tNmGcqozak0Q1v0XtQ9Jck00UEwm
C0aYs21V7ryhCVRrPloLpkALizQY3o4dZ3KyadmbQ/eSC4CrhCgvwo+6zSbvOBrWeVVUWzfydn2q
n+DGg64FHOiLiAuDQc2NbVX9hlzTq2KXsPA83E2DGR0dG4VAgTK3chtrPZPHlMG1bWEke5WV2K91
996pjctWz08WI9NVL8oB4+iQUwA2b8MpgxpheVd5Gt1QluOXFvve2SLJEOWVytTIfB2rKGUt7Ovn
suN5ZmvYLoqgLoYGTKZuu0LJ1A3EQRGE+RivOy5ilKeoPvRqlK31eiyRE5AssrjxEzQMDy0jgsTR
SXGjHtpt/6Z3VHBVqLWdNo4KWmnMdgRK15PUSJo2DoRUTQBGnRlqjo6CoBJKZcUVag3SmJZJqbp4
o33TSB1mloqMQhMboikqjYtcU0rdplo8En5Sy2HIfGEj7hhS5WmRe9rIvU2l/pMoxs5EEMISUa4K
zK0sKEXQStVIl/qRgpBUSUWpkdrSLFUmZ7L2hdSdTAQoZqI7shWOH0ttKlpQqSqpV9l0b5KMQ8Oq
ueskJZOFRepbTcim2kLyElqJDbihxbuTepgnlbEFiSyWWhlScBwoDIg3w6h6GWk5vSCEEZZ7u1es
XeSqoz8qbravXSuYHJNAuGlCw9KddNtVVt7sRBtV4Y1LHeZBs+OvkVLVaxca9GGpY5KFudiLJrpt
VYLraqfvTKXu/KKz123cW+vBLQN3KKuz0hXHti2+VVMpVuYyMjwfHuuWWitOo/e93lCCynAGQnX9
SChRXTvtct6X03lRqKYv3JTCRJfGUsju3WgdOY1xSSj33aipvgnOK9UZTtoRyhqz3d4lUJFwLifl
UnGPb7eMTM65IVYMIrrPSx2eBjW786YY0wVp00hvOKJSlOenWpNAn63aTRKXz56aHeNI8ac8itc0
7h/L3Nt1FpuL0VG+JmFyR8kiYqISxVTsqV+NpL6n+j5QCG6uBDmw50FYa0VTngaTdOvYuUdjYiev
zXZ2ZWfmZ8xYZ63mfHWW9my26otF41iULOaqReCeqko/ltxZc7VBZ3bsM2MSvhC0lCh6fD1Ear+i
ZO2z7txmytqc3bM6STbeAMcijBM6l+CGJAOJ4C7Lr4hhKZxcxVOtdMSI+5Dj5nIZU1Dv2wZ91iNF
q0m6VhR7t8hMFmUohDMEfmLObas89o6O5xHOyE6UCvi9yaeu47YenCnaZsXymdambtMVAiF411hM
WnOFnVs3NOf9uOy9OvlCEAe0kKaRTx1h7ybpTZdbXzyBqx7tOV6VDbRxhX5RrQi5iKuYoToVUUXD
WrjylnzatqU+F98drP/qetKq9Os77iXAp+f2P++58lF/3nPR9Ugc0oEhpTuAJe/uuRRqUHxHPT/W
37dujB+TWSr2TH4EZdexjD/OKT/uuR7cCga9nvUng+IfnDhwYH2859JLQDW0lPUIo1C68vd7Lkio
khaMWTtZHKezHRoFeDdsCMc0zH1zaa/ceHlgN7vSmy7f4m14AIvWroqYoz3LiCeNFQnwemz2HFgq
cWUPFWU26llPPNsupr2BJWLpd9AbnqooOoRYNdzopKUe1ccUC/u4HLzA0RYwVq09cjRYvsKPp/+1
p0aOPNcTBR4E5g0FsNHYPS0VVhXA34FhDZeQx411QzsPP1fPloFjPR1HR5MN6Kp38vtSAa1QCPU1
qdtv46LT5Eceueqz2Bf6dFO404i8R2p5Vh7EQmEOtMUgdW2XlJJ3UdrzfKaYGbVuFGlOJdLaFHJm
oCWL/2i/sW82+YuUSg1aQDhDZ9iWoBGFph4UMTQ+JqEvavYIhzxu4XW1CKYWtQy29F6HTieC0Rhn
07cysiscxyATBTU9IHvRGp33rCV0G6+TCRGVNqSYqQiwV+bozZrirH7VmaBgOayNKw6T4GF1mqDh
p2d7Qx8EpUyJ1O8kUpYoN1VZSy6uhgrgLDVRDR591lYdgXHVSjBtLBG1hYTVFo39WC2CIyHoxrUp
kbZVhQWl62ML0gW1BqFE39oSgourxCREBRg3hZBLHX118CQ0N2TqdwwlSBdiRnuICWpsJ8ERr6Tq
pA0aCd9VYiPcaln/TZdg3iZuer+RsF4Nau8AqGpF6heanET6ag2bsERifk3VfqW20KJwYBzXpYQB
C6jAuQoeGC9Sfuka7Hm0N3iwAqXeo1ViSwsegZehtbbIDa/FRBshU1vi4hJF7EgoMe8cdS0SVOxW
eHL0GXgxFBDeGzqBORFx5jbeKMf0ScNql+jjesaqX1EwsGolXblzFXE2SlhyNIJN9mLSAkTNMG0x
cF/z4Zm0IlvfmFuaJCVjYlemsZUCBpxmCWZOvTrmVueaX9QCHYCIL/e5gvliVAgbCdgc1mEkSc+p
hD6nJQNyrrnoILhf7sYlK7t1TCJLXU8SGo3AIdJvOUrAzqVJ56rSKHBjGNmedeGiijOjTnyhTre5
omEmUnOYToaXUQLZ3FNBEfnqgtOt8saK3Qd9bEP7pETNQ16V9Fi5HifjAsT9UKCEpir4bGdO77HP
XaZNm3zG2wK6MY7i87l3GS7XHWCu/iopIU9Y4Ap94s3N3uvt1zgfPjNs2IyRS2mGp3wb007OypMn
wvWH3MwfJZ17y1jP9vNCyEXEO/JW7PvM+1ZxnSry1NoV7i39ppeNFh9qem5XpaguMNS+6Lb3MOTK
FGhiuuwWiBCuELtqaW/axbuDdRiu1Y6bMG469Po5AUeWzFtDX1KfmjH2/+SIRs7Cwo2vIxWxxInw
svW50ZxR8Pg8pczvxxLXUoUlzAlPrjEelclogpkOIK4URqMIz5QZJDlZOBgVX1K3LD/bWZfuImNI
Vo7ZGxR9eebBJnewMu2KBnar+OK1FmuW2pdr22guq1G5sdtWTlaz5BCVPZdyBSsqm0eXX0npiMCS
L6wn1qSwGqOrQvPY+HC5XL3xsBc1DKnX4Em72orXKVX6WxVV6jqPRB24OrwSVph+26Y2cV9r8ra1
qc3rJY1dmY/MWWGceTv1c7oO28QIEurM196SMioX1jcGN0uQmcueEfJJBaZRGOk59msJF1F12t+Z
lxtqHW4ygtsbLGvqNqdbNTCR0Xe6PVmSobZK4nyBn5boW92Q3Sgpv21ccNXqI3uovCQVz0hLdi2w
SqnUoWzHkldqicGSZW0RXciavVVSToppQSFcE1GdUhZs7Fmm/oAN/rvVkaftX291JFYrSF6jn/iA
5QN/7HY0+5Pqalxw38cB2rsJAxI1mxbJgLTYahgSMvfDB2xgHrZQhd8Bt37sdvRPbIAMibYnjvVP
sVo/m6+aBqMMA4+u6UFNlvPXdxOGJE3jNs4746jR3xtz5226iN4u28oORULdj+5rw+Jw5zTVWqcF
vIR63FdhEMUl4B804+cslt39HFfU5nPq5Jp2OWots4Z0mGuYC0PpnYqqWw6R0efJvulm/RbhXrH2
WqsKZeV5SncqQiM8ZLOtUsufZal2kzhebp4t0ZK3L14Z2eNRGLWwruBxbQcail6RcNm3lNTxcmpw
e4qD6KPlLO8mw3XXzN3ezHVMH1ThZ8s6lAPixXSo0XGaWD3T5QBZNE2KOlYyI4gnr/FFI7p1r87J
mdXN1AWFSw3khiTyc98iD67MJhyXrWMizjKh6y9j3XqmDfSzk0UvqQ1SgT64wq9t67XuilcbQjNl
EkVjfiVv6oMB9/UmGvflolqbLlN6oguRvRp0NUn8MQPbyo2E1Rsg0YOmJHXgZWP4MiX2sGuNUt/H
Shif03ZV7DJNOBeMaaf9UtfNlvlQ5Yth6bBdYWm2XG6crF8Lqj7l+XFbBzZTReiVIS6C4sztPeJA
oXCO8NSWfWZy44cKDmLMi7dO0hQrEenc3mc3ZZLMCNUB61y73iulSsrWHZZdrkEDYki+ncOxWylt
ka2iELGR4O2jSf44yMYFQiyw7krD1dx3k9/FYrzIjKkjP88N1Mtlw5FFH0YKo/XEWCa7YVBvXNOC
Wb6mqikORZOUD0ingvFtQ4p7SL9DE/9dtaSC8vtVa/Uqymfx9aedMvLRfy5d5ifNIJvPPBMP5ptP
5k9pCHcNZzTbZDRKhEXFvfJj6bL4CZkCmnlprLRJt/w1HDU+ucjUEpZDlyVfgH9U/kYu68NBjcpN
JqI2YQla2XVD/SANeVDfa9pm4gslc/XAGopu7dLXtbcHcluDMJBJu6YTFK3RzU0TdLZYbMXHpk3v
5jRLuWlT+3BRCt0MwGdHILdx6gxX0+hW83OPNCaR4lOzUHyA6YFJ0KpBDgOFAF83bHDQaM2y56gh
onbb1Uoe37gdNAxhMeRYlYqDes4Clt4WFdA8E2ul7ueZSmOIRoASc2Eab+o6R1tBQ9phZKMEwuqd
+1Ije7+Cjjbc14XnMq6w6mX2zZLwg6+0TelnABgujWyon4yCAm3Fqq0dizvOGW3Iw5OjapG7yt00
OTLto/ShCJci8t3EDkko6Jgl1MJnX9IfVcUpLhy7HK4LxDBgBRkifeKUw65XQosCvMbFd17Q/up1
XrXQRNDb08pxE8thpJU714oG9dtfuiLZwXpYXgpdQf6NzLkt/VllYENtG4kELAGm0WfV3h2MbmsJ
PpA2SBDin7pEaBqHEc51Jo6KuFxzFAwXew2Uaxnq1Tway+LtvIh9O4UVIto6arfQKTCknw2vbK88
p3Xwh9gayhSa1y23rAvPIKZB9x/v5mWpRIO6jloVVEQUVn2zj3WtZ3ea6OlThnh3O3l93rOh6hmF
jqWa5DvVKGmyUNw6TPcN9r7pUDhUzbzaoxu9eobnbHF9hpucvEqzSjw9JjEAmqZQhBNkbtI+xoZW
i1OjUF9nszC/XbD/rlzSiPfrleup//ITMUc+5sd6BdaBqw1THbILa4PcT/1Yr/gRi5HKRwMO7LuX
/Md6hRmQ7khWK+IjH9Yr0lgyh+XxI7kMUo/1TwZL6n8MltBymHmZiE34eLSPTcF5Jzp1qib11KXV
Y+iVDA0yg4pVpceC52r1lUUCaAet0ruQBuNNVcmCwdY8iArP61hOfNmwxJ8L2ZtBiEJyIW0sUPg+
3Kk+ikXx60E1OXu/aAPwTL0YdwCyQ6CJ494L3Q2WITWoEwbZbUiCycOo5ozm3ViKnclc+raJoh6E
Vf3CF/2s6us7oVFQYiLeMAJvXvJZ8opas1wxbNhNmLuRE6q4vIK2QseIaV4qhn0W2qO37kYVl9uo
hIGiCVpn8uZyDrtnp49ewgJsDTEsLkr2h3u39IoVwNPrDs7mpdcJbVXY7LZygxNmODtOENJ8zCwc
z1UZMjeaTLEWnvG1Teyr2Gou3I7hSR1nj4lu3HaVVwdKqr/WmTWtMQ/eiYHMM0GR3ma0QH5sR3r4
K9GdUtZM7aievCpVQAS41YsyOksX71ZLa2dlLQz1ha7e4iTA2cKH0FHY53NWYx/XsfGDMu+3TvsI
QiJbcXzUVo2FK8ZUL93c1KDlJFcJJZwrpRjd8TDPqqDghd4pQTjMLi+IYJ0NcxXtjbTFOebhDrDw
VZIPaOH7UPph59jE6zxwFugOrCR9wwemO2LlcbcA51OB40S0cU+eXs/bnG5xmvjSPe5z7xi14lXH
p8l424mulD7D+ZNYuH6G7KKZ9W95Zc3QjWwEtTjVvYscpwEbYYE1OrOioLOoAS3zsj7AZTrF2Lp9
NXdPo1IBr7I9lQRQ9a3IkHNarTr0Qr+AoVD6vYF8TicYzk/AVNRGKtt0oi9i0PrPdh3fZxl+SEH3
EBxYWFs6BR+YAChJK2VPWbvcO5SLaWH1BUfotuckczBL5Upz629mPK/7eEKYm1y/zGzhq53gPp83
+9ouDhN9UGZknGYtO3GbkftLZDW1Sh/UMbyzCsCbHdVOUKgchrKRxa+tgyXSiam5PRWnDR61XlWv
i7k7qOSdmiy9TpJobff506iKL5YnKl/LtJbCHtrbqOYMhD2SfVPLo+Xy5lqmcmAuZ25tFR98781Z
UEbOudpoL65O/1HbzQ816KbVoNWbmkakFech5iLTsM+YP/lDqV6M+fgl5r1mxlEjothJs6p06lLL
+ugRnrTdapMCTaEJNXyhdJTOT7bqSj42Pm7ays9oLJhmiq9mL0c1na2vUs4a6bbDQJaeN6HQ/aQu
Mj/T9S2ngs9uymyiKO+0bLnXlPaK3w//iImBYvSOYirzgF84iJZhxB6YHd2GKEe/qNetZ3yeO6+m
pTkmQTIp00HJZmVfFSNsX6AyQ9bcmNBX4jq7du0S9FVhUt1nGpLU5vCvLCK2dtSqrUXY9EFqKPm+
KPDaqfiVGcfbfqO1y0qpqNopKr7Es5sP6LfOCfkMwOBY5QG1cRllvNMV0z7EH0t9cRct9f+9z76Z
Jozf3mflXGODcewlaV9+Ntt4f8PVP9EriW8Mn4KtvW31/7zhGp+wTaChSCcYss272Qbt0HT1AUr6
61E/ZhuEt+hFt1xcFf/cY//ROUbCmZkGpwxL/qNMwv8+2bByVXXTUCynpXto3JBv7x87sV+m+OW/
8JeHX/ZemPwbVCvQqsn5w/wwO0HvteupNrRTS5uHoMQyp4vRoo5p926j8xOr0N9fyX8+zwcXCJVd
NZYEC0VKVq6L89H5+vsn0OW/8LtX8qHGIUJRAAXBK9EnZzWYdw4DZWX2PeXk9cMaqc5vh6ea8Hdy
2eHd15JXDi8RZXHVVVdi1Kg5aZ3ZVoSCX64i86pPb8YipqCq+C9vhZyX/fY35Yv1fl5lJEpIXZR8
Lwzu72wd6od+YIiumaeRikV6ecERAiBCs+M/XTv5vir88jPHwfOfv4BGRYit8vFz9PwgD5b4C7tB
deYTMwn2Z5on8vMMtxBz59psSNhilun3qUsmYWpXVj9eazl9hmMJjG5QlcUXVoOkUtPNDKFTPYxe
h0CSF496YRzGUG2x8CupdjcZRbo1Mi910Ri6VQlERthiX6Pf6UOz0bo5GLp5Gy+nwQYKE5G1aJQV
JvStwHRf6JfhkpLOeJRbvai9xU9yNOgqEzRlDhjMdLA1YC18Z2GMnNZBRjlYjSpiM1teGsGbqEFk
6TH0Fuux3s3NY5sWq5mOoWYsz7TOvCLClkLTGEq9uissXP/GYqwr77Yz7YA0HvM/BtFWEpmBmTQg
OV3m5FWWP2EfXBUFewXPAolDD993lMUvP6G38oy/vszSNPW3C/8jtWdMcNXRlrqc1K2xC/fLefdg
bN29OLUr7bzbMelb43n3543hH5g0bapgelL22abbqlv7CPr0+PurS148f/0+/3n5Mix5/5U187x3
CvmVrbJ9xS52DARunQ19d79/np99M98vRx8WPDcpljyOeR6FhNzt9LWRDZw+0ivn/t8/01uv/seX
9P4i+Dh64fULw0v0U2z46WU2YbXAGkbPKsd3PzqN/+2l/WwF5ETHvIdgL+PyDytggWzuOLmhn0Zc
KOXyZVAuf/+KfrYAvn+CD++dWsqpR6Trp3YIpMw+Kj412//lA/pvT/JhlfUmz4Z/y5N4w9nSHDr7
Vrc///51/OyW9P51fFgeZ+7VmGYt/UQwDn8RUrh97aUXXjz9/5lCHJMXUbXVt+5/yfnGS1XPAuh0
93/+/sf2+5+j1yp47p7/9geKQeE4XvWvYr5+bfuch35fCeTf/H/94R80yFvKPv/3/3z+Sj1ZkLSd
SF46bi+vb8/wFynS4vr89Rjitq/wuJSvP3/cj1EEEUMNXy9igK5ZLk6Wd6MIlfQh7YA4TiVPQ3Zu
/xhFuJ8Qdgx2P0ix/BV5l363M/oQa//xPlx+vy55C3+5Qn7vyvp4/aqMOzTZEsY19eH61dDDC6Uq
itNCs7xBe4k5YCKYCAotnMY2g6yhx+5yNGUxPXoUVCdtm9TdKe6VPXUigUeTfakREqTZfmzr56w3
nyirRBnpjtOinUc04S8x3r1MluPHTvTU0pY/yNp8m/58kkW2z7GOSn1Zrr9oI2E9WbifZ1hpXFnC
X9HG33+v5S8uXVnU78nK/gW/GRbYL7ZibQimMA+oTghDuBi99HHU6O6u6P93LY4Wep/JVBEN2L1d
QXMAF2BNMbhfiRBIJEzAmt3zDrqAAWXAmKfX2VyOtIZ/yaEQjDPgXHDkW4pa2NrIQxvEArJsh1wi
DLzYujMotGZ6+3mM7Q0sY2KRmoIG7rmXJhwE7AaQfrOLdEw3taKFZAZBJqCQKStNKA/0aQBmXmrM
uel5LHD7LBAXsB10ezpRMRBKHEMswQxK6n2enOLSgthgktS/qJsrtTI2BUSH2dFOjuVtemO6niE+
oMInhMa1Z0OLcbcqj4MZPjDG39g9R11vABth5MUXsqd3tQRKFBItoU3pxSxhE00GWW4Kp6CVIIrG
3NtvZIpOQiqMBlxFBLcilACLwsJnP/cDhc70mErIRSJxF11T3vf8GmEDUTmTSAxad7ZWwmhDuBQ1
q/MZVGiKhlOFqmCJ1KgkXGOejevErc7GMfzKHgpziw2Ho7KvFYKzPnL+uSdRHb2EdsQ1+I5ExNcK
Dksr7cxzSyI+pia9ZfP54qrAlMPiqoAFAtPsPvKwMxLspeCDF7WrJTrEU0I2VdUU+Q5cEUMCRhIn
9PMqyTZ10kOpLHbWkm1Vk45qHcW+7Km61tv+lZxMHZg2XksVlkmF+cfT6vycmy6+CQk8eUt7l5PW
roxWYM518UkuJPlXDKjr4zKLuwZ6Cm5tl0xgygwhUTT8Bi5dyz3tPTncFZVY27nGCKaHyJJAZrFM
6xrvcOI7EtqiaOBbCglyKbE6bbyZSvgKyksN7cWF+mJYI41l1nKBHfxrOCjEHyHEeLV73ROYGA18
sloY7p1MwX/Cl549srshCphTpYPLW48yampGTFRpA5BGWebnyFiwoUhYTc47uuoUcegGJVDh2Wiz
Q3JOIm4IMNMFqhfrme5WshOSgzMAxGE48NwNAHKm4TbLNTYK7iUziMyHlmP6+NbIz4HXgWlarjqA
OzEY8fiNJ540FAtLxnhvwaKDvfrM5zofqL5ZVzVtPIg+RqCTBdSn9pirypEOJ2Z9NJGvibk+V5Qc
zXVHHsamhUN1kFcASjmrWVR0njfjDU0KFV5uonOhHtEoaDBmHGVUcez5BvL/v+kyxjhbebjCvwVd
JFeum159bWXo0bSL5FCRg6zJQ7YyGMkM+bWu1ZNDYpLuXRs3LSHKUsYpbegGsQxYhiQtJwpwAjQV
9wyfXrnKZCCzJ5lpyohmJcOaUUJsc5ABzpwkZ2ja064i29nYCUZClkaT1Gdj9OATyYEuXXxqc6NY
WTIiOpMVHdMCmqNZXTakSFOZJl1YK0mXahEx0+otcFo5zzRxHQjoHHReXDDKcKpFSlWhZ9EPZXA1
T8kACxlmBcD3NJBuFaRcYxl3jaj6A4nQUxNCuYVJJraW4VhBSrY3FFAxBv0Vo4zQYtf6AreVpaL2
KzK2LHTbqCGnq5O+RUC+z0jjisY1gjzrH0wZ1NXoVQlUGd5dZIw3eQv0EuCCuUPIN9cM3IDpTUn5
OgJ9FYSZ9jRmiHceQWHrLTEss8NGba88od8P9tXYHpbwcUzOzNi4KnEpcbi7T5XiLiF9bMsYsk0e
WZfB5FpGlNXUftVY6NcaB6khsbm0ZaBZkdFmR4accxl3TkwzwBJ2DrX+evD0nYNGSFQXp9Cs3UD6
OYtldDqJ+genIwtMedGh6S4Im606q0/g4oBSk9lrQKDJVic7RnNL8qAR0M5lUhsbtUakVRw9meIe
5j7bGDLZvWgGc1eZ9raIfY/EvzGXsFm1caWutCryGnyiBn75qXrlRBAfx7LDdIaZ0XIeUqZ0W9El
DmVhzTJfaDFc9rjlc3bmxca1362ThAJx1q9DSE3aSTNEdVIXZdmFbWfuBye+yEXsus+9Oc/bZZrg
UhLXwpZop5gvok1haUe9tvasRgc75KvjmlgSCRAEijCNexQIVoihgUPRKjvKDi5Ms412Zay+GrP6
Gs7RF245WF3jiRZ5JShcJ9CJcxiQ0oFZa1WQTTmuCMb3VhRvdZX5cRdyZMUi8hhPBYUgWpeuxyZe
M0WswIIsG3tQ8F9gc494s+svnXrQzPA6C52dQk3ZBUz3k1HDMUqgxPtZrt7x9nMX1/LXekoPA5PH
Td1MV6KlqNtt28CCS7wpJ5pNqDmvgySn0UBrxseyw0Y/5TeWOQd2bt0VHqJHkwIoWTK6uuA3JPnl
wHWCC3/i/F7fOpX5wuJ62Xlj6TOET/3Ebq41RWxY4PB0mYJbttZelDHtbg7aRWlTQ+WlxcnxBLiC
MO7XCVHDtZg6vg9jlAexveCbtNt1MWHsqG2zXSWV/ry0DFfzEZ42hp8VVp8LNrmPQtTnk5M7flUo
a41WLGt0kUFSMh30nzXDGVfuziGXxJk/vquXFpBmkh9HjVttpp0nYXdG7/QDJIzHMcykVdF5aPXp
WE0O2OoEwHbK6IpzfnRfzBhg4L/sl+QgTHGcomhTjzqtSImLjIPTxlbsu74ejgu1RRzHvuSmdSB2
n/Oxz+fD5Pa7WczdupzsY6GRYLQLFkIl3qpWYgeNZe6ySj8f1eWsF4ZBEdtCZmCxH9KxKC6NUF2C
CE8qxXRCD3CfomX3ZJZGBjcrqyhnUulMpN1F7FoT1pVQ0y/OyB7GnfpLp24NwB64uElNtudFI4io
G+NZLllkFWJFlofK1ivGlD1n2HFxWTnlNLcEJQ829sAtOdO9x24Lgb82MAoug2f/Ufj5rypscjb5
9XGMaXX3/D/8/Fn8RByWD/1xIkMBJmUJkxAGETFnGWb+c1bNGFvVOQaBESQD+D7p53xC97XlSPp7
WoET+48Tmf0J556hezanu+9q84cT2O9OZOaHiQpDK1dlWq6iMlsWzyZ/ifdDIkeLNNZ9q6IzniAv
UVeMd+M8rydc9it9irQ9l9gmN2B9FCVWFHqWngrPORQDjc4wMSksvXBwN8DVPC0KVl6TXQ/f0Ooc
igMHkUTcz6r56HpIwG47zytX6dbDnN3aIiTf1y10E0YMp6rUuZpYlCLoDBK7kxOQ5IZu0a6kUbNE
RGwIPNm8FCPC+JnlgsNWO84aFDQtsqlJi+ZAo7ppCSsalmSbUy97nWhrvJhk09M8Yyi28fQGsexr
GQb1bpDFUOm8HmVTVOeZmW+/tUcJ68WWfVK1PCo1smMKBy9Zq7feqTJ98RLPXc+yk6pnu89mKd4v
pRnuc9lcRSf1uirJHnJUys8sSxnPoZN6gIcLKh1FeofXjeh4DqkYSvKpwjgsy7BW42JuOru/BVaK
zTpr7qjWOdWNNq4MYzw34eNtjCbsaSks+6BUcrmIqGA5wDitsqY/wooiCzlX+WYZlC1H04NV6pSb
DMxh5IB6ZDS6jNrOMcimzVnyddCMY1QuF2ye2QiCSMC9Kx7zTvHDnq0qAfLzHoQj9nmC5hEaqrJg
pKtkS1pbpcaq7lJ2T7q9Tzv7KgvhhBgULAQA8dYNytsG3fal0bmD6Gp7oRtkGBplW6kFEbjkpOX9
mYFw6xdmy9GM70zYt5dNYgOJynhrVHYea9MDplVSMJT226Yxjo4VMy314Hc3Q1phSCyDrFa2IlUY
BVbtccFEumI3I/zeta91Wz96dV6txTxMuAngKekZhRsGO/RVbnbMDDPV4e4UQtJpseNM8WZIy2Nk
hp/nBvpMrrgAvQw7sDr13mxwmXIWDTSmEHPT2YGbRFdEAc61qQiWaLpoWu8r+mwN2KHlPWztfdQg
zy+2dd717Smp2ka5qionX17nCeA3PD/MlvU9YYuG8ArJOZJyx7KnFzLtvKcqU687S3x1wX+Lhkj5
Em0iMgd1O9L5p2yEqp9VeXyRVNVhSrlZ001Nf2kWEBPtMXf3INdD69tiKz3n3hGVOOlDBz9tOSw3
ur0co0bQuJED6IoSi64mw+Z5zW2di+1IgI8j/v9l7zyWI0eSIPpFGIMWV4jSgrIpLjA2pwmtNb5+
HziKXdtD2t73NmYcNooFIDMywv15iKNBuaq1pwZ/Ajhn6z63JBuL7L6WgfaQ1LQdQvL4yvmqm+WN
3wONmbTumsXOrofWlfHI2TCMePoq/0pp2gOCv4IDVIvKI7oxwMpSed3OJZACvUaEH44RmNQa05ya
AZaxAkkhnS2NVkqir7HLA7xJYUjJcgjGdcIuIXQ8OXkJwy6HeIXOgpbNKDwaav5W1OLvmcmBD1zB
txnRsEYWOcf1UqWS4tgk1r5BwFH53URzdsDcfOQ4zDIhildZkfEyGJV0RjYPV9gYPXEefnSNAG1P
H2/wCpVbJe+fpSJbVar4OEXG0UyrldUwfCKLDUOu2qiI9YOHHJkXytQcusC07v3CFcv6yorgBVK5
Utn0jlb5p9hoIxcKzgZelLVDpHxvop/hyr2DiOgOZLO8DrUC60UllR714ehVgnwceQ2ujMK60aZm
A5QmcvK0xwdCQ0teouMiDuicz1qXv5XSO2lUYhqqlxC+qdMSxWzraeohpXsLrNcIOmPTKjcJ3wn7
gMToGxQh6pirrJVXYihwF/uEwBYfMUg/01Ia+ngdVpUBZS617KnFQso/Z5pJ5WpLso4WnJB5JCjc
on6vClLucUOnjSaPN8ucX8pKdI5ojdzOzDfWCM6F0Jdgi1SJ8DYEbco+RL+OGtB4Fps52rIcEyyD
VCAgR0gIq1s58td0tmsi3/UOZp+E+DhoXhMZI69A7YTUl3qrqhCmaDVPTXnbaeNBFZvYIRp03dFU
0JLyNBQkSZTScA7a8UacCk/wlWmFAHRfVNYGu+twF85Ttxo6+UdidaMNp48+jxF7czorf4w4/l9P
LX7Gr+op+6X+/uuKil/+q6Kix41DQTUIckYh964B/ruiosdtyCK1EfQ9FaXsPz1u7TcJLgwmT32h
JPxE2FMWwp6OCWzhhUPs+5/4rD9PjKinsIMusZeqgbsBFQId+I/1lBLyuLQk+J1CQuma0zg+ffha
/uypf8R3/KJiw3SKd4JGvUl0iGbwR368Quc3autrY3fqZs3joX5j/ntK/fhGq9s3dGxuTeC5m6k4
oCQh34Ic2NRV7HVGWS6HHRL8BmWdG/VGaEDodeFKbcrfhRRIiWwdOq1GX9Ymgz2H6VnqJS0BktBW
yjkg/nBhghGty5cIbbzKmGTSayB3WdS2I5DUtwFajKJkoQ4wITJcVY3S3yt56WOhIfZUnJHIFQLh
MWYVZ+9TX1FXZatWAiKogkXYS6hs7EAyz0ZpCJSA9SMiZ8VDos2ZUlWHq3gcJFuRi3Yl1XTwpjrf
93X0TGPvoMlkuVnZdBgI9N2kebEBaTCz8lV3vpaulTk6miEQv3nOIbRDbJHUETWZcG4xU9pNNgOq
pUEWlO2twcRZEFniK+s5EYVNXna7thTxL3TT9ZiYu3geaTHNtYsZcVcZxosv9YPdGhjKLMHtkuil
hTrDOoHJUDM3KXWeQBAXEE8EevITQYvE6hobvOAHNa80t5b7YwrqVc8UiHrVBratYReq9S2O5nYz
J+lV7TPBbeZw30biU1nJi9ss3qmCetemoEVRe+GdmNXbCKIVnZUx9Doz2k5pxaEw1lA0xiB5qgjU
o548d6rlITDDeojRH0Ngv8J7vCPNziEm9EElYnMItZPe6E9NO5+TiHzqjJ5a52fYUPpjONTbAnNs
MMYPYU+2Z2YNm7QfDqGc3ursiXYbpw9y3nyTfONB97tVUes7k2agMNbPutqWdGYsOHPNU8Efjwl+
XAuYjRPasBQdTu1rrpKMh3JAg9BVAbz4icNIazag+chqDHTjmbdgBUzpKfAXPGzTxiuh63hsqrep
iDcmvRhVKZ+7WnwSBPG2MZj4JDiG+xEKuZZ+nxP/OsnYL8IpOCTxkrVGZp6tCgZLPUrBsgsdyg3a
Zxk+QAnZvFCGZKrOhnY0xybfRbASXaGUelfTb2NLfezKJlgJMgeGtFzenni4FaV4j8bWXLq+bIkV
VY4gaTejSUe7A624B3mAnExXGs9KSxq5auR7QwOas5V1L6JZKOomkeqVT3CY1fZeiK2ysPuSDdXN
6t5vnGwS/MmOoz46jXWkH6pSF12Lr8JWkjJwiKknZg6qs6uG7NppJ5CXMNObyVs/uSlMXca904l7
zEPkYU70tKp637aEM6hls2X6ANBeWYhEctVsNJOUuSDqDroUIAFOynwtzRrolJkT2ChLdqempVe0
VYF5OUrPBoZWEiPR+HEgIY/VL1+1efpW+8qLkVQb1jdsQlLmWBLjrCkVDn5CiK2USgS76hrmnbTI
bgsNrIctGX760JFyOfQ0eDHRn1XSAFlZnDpWXcTPnYsSdG9UBguixIc2huu8U4iIYkzAGrULKn+D
YRQoYkyMfHvAt009FR7FVHxIGDco3SKI8dN1PiYQvXy0mlELh9PXkZwQY+mrkfG9HATZmWfMtXiy
huwukbJh1UfKWjEYkigzBUxozok3R1F9nM3kpMglSt/mWqr0xkkbYlYZtnAI01yWvK0s+R2QO7Q1
6dTfL1S/TM6cDr5p6jakcHrT0GYWa063G0S9eM7VVmD9Fd4o8CHSdBzXuZzq1nTbzpw16Q4B2+s3
fRz2a2ITpzVLf/jgV1xB7tK7HD015njR2nVQpXaU8accvbiTGoqJlRc3gVoYd1pVxPxXTKcqkxvE
oqrvk6tT3en+dGcS6/A4+3lEvgJMEa0LJNsYxlXLGGVdin2+LqaqcHDAVYTOat0jrUeGPOYUzQ4H
DWpjNWw3ap9ziwfgU2ZWu1NWPJGfAZgGpKSB4Lah8zsZu6Sa7sUw9voIUimxvvddKt+ZXWWhN0XA
Wghx7RZ+SgetA0lTiuKTgh7PVUa1euz0UnLBv852EvKg0zbnHOIrj/Jotbe+rI0rin7LiXHdeZ9v
zxdSCxUHEh4ASg2L6SfT9ot2CkkECBODOD+1CzJ9nLfMKK+Hull9fplL4dyf18E+oOEs4LW/LAJa
Y84SvJCnLE2PqMjvWZWuTHIQWC5re5hox3Nw2vRETKdmsmnkEHybjIo337NSHVBAYTFMrkPSU3US
C5SwczoLtVfg/yg6HV4Br4A6myddDF4+/+i//IZITzEkVdUU0tx+Ll+0rCui1kry0wCMLpiI+s0g
FnyhxbIuNEkqOVoWkV0LToPviAf956vAwC2nLOn6Uxkw2Bd0dcsgSrVFv2LfILdyiU99FOgOXJOM
5k6WuEUuj5RtAqPkK+L1HGdkn+KXR51o3ebsSl3Rn6APYVjELeFockxsfRGcIiHajT7Hi0HmvdEz
EownS5tvNCl9SdoUoFAQrecBwUEj6V6YRomXtMqrgEMJNh8WBaXSQd1ZDKkr8AMhYni2omUSoW9B
0f2AVPAyGsswUlwAxulx4lBoG8YkbERpiI9A3DImvV1I3cQZMrRiWhRR8M3vpOyuGpDVWxJn36wk
qlMv240uDV5fsMVJS08sNhKP/s4ZoljujjPCOUlJD77InGXF1HvLuvhkCszADDpHU6w+YY8I4T0A
ICh1WHeC6M4qpcfIa+YaAWOxUcg2dZtpdiaNO7SGL0kkh6+c1deiXmWukYZHuUD7pzTVKlIaCybW
eJPpenqycNRL+jzuK6P5QglHtBX3+4Pw5P154IVcyHfoXKzFo/OxaAZbWOT8rD0ZkvyicE5357JP
TzpZHjbr6TMnRJqQTehI+khnJ2VCrqRHvhVIC2FibIDxHZkm0aWTj1phPipqHq6aTKtWXSeqW5RP
nR1EQH17szc9sVCzDeZWGNFSVLlmLVCPsBCJWZFDHqlu4cyTAhQyKZqHrrFbDMt5Wa30bEbWpL9Y
i4qqlwrDqTP5XpcnaucJ0EorucAJEBJCQ6XDoj9CSKE/K/+uG4jGmGvcm1a60fPxjviZg9HXTgUC
Gq4LTwjIhEm+1fr+mMThbRVpN7Ct1/rUPpoJx3rqRtHTq45akLSEpoMjYi5ADSVm4u7L7By68CLw
TDilpTxJivAohRDeqhbxZUhYcj8juhDGgrjzei0CvLTyHsYiagvQ0WrSio5pDnujBkUi9Qgi6V8i
urpTFtscsNYG6yOkgtcK/GVu6J428Tk7+nsQmkAnHYxcXw2F6oYMkpyIGCfZiq5p/iXbyZy9oiER
PAX5VFLQFHrAuYSXsRes66Fq30BF+QwaAWt1RBS1HW1eSGoydnO8UgedRgFRn9wlKcjwc8z0ValQ
ky48IJ7x0PE8FMQmBUJ0pYWqHYTFSk6EfcYuHg4BXI/0qS+bFaPF3Noym5Ukds3UH1Yt2zu4q9Lt
hCpmzIwtBXvTTMysYSEKGKRgIUay6M6ytIqBnDEFuwLKuSEaGXpJdSBLmaq3TYVzWi5S2NTYqcGw
L2VQVoyJuTfYf5xBhNFQgrxoOCWkOnnFZAN0Ru74w5WueQYMYmKVsnGlT6tC3dACfChFAa2TeNS1
uvZGXz3E4dDYiKT8Peh3w2nIlSIf2s/XQz+7JXXDpphokU+6sal7qhCjoHdk4J3s/Vr6Ymv74k1V
LnTOcmhNQFiSDiwdCPbmSNy4M9LU8odzUh/hjn4hjrxQyV6uDMrFTiqHoAXyjJWhKH6ALutHpuqH
PHgc1M0XG9+y51yuQeS1qDK+BMNQtWVn/IA8GBrwYbHYj2DRpsAro7FxIl++0wDSbcMCdXIy9oDD
I/h8kihhfTE1W48LYAIxQBlGhtwZSXiDqXQ95opp90r3TYiKcyEatynlG6cebHvy7Rg0o5u3DMXb
6DmP1QchTMuboEt6kp/Ddp1p3V6DukZh4U0SwDxKvHXeKsYDBorbcqY1p2i7Tmm3kSLDQpi2Wmmd
h4S2L9u2IST7RKZDS54InG9nLKWHrKzJuvC3QynZcTqaSA2yl1mcyOEagqdqtOoHOfBhLDRK8MW3
+nO/BY84G/3HL/VCQJvoah7V4J5P5vgczt8n84uI6K/+/YuNQxRSauQgmU6ReQuwECv2/RePxedP
hX7x/CExTsREDqaTJl9FqmTzNYnh9EdX8d+Vl7+8CA5USlJJM/WLR280mgEBDX+FBe+9fW2HjJrk
PhqNL+6G/PMz/t7+UvDZS2y1OPGpTH9+xqc4Aggzl/KJMuaVTc29S1eYMT3gNs6DndsPW93pD99v
kH98G72X1Ju+80Y3G2X7+bcqL322y5ft44Z/UQBafWSVFlOrU7siqMUByHTbrbPrcGV5CzZ5Ja35
nlfM4GygWx5BYhjBT/nr559ikfD+16f4+HReKK/Rc6amDHHw9DhuZY+4wZV1ZdjnRrVDd/2gOQfd
zdbWKVyNm/xW29zBN1mPG9Y9e14XBMK4tM5cyxUO3SZfN+eQCYkduN8KuzuJzrTWttYW9eKmvs9W
t59/9AXA8OlHv/gCBbmJ0lKIeC5tgnZWzQ8shHeSWzlEbbihCwV+le2K9dXrweu2xD+NTrwjemAX
n/B0OkSaJfbvvvPt80/17nK5vK0fvtBLenEUFX1t6HyqcGvZoTNvsrV/l4t2AkrTBrxkY3e107V5
qjbyM4007/PrL4/vf1/+n/foYrVhqSFur5zGkzgXnjEM+1lITn0nFl9sSsuq8tl1LlYdMzKVvp/T
6URNbffDqzhuBv37BGJPBH1SfrHl/vpW//1XXR4mhYzFX6vi7hRCVZv8mzK4/vxr++oCF2c+ZYQ8
q2OqPBHoIcf0AS3D/fwKX9wYY3kRP+ytQlaauTHxohXlCTLMqpQf58784q589WdcLG6NlCIMNOL2
NC53hWQxa/zT/PmvC/VXf8fFA9aBRevyJptOAzPrSD9lyegw1Pz8y/ri6TIuViXdD4SJ5hy7wYga
3sq9JG3PitI5BpEWMdq0npHt55f85d+1KGAk5izAEi4uSSCx4pdR253U7K2OV4kS0uRbf36NX96e
D9e4eGlSVFJCFarjSYuJIBGvs+yLrsJXF7hYEuckG5WYMLmTyKJNMzpR0i++posU9b/Kmb9fRf3i
OQ4JhYWTzXPM2cCGbbVDCX7kiIBjzAm94NzZ2R9Aon994hbjx6drzfJXf3h1wKnAVJRD9qhHGsM5
qyrzUhsl4ot0mLe9fUWsAT+wNS9zJNu8Fuyb1lt29aun6krZcWqH9uZNrb3JnXD91cf75UYOD/Xv
0uXyyYnqQZR8XjrpvGzkgt2sU3WbS46drFX3Ibd36Pj3b+J3Dmf1/bQf7OGL1UtelqfPVuOL+94L
jR5W1kQt4RLv4yKvlRH57lP3xjrpB2XduU9E19g5HdtVvS7XXyfdf/UR3uGxH26SMHaCmg9lexL2
BK1in7Dj37UVcQL77se4Kb3sYKyFtfAWPCnOuE7OgRv/+Pztej94ffItGBfPSdIraHVyHk1Cj1fk
Q9nRUtVtE+eu35ItGS1Fywm28YOIszFblWvjqrNrt/PC7WCHz6nzxedZCuP/+jz/vO7axUHRFCxm
QzlLSuVBQFiTpzWu5tV8iPaS/RpsQR065rbc0NQ7jI5x72G94Ba162R1G7lLkfBncfD/0b3KKvTJ
6D58adqX//alLb/118weFSQ8G53FS9bIRtPZ1v6e2StEISBBVPkJr/kHGqEq/QZ3GVUiThAOte9u
tj9VkGCZZbRCf87ylybv/4LI0S6ebY4twHH4VyTgYDAACdv7eQ2Ul4uXaZWSSWDg1lLpyUnq8K03
dPjslXAuQ7Fm/BodkxSyRT0BBSc7jnkgcI5+NOmZR0dCY+/UJE+dXMJ2DHy0hDMyk62nbMy0W+mt
jzha2uA18jKyArB6EuulSE+NBt6E4QgJW6HXjMhzjPg4td0PIw69wVK8VmAQOUnlkezQVzxV62Cy
MFs1ReIIUdZt4rLe1Ja1b+LAK2RtNcuAz+nTgkLpDzouaWPoT4NMi3+q1QjntvySQg2QRfExFHtt
Zfh+55SM89c13WoHdCQDIL3ZaSOTYZMgvVYWNpYSe0kY3/p9WzojkkSvJy45J3bSbsxyNeiZuMn4
cHsFb5MzmwPj0VzK4dAYZ0tJfwc1XK4nmS5rFKDDEib/jrC4t7TsRlfMB4Hma3xMcA+4ERxASL1l
isSfJG9jLCa6d6aXCNMu1FpsKkN6jzJOANaXox0qrkOg63ZuWjuJQSMRVe3RyuW7Chmc3I7XETMz
r5uJbZ1wIYiz+SYJsEkFOb8mtjSDaGQ9xbF0Q2EvYN6n6QpbNnMmXbmbs+gJn4w7pAjCIhNbnxJF
B0S0ZIaLb02DdwEpgOrKUTd5kKVpn/vKddeGD2HM5w/g4oNiWyKmShU5akHOQ66oHmmKP4qYHGic
a0NAfkDESJEsLcSjEdcRx4Yq3MpxFBLHO2U3xGmPTmGWzA6Vbk0efGJXeYuhg0mDO4BcZYrQWgiq
EnWdFd25KMwHTfK57w06Tgl+k5iVT1IXHdo4OtSRFW0FVBZk9zAxUGV63FYzEfVLZh+xwOXaVwq0
/9aBJrGxZYCL1qGJTmJcPJEpHK2qlD53F9XuqCKHH/igtAk576f9ppLEK1nGz6INCzAS2GXQbZu8
vO+Efl00+TEsihW+Iov+Y9RgjestHE0wbfSUmaYp9o9zFf1oeplAvHE9RCWJiDm+u1xfhoL8VZNx
VVQDUcBWf2sm6QpXRcWu0x99IVpNooUoIT9LWn4l90x8tfksdLrl9lO/loGN2l2HNrQIZ1SqjE/1
GJatkOE8AdLko/RdTJz8o7QDS4fheEYruOOELvZvYTIm7pgpDJjL5VVNmu9jDHepMN+MeOwYR1Yx
ElbLWku5tg0ldA2zryJYk/Ha2MCmkDiQr+lpo4LPxQgx0Akm4kbyJwO8obvCT+JV1qu/d1rL6AUT
YaH0jzAAX2djiGlwM4MJlOFq6lD5AsEkS6/VWwp3uUeL0+VyvZeDtN2z9izc9BJR3lhVZIdn7VbL
s1hfKR1T/ntyIkxzHaq1tMZKU/IuVTkgY2OsZ8/sSC/xzFxQIT/1yJs2KhFRiDUUbY5OQk4A/a0l
ZlJ7O1i1oOy7saP5oOVp+AiyXe7PSVtuigDpYBlPhHKqibqKIi2wKzDNUh3cNL5CqEcy7lQ171a1
UI9rU9D3mjGSImyqKpNv/bWCcm4nrY4TNVYfEwEEfEhcry2Js75TCh7mJDchbKjQ0ieteC599SWM
cVe0JrIdpvBvrRUy0Q8LEa3rQDSu2DMsadE1Tcl4nAi7GyOLI0gpHNW8vhb8bp+ZxTPi1bdZQPoy
4ppq0JyjayXsulHGXUgHVBxIbTDKlygh7ynyUfvIUJxR6NPUadF6yPHJb6yDEE9PaSi/zZLIvxJo
b0mffQPu5wrzTp7G2FW1GoJ4fZMs+noxFO1xdMd0n4bGUcQE5Fpj8UIHbRsqCq4egQNaFc2kXcvZ
STcSJEKaFXiiIFzjOpDdwdBmgIbdkWbr3tJwE/EtlBsjRzDcFGK7VtSetV0tXWYOhjczE8a+Kdy1
iTtrwYNcN0wC0Du4ocC82kysgYsv7p/E2igzQ8l5TE1XGcghHUwcz9lYDuQLDofSbJkmmxgkA8k4
R0N+RKaZ0Qz2z1YOjSZrNkHXvujWgIG1T26nVKg8aJAp1Ho2EC3u7v0OBH034LhOi10skHZpdPMj
A34UaR0+8KSdC6yBMr7rov3RWNY9C/RKxPaaZOESPqtsOI3dVz2pMJExOqhpttWgYHUqbyyt+B6x
0aEEEU8qmcyMon14V6q/9mepdjSx3gZCz5bQDoEta1Zsh0mytTBm4x7NHVJVq3WjRYMTqQ0KqO4K
VeEql9tvfSZtyqQK6X+jVpk6dfQSkZA3UTIrJG0+ZTg+Q8dAmevqCUIMQZDWOoLlbcsX6sA8PpO4
G9um0e5IQ63tSkfw24z3KNZED/HSEUavvhKiOVgLg7RPc0t3MJDii+BN2weSfKVL+I6Fhplhm4tk
u8ug+RneQDjHIIDRW2EMFV2FXfxNEAnVFXK8EixyLHDasJkzmVdCM69k2L3MvJSMkeL4CiXmgR7Q
ucmNVya6r6MurspGfyyS4BHKuU76a7T1s/JRLMyNota3gynvmQ06ijwlYNrCvVwPLwGU5M6Qf1gJ
2OUuup4JkQUcJ97m6rKIY51nrQ//OAj8v+zWOGH9e9n9DX5E9yv30fJrf9XdkgllUpZRpYgSvZeP
mSfIaDV4kIxy4OyKP6Usqr+RL4ZmAoEtyth3SsNf7iPlN/RTMhAJRWRSvvzof3Af/dwUWoYFxKdI
zCOYiGlLwvnPVfcowkit67w7zTxDFcsOU3jKrOyrpoq49Aj+OSq+X0hDkqtKi95EFi/JPFLK5E2P
1RJvumbdozQlySAjeGPemKap1Y7S5p26bRp/vkWwThWnS+pDbEKPKIsYoBIF914yMso3o9bGqxBs
gDIVcBr0KSDMoU/iRnnux0o3rwa/6nvGucyqe5VwAT0RUugxaSN5UVkWslcMacdsXQgQLpKHlT9G
yWR5GhZA0W3yVy1Vh5MB/+Ksdqx1jlQmKYNbf1SctO/wDS0qXCMaCuUs9os6t0/jc70IdrOSSWlo
XSmS+END0ptji/WR+BrIYXMkv9qi/ZWpBGkgk8ih+isrox7Jtj45sgguswjZmeSmU/VGmPHNjKpY
Ql3cKf1tuozGsYXGT0aCCWGZqxwFo6zxvGj6Lo2sY2llEIVn2IYseMqbGjf5RvVDMMctuZdZD7c4
SgX0ysOCg7JOTY5VaJbNHtP5LK+J+b6fJOGRMWblMrtHT9O2gWzYWIpRtiCm9WQICx7HRf4J/AgS
NMb7Wm2V0dXNPLxpSIJF4izVnjWK8MBTRgSk6zG4b5KudlWhppJEllMBJd+FgiT9kbv0r100eel+
XDxiywkWQBeYVdTZS7fiQ4OmmkgNC0azPmGBfaGglW7nW1i+9PDaTb5hccbr4KGf9WqPVtpOXSke
jhnnS9TPf3XzGL9xgLVgr4iiiqP258+BpmjogiYsTsAFdlMK9TxB/Ig2RGW/NhLLq3qfulPWMfD4
pngMjNrfSdwjPak49Bg0haHWIxSbn9uxsFaNjP2tbcuVb87PhoYsLPYhmvrz+FCllJlyXZEx3GAF
GxGiwF+gCNPC0eP8ux4kdlIyQisVDN6sWZtZYZMCBIkyDG5pSzBPZAHqzPJNzCmqYF8Bbll6wxAc
ZJ8QiSTHHdLjc86yGIdeX52G0VLWVYCIglHyfQC3lh3sCNyBEDGzXIsJD5phVZTQYnz7YXm9+uNe
flTe/7yI/NmaBbrHegnBRrlkQVmzPFhl5tcnkXDpNQsBdskadzEpTJ5WREi9q6+0cr9ufn645sXd
FMaeCIQkaE5VoJAOSkXYBYU7N8ZGzbojUdhUqTqaY6NCEpI2uN/UfDrMqEfxWZKlGJmPYoQYs2+E
N8KAMJRXyK/0a9GfX7Wges4G5EkVFPL/U+6ld4alyh349z35tkhf8l/AK5ff+mtLphW2KEMBMbEX
afAmP7TC5N9UemHYUPCN8BLzo38QTcv/uuDmTRHppMhW+deWbP4mKpSxsCtRgCyumP9lS5bMZdP9
aSFb1g/0KSKLGLGI4sUjp5oZ6I5Ons5mG9RX2GOzm0gqjcciVeXdNCTJE6gDY2UCIzzig/MZhPWh
S6sJkK41tLehWKTreZaiPVEUvmcILSteBBjBrMRTuiTv9YrkHzTottckM/D7PeWJCyVz0c2V40ag
kTPKMxEeLWJhZIrJa+SL+TrOCfWDsALpvmzG5ywMg11RQZ9QhTZ25ZxVqzHNkibX9M2SKydMlZfJ
z4xdR19y1RbCsM+TwvLqYkBR1Fo+0ATxnCgd0/QoSRxLrwh8igAVLbL4wlJatAHxvJxz4vhHOUmD
CnQyc0EMBRz6y6dwDHzsxr0TLZZNMjWdMc6TrTxbg9PiD7oKpOBRTKZd1Cn1Si3za61Aa0ssqLBu
9WDezUGn7MJQNLwUqzAMp2YbtarlElahYu7PVa+XZR/JZm/anKOxmmQlCeZFfz3XpEGWKVxa5PFA
azUiLRIT7kRgnWKFJls/8e0InRDeREMJbimSpHOD/8adjKHcVmGz6+T4uSoNOL3kJxPypccewlMy
wqq5dUg5CT2OH7WbCmAwfOJNY1UAwwiwedT6dfaegDqThdovqahjq/4QErDOlQixKdMAwgw0QhPC
VHUFr5yB7yYZx7VM3KocD611UC0yWGvCWAn6vCoIZxWDxqCNhcsP6zSRy8Q8EeTqL4mu+pLtmi4p
r01DY8bIs32jSD80jSTYRh9u+xCCfsMp00mWvFgSNs9GYG1ygmR7AmVjgmXLQVyHS9LsvGTO6r4O
Fhz7JWG02RxByiCe1lLRI88agbW0RUoCbLHtpy7dvT0OFn5CyG0m19+VQeKcR/wt+OM1POv7asnF
Hf2SOcOSldu+hzpWiQbVBbRP96pS2TlU4XW4Av10ALlR8lYQLnaQ9KXm7SaOv6XlKy7Vy3gIdDna
vq9B/z8gqRQ/nyzG7UseNelL1/xiNsFv/r0gi0tyPDBd8ub/BPH/PZsgF3Kh9qvMGpYgEsYC/yzI
IjonmTgk+tn6+4/+WpAN4ksYJyz6c50TDsOO/+GMRMLS5YIMoQFMBCcRSWUlFJeK70NlKZiCktRj
Wpw72snzkTwQLT5JULxkr20zkvOiqieiNtVOWlldYdl/VYNw8Go5u+slsAWZlB0quX5Kp2KXNvlN
RKHfCjJktdg/AhY7liOThNwY1qShBTBCk0MoDg9znP+womYEPyc3hDPqxbUWzCspU+mVIODu0EW7
sorTKG3jY4sacGSM49ZKn0vfIcnaYw8YhlA50DNb0VDqCOKT3hKvSubebIvvLJLsnUvivzNKFhOI
sWBLKsPa6e8kE+WdauK/E04sKwjVQx1HzVM8+DT+mUfKq77r49lpu3hvNLkeO6j1GjpUCKRdqzHr
eJPkRj97VU1KlAc8zgow/I/fOzKn7CHNH4xS64gJGkgYshjdRvpL6ZMyZQyQd2IzHWibFke2n8qR
G0KwiQj2qpmqK2QuU/j9vSz634R63raGcNPTAMv7YYtbze2F9jAOGsRNwEtmqTt1KjNhiF5KodjD
ZRVAsXdHZLoEHQnlxgwxKtWWdNPDOYSe6OU+CQNB+SYrNfkew0aK2h0zlk3gV4fAwvYhj6euqL+L
U3NjhelGjvV7euJuqBkcNoKzHiKypkC/TcuZKKWFQCSuB625qVv6eeOwjXX1ITPA1Vvmi2U22IGG
zjEzRYak+pZLhaem+kkZOo8W91otZ0cCsOBHzRWgwKe6mWnWmS54QQ9vxIko0LMJhwLjwylv1E0z
yg/zUBx7ObbVbEkdUOkJ0/MOw1PsF6dGsfazoq26tt3FWrzGtfYsa/HKjNpjqbTfgwKr2QK0CQxm
ajUp4Zm0NvXxgHS8tTtLPHVyCIUhPtW6fF1N7LezcK+FyjYlzRSfW8EKnm0bRNVIqWzLr35YakP/
L31gqHZfiOFNGworv9QOimqu5C5jutEzEJikw6CO33s+hGPlkpvk0sHv5x2jQ6cO20NgSLTmxv0w
htuiyUB6TfWP2pDRDI839ZRYth/02rWh1etIH8KT7qvkXcnZuU6RxGdJCoI5kgtiWtihJ1sbq7MI
H2KQeKS6JUCTQt2pFohECU1igioh/oe98+htJEnT8F9p7D2F9OawCyytvClJJakuCUpipfc+f/0+
IdMtw6rtHgoLLjCcQ2NKUjAZDPOZ16AugRPGsYXaRC9kJ3p8U9s4tmZg1n/U4cDyQ6Iiz91lL0Qr
JM39QW/jpBNyFnbSXGHnNdckDUVKIXkB9wLVqCcZDCGIIfmUxfNWSueqr5y4uv5NF/IZkp7QCer5
xtvQOQ/R2Kj0BIgkohs4XkiQ661wUfTKSY0yB/oVUwMKrUy3ac7q4NtSCaAwHD0vXJCsKQofqsYl
6A8V4pTBGUyIYw0tEIUmYmIWp7kQCemK5CEXsiHqKM2wYu5moZAUCdAWMWL7IBNiI6WQHUmFAAnp
J8bmYYOyI2ILqo8OZ4heCbRDGl4omCRqdlsLSZNBRdxESsZTjB1OelRPTCF/Itnk3jkstD7wkY4I
228mWim1Yx5KBpB+qYkXMa4ZtOO6ExAIw6QVUiuJEF1xhPyKKoRY6E4Vi7AZjjMh0mJqwVkUFdet
2Zjo4/VXnonFuw+rOkXhpbWjM1dIvsCahqiLCoxD1osYg/B3ExIxGNTGR75hRv8ujr4kYlyTv7n7
OTnW5YZ7n7/6897nckciQNVe7naqk2/ufYfeFsByQeXDa+Cve98ByIBUE3Ak8jNTFmY6r/e+vUf2
JeTZMR4QEYX6T+59ylcf7304ArBVUTLAwhERRVE9fXPvtyrthkJyhjNurWoBED2dV2hXRMDObLc4
suWwN+jTGZKErx52HV3XXMqJscQaBHqu8OoJfNk47oV/Dy5i8LcrrE2wR5jGg1YtVIUynCmcf/q2
yC9UnTIC3GyYLYNn4EKa3TrC20LC5CJF44TKzniRBLDQXeGEIcGemmiYYyDg2U5T4Zfh5ThnBFmH
HKBNvN8E9FHSRL2IhNNGm3TNLHGNuVziwiEJPw46MtWBAsmHA1r4dQQYd1DQWncYeWQYeuTC2aOU
TekgFG4fnhPHOH7hACI35g9VVb85whvExSSEsKmjj93MKqEr4mIkQgkYpD7OIr3XXshYjSRNfu1g
PYJj9g9ZgmgnPEmCsVOnKTYluoEeaYNxyZjbj6NwMsG+uZjaans0CJcTV/idSA3gJt/sFw5WKJHw
RDEwR3ExSbGk4gRtrNsw4EawhI9KIBxVOmO4HwP1VAmg2XR0pQLfi6cyKkL2eaXZ0rCUmnQgpuD9
XBnCVVGieEUJs8wp1Fr9QnY6Crb1UaM46B2M69G2g7lhtUdpT9HaKi17UlUckmmDQp6eQKQsbYhC
jsdp3Kn6Td7EJ42EQ3eh5/O2V41ZNaxd2FWoRtRT1fWEj+TPxqKkZEVGOqv1MVsoch0jZoOOfzmY
6E4WMpKbORiLcWUXuI8rwFHIrTNCGiRRRWf+oKUvFobZRSMneNmZ5Kg2mphjgSxmwrGvpctGMfG3
827qNHcmdVIdeWUdEyTROLPpkmHDY7iYl3vocQ1IcVpxGsyzBJg8MndoQxbOdzzRzqMEpaSiwuup
syFtFtBcaiNYURPwpnWbrayenimeGBSyJRfpyJoiPFbqUBw9nRqi2sgTWUH5uNdxLcCa9tJyLdYU
Ijn7apKc1ORn0yYVl3g/SpOgsGj06/pRLHUXpuLfpWBYJ2mf2HOjMo8TU93HZJ6z3XPO+hSBxlhS
gav4RLueXE2gIFOO61zAkXF/lvXSAW3MEi3Y6KEJm5sw0e7zAUULHQAM5fU1CchpqXr4YELXalHS
mOPlUEIbTdtjZ6jOtVx7DHWIY1Xuo6U83Hchfl1qehmgiz1NjPEuLmoZRzjDW9hGiPazaOTWLiIO
WXGhej7mTmG0DkfaAYPqLsemg0UXSyYGmsLfxgsuM99DbcwL4rmURzdpl90opT9MzFZfIUz4IzUh
pys1NfU8Q4oZcaETdLK/h6V0hCLAoe0k8lzujbnp54cuLuAgLZppSwMIqrF0hznq0gqz46xM4kkH
IWXie9ZtPRIqRJ7m7Le55cyqBAnkTmHhFZWjn6lRZkuzAvjB479T4qf6pEBB/vpavFr7q2T1+VoU
f/XmWqSQqBrUILnD3rUMVQHVo2qJAbCMALbwnXlJh8HjkT6TopKmkvmi3fDXtejsWdjuUKDEJow/
+mdudobyvgxPL083TYPWow1KzzbFLfvuWkxj8OUxj3HWOn5U4eOkXXuGvB+mqXTYxN5c4RSbGqK3
77bNQd8NyiTDZXKutM5hbUTmNAd0t/BC1AykDBGokOWYKkEMbzSZh03+4Kk9S3asmx51KTNrpJkm
Nd8rcphvA7rDS7M03WNfHxC+662ZWSCGk0O1PeEib1CHVSHzWMp97VY/Zbep9/MuZV+HSjCFuhvN
AWsgmN5fABAwL4o8ASUWdbiUxKhwl1ghT2IHUICHSCg8cg5L+GFzu48WoddI+0poufNQ2NHbTfCo
pGrPndei7lcTw+6blQscIx/dSa3RxIzcVDlzVUzO+ibl33wn3beQ10Dcur8YhRl6SdeYd8EgfRRW
6aUmIAy4p8e4qIe4qfe4qtcldxpFrVUNU/3IFNbrWd0aAA7Cb5lRibrAUSvJYK9NDWZuwi4fRdRb
4uaOWgNqLk8G77YkdFwvHZzfwVLaB0YxnpddNMzAeN5ohfWQ4RZfIHSAlr1/SJftHDfTK69FfKQj
DGhxmi9z/UDGeZ4Ev5qpwoxeSXULvbrsNuziQxO/+j7EuH7Awb4XVvZN7SwCvO2N1Fnnwuxe0REG
C9Pa5tZiWrBOQx3E9/zjIOjIjxD2wHU0O7eH8DvKgMmkSyAVxSmOftSkyVUykHJjVd2YbXVHNjrN
aDDOIyRRJoMXIBcZF98zhPQXiYw0XW+b3qyS+6uMrz5+wmkFLT7T2Km2U1z2sqmnN+e5AHbJAuJF
wPag5/Ut1czHxEv1haspj7mAhfkCIJbSXHMFZMyjoLEwBYwMJRKPt1cxqJMRB5Cf8GaBgJ7lunYg
CTCaRzV/qtkZGwGk2gBiTQe5pgkIm+N2KE2HFVK4ZvWTqqTJ0wpnRlvOp7mAwQWjhd2760ws0KXA
kNgjbp/Fk1YA6FylmFL50dCaaJdeC8jOt/szDdSdCvrOB4VnRvaBBCqvUQ9QOnS7E4cx0a66zAWA
zwTJFyXmjeUkZ0AsuRK0cJi5oP4iyMdIFa2rtL5FLkCeZT33ZhbmzryynHKa4QmLwlC6yKL8RFWb
ZYWkdgXOMCq84zrJE5S8Ydaqw7kKIlFvUAq3BEix7PuzJFZJ5uX4zgfQaJggKk25sw7CwjpWneQ0
APwYCxQkSqUolkfRSDgDRtLDOncKZDI4aABQqgApEa+7iwWy0ibrRWTfvdYt46YpqzNVoDB9Gg2z
XiAz4Yyj7yTQmlx36H429dKjJELIO/ZTieZKZ7o3o0B7IjpU4ZeIQpVAggKlgepHkJQDFHXHcl0I
5Kg6xkKRVN2nzj6SUIMvdZjWaQvkVAV6WndoUmsCjdqGlQ57vjT3I6CqEDaPdKCrge9bmAqDZo2B
tcrAW0dgri4gU1SXQL4WsM0n+KB/wz7+DtaFAB2mF6rAyyoAZ02nWVJpGYCf2i5s3vaiBGTrArZt
/epEfkLf5vYhLgnoXVjJRQxAt7cC6dAHshsI7K5c94cmYN7Wi8GvEpJOw4K43ky7aB4L9O8o+yej
wAMbRGOId8c/vdG9wiaZXF4RBuECR9z74WOZG2deBsJYFlhj2i2E8gJ/3GHZuV8DSbYEaGosxotB
oJUlgVuOHO+y14J5IwDNAJvRC2tpzJSHhm0QRiu+N8WVcVhqnYkyh5kZC5T/bxPA0jhmrYg3A1oT
4KhtANUEQ9cqAOvRyvhTNZjrrb4ogWC3mX0UAMkOKxftLhbRtBuRXTYAbuOa8TAC5DY8zmw62XMT
iHehlGtwuSc10G8UOOaAO2DEDjgoAQ7P7BSlefCOdNfnbkRoDIxc9uqF3rIIZM4jgTO3kNmZGQJ7
3g/WVQ4YHUfFdVRzUAaamc3b2Npnc/eTGgg7ZRdcPyvnrHTAmKnA3GPWLSE7hV1LwLNaFYY/3bkS
sQisqcdsKQ/eiruznGeBDwbFRyNR1jTsTmwkUiXK5MuyKgGyKJdG2sRI/TvXilXfhajvTErOBVp5
ALNjC3q42yMvr9r3GpztZemUC57vHuHzDAB39ggCh1A0RFYr9TVqiVFozFyq2tx5J53Oz7ocCTSH
Lk+NuIVGMXXuJM2jKzpEslU8an56FoZOhYCki8QlTvRKbmJa6w3+AhsX0Ca0qhBDa/CcrDnBXNuA
9Cizy/IArHqAEULj7Q84pc0tzkmJ6L2T0sshG/1lIIU/IgsRK+JmzU8gnrrRkjiC78BtLxXUyJGl
LazDUbIO8trnKk5RFI4JjRApHgcwxkp1hoTxzBuSn3C+M8qt3VmPtBVBu3csawFaWHX+E0cKEJ66
c9dhwDeXCrRU0H1dRT4ybjnieXLRuBelnZ5wmleOe6K3/tIPqCIhygTMUMZztDjNYlS/8FoNZM+j
NFZQA5cVp/CfGXH/bi0J/M5v4ugySHGH2hBI82d/BtJ08ykHKQCR8WkkFXxTX9L2zLd1p9coGpaM
SbCMNJKKIZNjE2C/FpecPf4d10eqUijYYHH5T4pLxHEfi0sgbBzboTrKf3gUAWd6U1wCzN2bRVEl
56mCsOJJpTacSEMTUECaaEOnOuCSacyLPfuAPPOPUeyAnq2AIwVZsXU/tJ0/z9ksJfigQuye2qZf
2ujWqSx2FsVZQuocBTlX7DtD7EBV7EU/904lsTvb1q+BB2Vn1VA/SmIHG073qIs97dM8bcQuz+zg
qBf7XnPCE4mDoJQzY5aJs8GvzXZWi/PCGspHPILxTW7K+zaoF0hjDUuZQ0bisPG7WplYvbdvWfVp
ikT0JBLHklF0dx1RaVwP8TTk5NKM+tazOcqwtbCpTXO8eQEHHWwPWg7i8EO1Y2WJ47ASB6PNCRng
RJcJaCtQY+T+ALv6oF57VT5MZGOt18lSAxVb6ViACJhsSamuBzeLmB+/7ewncnnb0PLOelgGqUDa
grh1QnrMyAQDwgXz/FCq1Vk5BjcGIN0IcMYMszpwu4Z5LvGwgIK7/cQPcDyo8XQZpcZboO19WQXa
aZNLp+MTIlgOVArhoISNwk4OQgRqJobAEHcy1tlGFx9R18EyUfKtKQyAo9CH9RQKFHLhxSc+1jNz
G4CyWUmHalfgnwh02c6A5MvEbjnaVQDrC/ugzFN1CZ6aVhrY5zJAQjEfYnsZWX45CwVG2mzdfm4I
3DTy32CkB3W/9LrvLtDqOGjOTbk5k7O0m+JfXyxLyCU9QqsTD2C2Cvph0gustt6NVCSAbycSNbBS
ldwlBV532mXtkQzY2xeobwLG+1Aqv5mtcd4BC/dC8OGmGi51AONJre87CgKe0Whe11huyIn3vQJi
TuYrTaORzqgh8OetQKLbQNKxboEooVLUsPIbtBWp9FTdtcRZPeVPgT0KbLsmQO4SSk2aaiJGr+BU
TVxKPTQ/0QfnLNLRyayHHjAJ6PmG3ui8F4B6CxU09kppz8IsUKcuuPuuRr4x0sp+Vbt5OJOrHCVo
AdTXohARRCS0gmuUoGJWIJB+9ho6q4D87dqql2kFlsPoyny/V1R3qmXy0YA2EIbW4ywJA202whzA
QBRxwbSghwerIEgpDQ+CaBA8UQ7gHhDlr6K+wMldky917VAauK8KNFHhLWRWNce9KZwRSQLHzNCo
tH7Kgu2QW/rPcpTvHGgQchef5sOAzjj8CCyc/LmJtQoELIx8mmoV62OC0+eBnY2HeuMICyjBt+jR
8bbRqC7t4adalT88qTnqsvoCHYoTjFiiBVqlM3zJTzQHdrwieB1IqqqTUDiNN4L1Udb1z1xKyKL7
Tp3FvbUKivIHdr0UxrA4mqiCP9J3tnlYN4LmYUg2ZgX6LaduQfePMKiFglJDSwQDjOgVB/JRJXgq
XtU0C39sD3F9wRUaMovp96tQsFtywXOpiyqmzEiHp9KRnUiwBvERPaz9/rI2ikYgg+Zx73ezAj20
eZoaJZsuY0vY5klcBjB8epdLWxO6Oi50Vcm7dF1kHXPn0nH1fa0fbIJkhyr1EGPjlZ96eOcusBaJ
b8sOqyS3a48loApCVIuNbYQ3lkkeY7YdPnpOh5G96t/3aWai0hks2i495ED/NugZnC05wXhNbS5y
YkpwRsashZK59GVIH22l6RPDzK5cOz30XZyqoiI+rvz2IgBpOFFJEFxU3BCEKukEezF/27aXhhna
+2Pa3OMTAJckL90JzQx/aoaFNPVG6aejE7fXfhksbUe6SIfs3tTY20Vs2dSxsRWK8WmBqDKmp3Lh
UFvIilvFTgS7BQJLMmBypWEkO/HReptlnNlGnsrowcr1Iq6z+8YJbgDjYKvlposBGNtE4SunpEg1
utOQq6t72Vs41JemZhuYB+QHFM11bGZ9IjYtA9nZ6O21P0QXHXfitA6BVgUGrA20BnEjkwaWG2Da
WRMKJkcsmhXS2M0iHeKmhMI9qTW+b3IHyzAyrw3scst0eDQy4zz08nWP4jpF1/BW5JaTrpRYek16
DHi9OIXPg7c7iqOWlSLwpxzUcV5O9UFt5pEtZ7dFHMYH1VhcayobP061G2nQz+qgfuyKeOG44TWX
vXyEKR4ppu0cVIF3BkDkyhmjfU2i6Gr5bS8a5NQs9G7fNTTQAQOywK0OcZ6If6Za1kPQZ3gglTgH
F1k+LobM/qa4STE3hAJaivjxPM/RxG3jxj2Qy2FlQk7n+2zVRRTZV31Komu70mHgeasSPUIvAjHc
h/kyKzL+3srPs6ilLOfI3hxF3Icc9C9YgOBOlylthYV5Tovne6abSzeP+/3R036GMtUKrVWwUFNR
ILR75PdMi25vbdIRk7OB5RdScFeCAY2mUbkzq/YUR49gDo6dmrrEqQ1sH1q8BVrAlMKVnKonEanW
tA7ckMg9PwramKmuy+Uw6shhaqKCLUf7IbLwUwRZuO9qEtBCddNphkPRHHbyo+8he1fYXrnATkOe
ZknbznAbpHYAaWuQzJvERiPV81xjmhTSlV921xRTSHYCZwoT4LipFML7hjaCR5kePI1/WZtWMadZ
fNB4DQq/snMNW+7ciztnioUCZahcasAIsJ+0tl70nhRjVZUeSERObMhQxtyuus+95LxHMMxjtrhC
wv2CQgcVo2DdYTkg5eZPU5auJM3mEkislsw4+mkJ9wI1Vh/aoTxyuMkng2U8VK21LGww9KmnHLqp
lmLD0urT3oxuvCSppsgaq1ObpncoJQvPvZdtchkn0eGVSdlEacLD3CihBDZheKoG2YFb4C+HScCd
Jxn4OXbhlUIyM8kb6ZuVOOZETbID3eluemIuyk8jFt95ls6LGjlfzCVQm44KPo6OsrXdlVg7Z/qR
XVC1swesJayCDlvX/QTZSl2tw7kBtvFCbpvbvGXr+qVyEXupwCJoJ5oZUI4zcENELfQSUh8qRnR2
CS97zukyPen1Ml2Upk49sn4IE8RRgOHcFD2tFFSTr8cY6c8hvlJ1mNwdotCZJd8j28Pi7zBHdGqr
m2HqepxX5SKVUUUDrAMuAiFxVm24doiN/dZE2bxP12NSHo4O1U4PMJGqwgoJwxmC4td5i1dDRZRn
RRx9OJc1cDw6C9+dgIdsrKXclz9Nn5DOyvo7LSHma0MgGHF4C7roAE2/mR+lK9eO7sO6OdP14jAJ
0JH0UAR0WziIlHVx2ba+9b4y7w0wkG6RXVIe2M91B0Ic7Rc5PEflcToEACEGzZ/7bjwPyva47LOD
JsinsSG36mEVKthTeZYaXcTpaN4OWWAiwyQZLf9g1Hk7G4SZg5FLzwpt/85BDVobv8lBG8yn0PD4
ZCPMX72moIq159gKpRhBSHnuyrxCHJ7oX5qMShtcERm5tj97OZq5R0Akkk3BIHlWZHjNQo09AUvH
6NwEPKMAj/gnWehniANv7IBU5BkAYpCNfoA4AGaTC2C6EMDwQAWM0/woB4pfUVRbAATj2VDGgsge
TIfMPQlobs8MpaumZdqe40ZwYDkucjCGiisuUqSVFBxBejwZLCDimRpcynL02BIkTqWs5VqRuoQw
ST3JRkJZVza9aVLlZxjq3VCf+6FW+i1GgoD1fIfae4x7qyONi1iXpDkudBjXl1TFPAmH+jz8btjp
j3zIrluf1Cqrab+7pvm9LPDQ7dOb2pFu3HQ48k0s/rTgpI384zoLflQZ3LbAsc5LzXiIHc+eJ3yw
CQY35lJVM6R0sjsM61B7DTWEI2rBiou7fXoP14OKxKJXdwtdHzHWCTVUGzsK8ripPhZ+a8xQ2Dqu
6viqI8Wd2p4xNyL7WxY4jzRSzwMDQ1EVyYqJ7IX13O26UztvwaanDzTJ79wC//EsfaCc4UybqPTm
Dfah+xXev17u7IOZQBDc+xGraNDnsY2qrYktcpdnD53iwFcd6lkylIhwA/NCMDyh7VJQnkMN6riu
QK3rLoKaYKmpihJLdAu57IBzOPueanwbxvZnoIdrnOqvtMBDe2C8TbwxmdEUOaWFMnXk0qAHZAHz
kknWVFh2FzRgTnyn/wnaDyNOAOOZ7MrTpgyrSSKrN7pnfNPrwUXIN7rSPfVno5rtwRCIPzeI43Wt
uU2kZr/KfDAvhknsgaI+zbqQhl98l+mkGmrenIIrk0ElgBEohB+sDAIeT8WFbKHPbNrysqh97Coi
pPubnG8NnxzE6Q2TIghV/GK0F2ZQVUu3IrQgejoUit2zEljbxOjGbxaSyF0KBpKrbKqPOAN7EZ04
CuSILI0VirENK86wcIS3RxbxUPEdJmruzbtyvMy8kndNbW7cduHKzeVoa4dBh7KGpdLZqwrXm3lx
CMywiR7qrL+1KWiB5sjvZSUrsVtzp2UHfKaTg31g6NI0k/x9OZXCmWRF6VSWM6SB5aUiBw0itZKz
D0Z2mGitvU7C4pjMtZ3AYs7nlDIOTG8YML1u0zmXynVWGIeusIdiNSYTkpD7imbmVC4VE0VxrKKo
PKlHeorfbA/nxTuIVcfXZlHU3ag2WvzzUqr84DvT4NZnam153dwMDG1huomcXlnkN9lMr/ORC7aM
hWCznVjnFKUCMP1F4J9rRe/dIfg+r2KW0ET3dfc0R3sflzJRuO8hP3v7vkUnwC9k0hFY8xdyLB3i
whVocxwkNcS27Xic0cCrioPGkl1Sh6CvMfOU8bAGQ6NhkRdj5WX2xRI4j3obdTTgTmJ8QjhnYl+Z
9ab1IHtNE9IfHUrUmjqqYCMFfN0osDpVLe9Krq24ulPd1uOG1kbwrCRipvsjMgLcdWW1TCR6wT3+
tU+3xP+D6/LlEWerejVPSUmGi2ZdDt/WFd/Zn6aF4qfnGYn8Vfav/dIr1n7zQC/X5dWQr//zP1aP
SZDOgqoug4daXJtPT3Xw+J//8YwxFFXTdxfw04M9PfVvx4lXfLrmkXfQ7D1BBaDWSIE1zlLv5d8l
fBb2LHpSDmJ4IAZhb739Fjc/+/NM/f7z/Z3f+e2zf5wDgb/Ycg70PdlQIa7phBriRajxbiogqWNo
xDwJFtuuTMXb1QAX7SPa9O+sBD7mXwvB2hOQGpNy+9NnFN/3+0lw9qiFQYSnnvz02tH1oGvbrgew
QoZgOMJzfJ4Kdt67qVBVCDnoRNrqM9nyzbnxq5Ph/3RToDn9rywH8THfrge4PKidQSR+erHNPk6C
CvHIEpwj9t+uzQFM96+YA4BhlMzklzn4eDCwEECSkWuII2MnJ0HeejdwQ4AzV5Hb+NVukPeIJR0V
aPmuTsJHzOHfORzf7wZkShzNMBW49U+vjyuBbBVasgUMnnt0J1eCsn2soAKURNWQxPr5XGRtvTsS
FGMPF2kDSKT59Au7GjLIz0fWs3bGn6HMPwqb0KaBmKED9ty8HgSJnutUgYqxo+vhU/Hmn28Kc0/T
ZALFlwhxU8igOoIWajyfQrt3R8jPu3W7laCKw4+j4ZfBAk04UKJC1GcnTwYhFcODbTMJBMgcfcig
Pu8G52OwwPFIJ9x2LKELsZOTIEp7W08C6jqOgzLGL84EVfCubUr0OxstPN/gW6wEJHEtITCkipkQ
r48rQdX30LfSCBt3NW6Ut08oIdoBqMJD7nkORDT+7qIUubUoLIOC2emLUhTdt9wUBjrIgChgKz4f
jx/TSqbCZBK4KHf1ZHh5sC02BSE0R5/4vl9y64+BE9GCLPoVoN2eX7t6SG6/Hujd0JchRnypInzc
GiKQtkEzEzTs6CQII5otN4W+J1wmFJvw6en1cT3QFlMd2k7CFXI3b8vnB9tmTxBBQxtWcMD8eDhy
TdIUtLSXCHX3okZl63ySEhPREsjbz5+etWGCxKDystNHgbJ9DmXuwdJjEVgvOdSno0BUHhwTYPKu
xkvKc16zzTYw9nCWEXnkcySwKYcSUaWC6v+OngXK9uchiSTlJRVVxT/vv3fxEpcC6kcOyfSuTsJL
7WublSByKEIEKKi/iJTUPUgVNiYUu1pne7myt5kEh88oxAJpOz29RBXuXVdK3QPeoWCFsauToG1/
MNr0Hyg3EjI/b4dPORTCII74HweHeO1qiUloj2wXKQnaNjVXmNRPHxQG+cf1QPrAj4UI2q4ej18R
M1OAJxyiEfH02pBDySbLhc7cjk6CsEncbiVoFkp36Ieixb15ErgjkMOxkOp+2TW7OhXPu3W7Q1IR
IRM0rM1TgQwCURUSraL6spP5w0vxZ5tJsPY02YS19lpzZJu9vyk4OmBF0LPf7UNSSCpvtzWouenO
E0bRfL4vPmVUNLTR/taJInd1PWxffTX3kMgUwdNLm/LTTaHsgZSjrb+zDesXNME2m4IYEkFPNMN+
0aGjYU1eSbph72r19SXN2WYS6DWAnkdl5eW63LASAAfgc+7sagz5idz7j3tzosBATgV24eVM+BRD
EkizDuDs7Gr0KIz2tjsYNY0yOymVbf6iS0udDeFcGXz5rk6CMALcchKIiyBt04x4qbh+WgkyK0HA
7LWdrbhuHzJp8AxkA070c8T0ucxCOAHAhQLDrobQn4Sz/pUzAWSGCdbxF7V3cTtoSE6i3/uaZ+xk
9KhtHTJBIYF8LiAcv6g40ZHRZVWmRLurd8TLbt3mogTPA1XGANPzIXbmXFTAP9KgeJmeHQ0bta0L
DKSV6EWhVgE44fn1YSrYE8ibYgElZM93cjfAcdr2iuDwA91Mze1lEj6uB3aDgPEQMu3sFfGc6W6z
G6CisRl0oWb79NoQNqoONWrHeY4rdzZkeF6o200FtRaLBfGy/T+FDFwUiA5TgtzVSdC3j5t0sfEF
tvcXt6VoSjg29yXYrqfXrp4P2xekTbR9iAsQk37+pJ/OB1oTwLsAAu7qbSmkQLeOo0HraPRln+tJ
m0rR/JAVQ4tGvHZ2a2xdaxEgL024Ir5yAzhx3tfeVFwdgQJTld7VTbH9fWHvvfin/Krg9BRemTpH
6a5OwvYZtkX7BW8Uw/xVvw5kE3q8wi1sVydh++vSAdeJnjtVt18cj5QeRW93hwtO22dUgskPaIkP
+XT6fcqwAfpxeCoKYm47uhKExtyWdwTgVm4ADQe8zSuBmAFGpSKbwiRpJ7MJY+vbAbQjdXhiQwGp
fn8tcG+gJom14K7ejcb2CSWHAS1rgG2/okvBDAG9YNOJ+PtL4G9g4P4kKE/9IH58oiYjQbyJwfyr
X3ilAHz++Rvi8RPV9N1vCqry85s/U3PF//+v98zlJ3bgm5++sgWf3unl718+4uc3f/dmr5/r9R/3
g3W5Kh/84ekHw8uDnq4SuM3/HfOfx9VboqygTYta8Ou/baZZ/3kI/H50NCPXrwO94WSTefz1UT9z
uP/e4MnqMStfB3ozOBtn68EnwnvmdZw3Y5MnbD32dBWvWr6S6nWsN+Oz3rcfHz2i6tNXSsDN2f0F
g6d1ufpjmlX1prfgONv6LWbr+I/TrNw4/5w9W48/j/+YZSWL53WsN/NPyLv1+IsSWfNNg3OfbT34
Ml6n6es4bx78K7brfpPcZ/Fj/Xl4gebd+tEPknxdBqv4dai/nl7wLrcfHonB12HeDP0VO/ZoXW6Y
c4EU2Pqpj4LU23AQCMDo1mMfr6INZ5hAIH7B0FW13jQnX7FBj7Pqj/9OvXW83jQzX7FFT1aPHMCv
8/BmtXzFFj1ZoSy9Yeyv2KJi7DzbdLoL+NjWX+vJOn3MHoJNp5cg6X7B+OXD+vF1oL/mXWCdth88
49lfx3kz9lds05Ns45x8xS5laGzu1sOGJ/+KnXq6yjcsdIGj2XrCT9ft6nPsiL/5V2zRs3LFEfD6
lG++zq/Youfx6mG9IXYUPLatp+U8bpJNwZ3AKWw9+LeA0LEKHjfMjPBr2nr8y9VDSUqQ1hvuUgHb
/oI3SP+YrBEq2/QGX7FVL1fiDcp0VT5uPMgEN+1LPsUsWHubPsRX7FrxIRbsgIegetj0Hl+xfcV7
HGarotl0W2lfsYfFOxw3QfXH2X1Q5Zs+x1dsZvEuJ6t6vWn8r9jPjF+v/pisyvvVpphBtNG+Yj3x
HlPUQDcc1qKD+FXvUDbj62B/nan6l2xsf7UxJxRiU9s/PTWMjVPzJZs5qCJcIJrX53wzMV+yl7N4
tSl6ELCZ7SeGwGSTG6D+Jfu3XqVBFa+a6vVJ30zNl2zd31n8Pgn5bVF9+q1R4taD/9Y9ZuvRf6cL
vP3gFIiSTXU5oUGz9Yr8zgjNpr0qegdbj36XxRvOeVGR337o5n7D4SvK3f/L0JvKsn+qvX0u1r7K
O276s/e1aPEbD/F6Vf7X/wAAAP//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effectLst>
      <a:outerShdw blurRad="50800" dist="381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accent1">
                <a:lumMod val="40000"/>
                <a:lumOff val="60000"/>
              </a:schemeClr>
            </a:solidFill>
            <a:ln>
              <a:solidFill>
                <a:schemeClr val="bg1">
                  <a:lumMod val="95000"/>
                </a:schemeClr>
              </a:solidFill>
            </a:ln>
          </cx:spPr>
        </cx:plotSurface>
        <cx:series layoutId="regionMap" uniqueId="{00000000-C42D-4BA4-8ABD-B1B8FC50E120}">
          <cx:tx>
            <cx:txData>
              <cx:f>_xlchart.v5.2</cx:f>
              <cx:v>Amount</cx:v>
            </cx:txData>
          </cx:tx>
          <cx:dataId val="0"/>
          <cx:layoutPr>
            <cx:geography cultureLanguage="en-US" cultureRegion="IN" attribution="Powered by Bing">
              <cx:geoCache provider="{E9337A44-BEBE-4D9F-B70C-5C5E7DAFC167}">
                <cx:binary>3F3pc9s4sv9XUvn86MHFA1s7WzWkDsuHfOWYzBeWbCsEeBPg/de/lu1kLUrO0lWjem+lpJKyyYaa
/KEbfaHxz4f2Hw/xeqU+tEmc6n88tL9/FGWZ/+O33/SDWCcrfZLIB5Xp7Ht58pAlv2Xfv8uH9W+P
atXINPiNIMx+exArVa7bj//6J4wWrLOL7GFVyiy9qdaqu13rKi71L67tvfRh9ZjIdCJ1qeRDiX//
6K1i+T1TqVx93L5Gfv94maXZBy+r0rL7+GGdlrLsPnX5+vePW4OQjx9+G37XDl8fYmC9rB6BmDon
xDRtx3L488f++CHO0uDlsoExPyHEcbiN+I+vXa4SoBzLzxM3q8dHtdYaHurp/wH11hPAW/jjPzz9
w+YtbN56AAD8/vFzKsv144e7clWu9ccPUmdPr0l1XrZ5xM93T+/kt23c/vXPwS/gLQ1+8wra4Sv9
T5e20fsPyP4Rwwt9XB0AXPvEQcwhjkX3g0vICbEJsy2YNs9T6hnbd3C0H97hACMQHpIcGch3q/TD
TK3SB6kfsh9v++8QYPvEdhCyHZDR589AgAFjBhrMdOhAgLc4GjP59kO9f5gRgO8nPDLYL1Zar9Mx
b/d9epuhE4ZN5nCCnj90CDs6seAycyzQ6K9lezxH+/Ee0I8AekBxZAhP1vGHZQa2wQFAxie2yWyb
4BfZHi7OhJ0QxCjo74ECfxdT+3HeHWIE1LtER4b2p7VYJQdYqkGesW1ZyCT4TTVOKMPMws8Sj7el
ejxf+9Ee0I+AekBxZDj/EecyPYBIg71tcWpaoLufcXYGehvsbRs+YJOzbYTHc7Qf4QH9CIQHFEeG
sJeBD7GRZF0eQJ4BZ7TR2pTa+3EGswxT5pg2hhnwen1+L1/70d47ygjM99IdHfJxpQ+BObjKiBMK
wv1sk8GivOVLA+YIOdTizBxiPpajt9Deoh+F8xbFkSE8jT9MMrV6PEzAxCbcMsmLS83Bq9oGGZ2A
yGMQbetpFgwW6nexth/t3SFGAL5LdGSYu1V5CBuc8hMTg+WF3lqwCT4xTTDLMBkgPZqh/Shvk49A
eJvgyNDdBAvcNQT6DiHS1oljkg3K5hu2Nz5hiCALrO9tvf0+rvbjvGeMEWDvoToyxP9IQH+rv9+p
BsuMQsQTEQcM7B3NbRPCKeL7NPd4hvYDPaAfAfKA4sgAhmTHql6rlT4IxphbBBPbfsMSg+iYs7HV
hhL9Lqb247w7xAiod4mODO0Z5H8OksCyTmyKLdOETNXzZyDVG4faMeEPHhjd4znaj/OAfgTIA4oj
Qxjyb6nU8ao6hEDbEM1GNgRO6BsCjcG1Igzc7YE7/T6u9iO9Z4wRaO+hOjLE5/E6PUBuY2NyE2Ri
TsDc2l6hIWjCHQzzYBDvHs3JfoC3yUdgu01wZLBubMuJXAeHMLXJiY1N2+RkJ+5pn2CLOtj5YYTv
WtqjedoP8u5jjQB6l+jIwD6tkvssfiz/fiMMUhpQV4IZ2xVjBlhjiqAy4ceS/ToC+h6W9kO9M8II
pHdojgzozUy+hAqZQ0i1fcIcyFNCYuMZz508JdSZEAczzgYxkncxtR/r3SFGgL1LdGRoL5J8reQq
/vvFmoIKB/VtMoqfTbFh5QE2T0ywx03IZ+5zo9/D2X7Ed0YYAfgOzbHhnXaHEGyIjCECxpj9kq0c
BruxAwYZtyyoPtperxcj+XkD4dfUY9B9ff+RIXu+Voewsc0Taj9FtZ+FFIFi3jK1wW3eJDAxJYP6
obH87Ed2i3oEslv3/xcg+2sWtx54UxX6xw+p2VMJ+N5KXhsqeZllcfwcvdyHqIVtYmP2Ein58d3P
NZ8QgfpZe/xsje3jaT+qr2m3nvH5EX/9Uv7r6nXPoSj8EDEO6wSEDcpx2RtpCBBJC65BomkokmMZ
2o/e9vPswW/rV1CKvk1wZOherKJD1P2AOgWLCaro3wpgkROOTWw59iDHNJaf/dhuUW/huL/Ofuv+
Y0M20x/+SIN1vD6E9LITKN4j1PkhvTsBDthpAfFJZsMk2HwGntDF+5h7A+09g4wBfQ/ZkWF/uXqE
VNMBvCHrBBJNEI+0X2p+hnYUQSfIgkIvWHS319vxHO3HekA/AuYBxdEhrOQhDGX7hNsMQpbopeBn
KNdQ1GVSDGX2fOACXa5GMvQWvq/JR8H7muAI0c2zg1TtPQWvQH6dl60UQwkGs4tbzHYILN5Pn6Ec
KzmWs7eR3hphJNhbNEeGNwTooCzXXan71UHUNttsitoI7dtZY4s7UHAP1Zp7QH83e/uR3z/MCPj3
Ex7ZHLhcp4/ZgzxI1QA/gWg057b9EsQcCj2hUMtrW5Tyga/1Lqb2o747xAjEd4mODm31ALt4vb99
h7N9QpHFrZ9bnHcWcNhK52AOdjnbZ5hfrsfy9RbaW/SjoN6iODacMxDqvx9mBjWaHHEIj7wo7J3a
AXRiMoiQQUhzsICPZegNfLfIx8C7RXBk6C5X+SG8LPCdOUTGIPT1JKJomHMCIxxyyVCk7QwKQ8by
sx/bLeoR0G7df2TIQr+Hcq3W3d8vutQ6sWzLtil6qdbcQRefWKbFLDrsU/AenvYjvDPCCJR3aI4M
6Wfj0lNVfxCswZ3GDP1Q0zurMeyRgn4jCPFBHPR9XO1He88YI/DeQ3VkiC/X9eogDUhgR5xFbIei
l+jYHslGGLbDsSHa4znaj/SAfgTKA4ojQ/gKWo8Eh8hrUKgGgc1ujvXWfmboQWPCjgprGPAez9F+
hAf0IxAeUBwZwtdxBZ2sDqCxIfxFLRs2PL6ESnaKu9AJtBkBy5sOCuzHc7Qf4QH9CIQHFEeH8Oph
fZgdUdDfayPFL5UD+7S0van3Is+xsEEm4zoey9dbOG/Rj8J5i+LIcL6VsC1Ky8fDqGvuIJPSl6qf
3SIRiJbApikoMRiA/C6m9uO8O8QIqHeJjgztb9X9ITzmTYATQxEmNO57+uz0IoBty1Br4IBXtR0O
GcvPfoy3qEfAu3X/kSF7t3pQ0NkvPcieZefEtKGTDINdjE+fnVV5Ew/b/IEiv81nUG7wPt72Y71n
jBGI76E6Otw3e9VVulKPh0lewPYJaCMCW2VeaomG6zWGUkAIhsGavi3a4Mi+k7G3gN87zijw91Ie
4QQ4y1ZFdaiCBChHYAQSmE+fIfrQkIJwqCLk/Nnp3pH89MM7mHt7BgwHGQn/kOwIsb+opP5wdS91
foiafBNC3cSCqAkEyTafndQl7G0H8w4akuwR/3ey9jb6+wYaOQP2kR7fLNh0FYsPU7wANjrUEUIl
6cv2uZ0YKj6BDRkYwmoDj/wlkjmWrTfR33m2ccjvkB0b6mKlN8/4d6ewYScltAOE3bH0LWOenMDW
WeSAXhis+KM5egPrbfoxMG9THBvCcq0OUo8EW94tRGFD7LO1vpvgRCdwESqWnP2L+mi+3sB5m34M
ztsUR4ezjmSXVQeQZejpS6EbN/nRkx0W6a2NV5DKtqDPhQlVwwNZluN5egvlwQijcB7QHBvSWbw6
SIXZ5mAFCKlu0tr7zTRIdDIO4jxsQXQ3mqM3UN6mH4PxNsXRIZxmh2jZDI3EGOUW1KW8Vbbw1OzC
YlD8P5BkOMpjHEdvIbxFPwrhLYpjQ3jT+vEQiREIolJCoI/YS+prj6FtbaR8J319N5qjNxDeph+D
8DbFkSH8CbY2wIE3B1iOoUkJ7LqEgMpL2eBOHBX25UFdGdSBD+Io72BpP8bDAUaAPCQ5NpQr8EwP
kfWCnbUUbRrnv701mvCNy2wObK5Pozl6A+Nt+jEQb1McHcIZlCkcpLE+7NNyIOoNuvgNewuBj0ww
dsgOxuN5egvlwQijcB7QHBnSXyDvVR3EVYYzT8ARpuitzvqwXwt6uGJkIViuX/eVegdL+3EeDjAC
5iHJkaH8LYsPEeKGQzJsaDkD6+7QOQbv2YYt1NA+bBvbsYzsB3aLegSqW/f/X0D69kl1Pw/7m6zK
1fTpmMBXh9X9+urTy4GzDQekL0K0px3Iz2L7xePvH6E0n8IuWTCgfp5AuBloSwQ3GciXBNAP/LZJ
1xBB/f2jAWs1tEOAzVmWBSExKEaBUZv1y6VN5YJl2tAOFEqJrc25hCmcvySeDjMEZxvMOVjsoW0R
5TBJdFY9Xdrs8sQvg0GTBfPnQY7XWdwFWfrzzbz8/CGtkutMpqWGcW1YMvLn+zbsmrDPYFO2akGU
hsHmItg4BNcfVrebPhzwIv4HTmRL2pZ16qozagvnLqlwIdw0dcKFVYn0SjLrUgpbLC1Tzf3eMm+K
LuJuH6Bb6rPbSFXrDOWF27ZiEdb1ubDxrKbVRUSIZ9T9WZziCyfFk57YpVez9r7L6QWKu9ilVbIk
zJn5gX2hhTHLOuPGCsVnu0u/mm3pOX6xdpjjKuy4cZcuoiqbCMMIXEvQhemIL6prPIOhmy6Kl1Un
JzVHy9auS5db7YXl9HNTYa+RwWezkK4BTzSNVXPPZXnp82hWKvoXDeJ5XZZnqW/NSsrPa1YsfSGW
PGtnvGdeIPJlRUKXZsWlaslX2F59KjBe8q5zjSi7CnG4zAw8rSs+KXQ/Eaj+xqW+FqK6DJrOqzNn
zppqSmNrqUg+jfh3rTiZJmFTeaKqznrurPzGdqXFvoZhvTA0n9SmvhVBPzfCcJLkvWvl6q7TnXb9
Vl4Fpn0a2c0Eh9ZnUyenfadvE6e8T0m7NJx0KfzioraSU7OvzhLVnVaFdu0g/26H+RL6xk97ny9o
wG5tYeeuY+SnpZ2mLouby6iyDRd3xXnhRyuasVueW56QfufGlX1VGeVFQJJJH9QL1aeeto3bkLcL
jPwvLOk+B5xOrVRitxBy6kctc4WPCs9OikvpxM3Maor2Ju4qf5JJa2XXXM3zop07uVl5QZt/JSQX
btK09ym4N4GrVICKqe5400997ajwNOSpWJSZUuEV6/tWuiGzUjqv4QjSGccNoN/qhWlkaJ4VVewa
Tn4bZWV+llqq9nQRSRfHmF62Zl9P6g6HbtzKzOVpQCY+7cNbcJ3nEUHaNcvgNEyxnsBOO2cKj9R7
Kel7D6eV7Ya5XUxLB4VeZTfs1K9Tc6Kt7k6yrpiUXLSuT61o1ldl7mV5Qdwm0J8dVaJpZFWdG8bk
RjpdPunD743pC5cb5JNB/IfMoROnY1c9MWdMRctCR80kamqPxf5a9uzSCcuvRgN0l6oq6yncW3lF
XkUutYKpTLIbkiVfmqqUk7zWpevDuU1eL1g0CXN2HwRl6iKVdm6ui2qiGV9KVQeu3YaP3Khat2ZV
4tW1KCYRcdZBzv9KO/LZNK018C/cMkPa6zoaT2jeBa5IaD4x01C4eeRLt87xaR6rCXXkVS2SMydp
vrC2+17Z6CzkzhnLhJy1RjWVgfgiezLlSVwsO78pZkkdC9A4hnWZxf5dmovADXikp0TUdFIxGroN
Tv9swh7ecpE8GpmTuaht1MQWQToLo3bhG/E8RFx6vK+/9Zko3LhsrySy70Xd3resVq5qE5i3tnVK
rdoEyvg0cJThkoLMnDzuvYKSuZ+RP8tC2i6oKa/Q5kIGlXYrS/7ZBRQGN9iD9ItkYvHQ5VV5b1Rq
oonVea2PJkXqf6VBUXsd1zBAhTwWBR6tDOKxUlVur/JPoqHJBIVdN20twL31/T9pjCrXz30b5hed
FZFRuJw3IKIygvNgMxBL1Tga2KPfE0Taee0H3K1M5cpINm6TFAspewt4q89yR1+1iVRu11euk9BF
I9BSlPWXFKGzsnF6NzY4d6XRhW6F2otIoLsmKM/NVHzCnY3cOrQmqQpr12ENnVitcSErB7tpF31W
gpmuTHJ7Ett5XN0JEaUz1ehAeEbmM7cuSuQZYS0WrJQzEdfMTZFjzFHf1W6X5tJNdZLN2oqc6ai7
yROdujZu4xuZ1dJ7feDt1vr2kOWdghnzclbxzx//9SlL4O/TCbj//uXmqON//zRfZ5tOYXp408YW
+XnXv0/R3az9P4/UHVgUz+clv2Fu/PLi27bIa3vChA5avzJDXvcre/YQnpb1J6ofFgiGKqtNNx8E
hyua0D8eBvxpgUD3gM2OFmhJ7kC/tU1T0xcLhEFQH29OU0abJmtwbiO4ID8sEAJ9QmBAsA0cSORC
a733mCAYvmPbAuFwEiC0i7LA2KFQDASW8msLpOwpaMqqapdpQ/m0bnyRuxkN7ciDha6+sQyzOwvb
Oo2mCEXltzJj9eeI6bZwNU+Lr6/e3h6DaNOAbMgN1JtB9zIwheDA4Y11/poblnZ5xEVVL0mR4mUQ
9anvVnZmCa+ty4y7dcOqb3adG9JVsPAWXhGqKHD9XtvMg+L09JGXJbqCMUQ1IXGMP/em4eB5Z5n+
GncGbme/5phACH6HY9h1CAeocjAloffHgGNpC8C2K5e0NYMAhLePP9eQr6Gz0u4y0627FocTafuO
C1qwk24XITpPatXhiaqz8lG0WmNPGjloWTgovHbLBAwZ11ZmFEyDLBTXUcXPEs2FnkACgX/RojiP
4sZsp1KD7pZK1Mn810+1CwOU6SNozwongkI37aeHfm2WdkbQGHmsl2np8y9Z4GDisojA1MjTqr1u
WsXvch/Hf/76azdz7bU1DFvn4Rg7MMcJzEX4Z8PWq681URuwXAfpMnV6vMSRqJapVp50fPHl198E
4rPzTRyO4rHhXFsobXYG8yxPWdcXSmRLJ0dsVTSZiud+6XTEjXIxRWDD9B5FnZN5ITWb5D9Nms2k
2H5QmCjQD5XBuSHQwHr49ZDrk7CEJnJpF5G5SsLKXEXxhgezT/TUUlnmdgignzdx0RC3iDJ7XcZc
LxresYvWogp5tAmzyAvtNPlMVU7oRDhdt86NOp8go09sz+QZU6cmtWBV+vXb25x4MeTf3qgNaGoC
p36Dh70NFLIqMzVN37jElZ+spCp14GIjKlPm0q5Lg7NGyOg+cHh+0faFmFkZa6VHcG1/L+2+z7xO
BLbHsrBeS0Xtx9rMhX32ayaZuQMyZRQm0SYgD006zCfn69V0spQjkRIlvQxZkfvc2ZiI/bwtW8pn
ZV1VnmoLdFMnnVm5QgjbUzida6Lyecxy4kVxkdzmsZm0rh03wdcmTLJFp8vSzc0i/2zpyJn4YH14
VRaG0pUlDRvXD3W6bHJDXxVGT6dBgMFmMXo/TTwC5tmpaZXxLQmD66BLabsx7otl6RefSpIYsPTX
BF6k7AjoBlb1vYsaJ7yIhel881HFzoTl4Is+aGvuNUiwxINJJxeGo7rEbTqnn+DGNMBMbR/A1Czv
KmTYAmyV0p75YHoumE/Ip0LgJpr7toGl24vIv4f6MFW7Mi2Mv6rETiZ5rskiytJ8gQseP8o6t0Du
aRLdSe63NpgcLDhTvqq8Dt7DHDPCr4omaaesUcUM4xbX0xjOqwy8ugmcwquJ8KeJpmpS5fxK+EaA
Jhhn5SksNaTxUhRarlPa8Z9tgsQ5UTy/M2lpziseGmSmraRfOVamphq1YT+rIyeYGW2LVkTHzXcd
5Lnp9aQEaw68iTqYtWWYgXA0zbQL6sqZqcwXk7ikyWkKt4J3ylQGLzqpwZ/QYWh49sYFtDOz7V1W
xr5HSyNN5sqKpgGrOnTTUMwmUisUuyHMpHJGy4breUtt8HOjvo/9m6opyiRxOwmesnoUviCk/6Yb
o7UT8DIUqPLsgXRJWFIFp69VVY6WZVQmUXvGZdHPazBq/UWipMzdkMTZHbINugg7SiuvAgx8tysQ
bwGuxHEmqe/DeljGUVNMragJkKfiEvtXooAIQ3YadXYjJl0b8/LC0iWFGdX4GdaNV8FaOLMMEfpX
NYiOFXiFkzsw4Wikk1kaS8XduIDFy5+2tbQ8w4euR6bb+ShlcPypnySe4FXjz5rYjpOpBv8rmplp
kPSe05ugMVMSgWOUCGXEbq27QF9raSTJNAuk892oaluiCcpIOZfMqZylafiBf5ZSu7TN0EtbXfTd
qYZ6FiWmeSDsBJzPui9mXGlwM7vYSrpTpHWSeybpYunZrdnFcyULaXgAK/lq5EmPJ7BpKQJfIUqQ
cRWHyABPokzTr2GS8GRBFS/jaSRK6xbcREpnoZERfC4aoW2wjAUR5dxXdZ7ewWJMz8KgJ9GsyoGD
aVbGQT91cNtzzwm7vLlMnA6mtgGioiY+xtWZoqYZTwKfBtXETmuAU9oa7JO0D2m/jiMoA5g4wEAy
oV0iCvDfJTsNpB1ZHomigk5kJv1JX/mR6RqNyvl16Dch86gswt5N8rA3zpEfsxnO/cAEdrmdT3En
+mwhJG4CCHEw0bib+1zMJU9h+gS08NpGGr1bttL4C/xQCPW4EuSILHGfyl66Ts0M+qmLG1ItrZx3
2STlRXlpViksSYG2IyDgCYW35UuB0289jlNxVnRJ3M50Y/byHJdB+YmFxFyZrZ/4roNh8s6qtLXp
VFu9BOYrHCaTmBaR9pzGn0osi29x04BlEQZhfadNq7nPlaCntd0E/tSJTETc1PFhHDPOwnaWqhov
+zan7EaXJv6ESwPuaCxDO14JflQ7rUkSylMIFZFmkdqBJlfSsDm4YcVmcoZhoed2rIW+bjtWOh4q
GsBGNCkwlmlQuuewgvEv1EEwuxPQkmoThWizRam5T65DVUXRLXFSzhYtgxjSZdmWG+NTdO21GRlW
O82aBL46y/q+dluSlP0cRfbm4TesN6CfgK88wUtmpvAUVWHCqxJRFvUejyAK4OVxEMmbVNkg8qoC
qyCAa6BTSZmKqwJDoDB1aS4QwN2otrpMDJFrV6KqaGctdMWg064uyEZpgDB58ESgQFqON3ZymSZf
fDiM9MyppXRcR5gRzIsusFZNSoGNVoXdLS1bpM8DMHPD8yxPo/DOgdVirlOElwUPim9wvKFVuIIJ
Sc4yJ+DVuS+yoJ50yi4aMHA7Os8JvFYP2UX3EMWRed1WGmWnBerq6GtjJYE+TXwj+d71fKNDZBGL
CfgBDp1K0gk9y62EfzWQn8ySJg8K12ag5jrViFuZlfqcJ1FoTkyiSABqDw69d2tB+BcVGnUwjUkK
YtIbPuULlma4WCegkLszOAkIZKPZaOxpaBrwRtu6r6ewyDTFOVYVsTyfx2UNKy2tEZjeRfiX4jX/
ZHRgpkOYsFT4sdQpRAETjO16IRsCQ7UJFr3HmsAKFjnAAvHQiFuzPqvr8rLt7PgurHXhOrY+ZUlb
m6d9YwE4EcK6n+dxlGWXqdWyC6NELJuKIk3q86BrcuE5EFwUn8AS0Y+Ip6BGQHXq2o2EbrTLm9op
YBXoirs4KLD8E2c9dWq3Bwus+5yX1OAwmPbVVNhGFJwZft7ciwAZtRfb2ooWkiN802rD7+cKIpRy
KvsKJqkkZUiv2yjuzWVi5XHsFnmNrEuGBWu9DqwbPW1EDqg1TiohStjbCegOreMpbmmrJnVMHDXv
nQJmf8TawJ50fgexKz/XVvG1MTv8KRQK5hqsdPwLzPVEX6c8xaBgSc7DmZMIq3Hb6htxqgbiH1FU
259NkhbNpDGDkl0yP3bq28LXXMHiDjN6mksKaILj0LUXkpZRdmGrXNBr0qLYWvhtxuG52tYILiNl
5M0k0T7oDLDGqvIyjn3gX/EomGnhRGLStAgtuoKB3HeWZUuX+cK+fLJKX/Io189G/nMO4HUs43Vo
Y0yM5FI+qExn38thkGRroP/nkZQ9WR0Mv3s7q7M57OF1+OU5E7Sh+RlMMaF1OVj0NhTD2RQx8BB/
BFPgCAkbUvbQORlyRxhxcNR/pHMgZ2OxjTNrwxrFHQaXfgRTzM3ZQtCzk8G5MiY2oTHQj2jSFpaQ
zHr5+XU+B1tDxw6ySGAuAw+QWqbUHHqwVMQ5Dmq7XCaRJWZZFstJmyXM6W86AioH7AEuII0zZaJG
Ip1GddRMTVwSPM0o6dLGY52k8XnhyKK7Chs49t10QRhMZbq4tYrKTUzQUXMMXl+MXcZiqW+E4Yc1
mYC1lqV/9cqq2LVdVVylEC7Ia3bemmajWw8bRahXdl8q8CtKy7c18tpW1RA1xbVQ81Dn/BJsSLEI
WmW5RdOwz0WWe5EjQRNUGZgkLIKVEhdNfQ41z92MODJd2nFU3WKwQ+8RuIT5og5FcF8z1c5ijZIL
aUXZNGaZvwwNk81qIxSnFsNJ5DoN7W7gnAF/oasMEiCp3SxxWJcT5effM4i9QpyWELVypNReXDLQ
nMI3yUKYYfmJNEXiwRs0H5w+5vNaxM1FUMJanPVyHhuM3jo9iqctBIbBx0Itg5Vct5BdKI0F7Gnv
lgqpcBZVoZ6xHOe5C2YlblyK6T3AVJ4WPupDF+ccTzgX5C/a5/216PswdSNSkXuIgJnnoDuDRReF
+k9qajrBUAF4neY8mPROUl1VVfQArzRdFBCBu8NaotgL4Vj3S9ZI7pp2JpZdEgWToDPl0pRazzmP
1TSEpNSyL6R5mhRp6PEuUZ6gQffArDa+MBtff6mSrJppHkIeyJDkklIcQ55K6GjWcT+HiVJYNzjK
jJksTH1NJeQLygpl53AycX2udXTmd0k/7RzDmRVm135vGETlnTwJztpMMuAttI1L6VvoLIFzGjMv
62AtKMvKuig6J53nQYUhrwazqDVVCV4J4f5ZrAzrS8WNrxkS5IJAAugK2PdnRpSwS50RBhk/ha66
XrRnsdOEi0Cm9TQzyvCS6by7FcppJrXerPWyaqdB3fszXWgdTA6if//7NOtm+97bmvX5BOBd3bqh
+qFbNx3GoTce+aEMYQvQD90KW0ERgRz5prcxxQTCQT9UKyhdKIaDPPmmshGCd6/i1FC4jmF/KcTY
oGsPdMi136Na6VMg9XXMzIQoHUcQIISDR+Ag1k21++vgYJabfWR2vr5CMf0UZfqOgAgmTN9EbQ6Z
qpqJswBBsAOzU0j0QPI2ivyZX1uNV7aV76IC0uR211QTcH9uEWQxPZHb2G1Yabm6xzclKiDIyWGs
FGRzGoc5XvBAETcX8Z2y09Dt08xxcdZeGgXK3CQNc6/pa8MzWtOfgBMLGe6aGK4qm2KJ0uQTrEfm
pV336UVISOlmFincwNfBlMT2nGlItDp11niWgMRbr9JPIoU8ZGwkOWQL9aLIzZnvlMFUR+Aj2SxZ
QyTtC0QhDDcm5mlGjTujj7DrF/qy3zgcvRncQ5YhdAuz6jyVNdNULUJ8gQP6WIuVol7Jg9Ms84NJ
U1cQVeyrEN5IFE/SuI0mpNf5NO/CVdNnuduW6rEqmzNc5o3LETyQqkFTK+e6MyB33aVTo7+oSnzW
MucvM7QWGQqZyzsTTbhtXqhAXUsobXBZ7UA+ocVXkaViN0DVFDsIIKG2dssg0AtbMeRCbOGWBA27
4YZ4aEl6o1MHXIuYxp7EAs9IkRFX2zWeUUtV09zPymkcqXDiRw12FXIuiBSLrpLMNZWYhE5620Y6
dFFf4WlBIRjqaCgasDhEqSxwTaZBUdZ3QYmo52P+NTCy0M1kPi9QCGky+xPj/QobQTpPusgtUTmF
BBufZEREEAhTkHll+WmDauJZZXFGMTxLr4o5p0noRT5O0XXOyvQOSijgi5WGRG121TP1ILMmW5Da
uIYJvuIZZMBVGKRnIsJ/qqK+VBBdmRgOg3RBQ9dtU61ru+tmumxzt9COfwoBj/sERNTNgBUvgrV1
JpvqziSBPk8cdFaH4be85+d9AWlzMxPzrDFAZ3ewvCEHzcrAx24W+Y2rtF6WYQ/iU38SgX9fCNs5
Ten/sndmvXnj2Nb+RQI0UcPl0fDOfj3GTnwjOLEtUhRJDRQp6dd/S+mu6nRV9wEK+G4OUHUVVGLH
byRt7r3Ws7YgMTWOeKzWYDt7p5c+iI+8hyOfEHXCkd9maonELhnlMaoJvEmXnoyWUcab9RHf0156
QwwmTqVKXUdD/lNdACTAd166Xbw5WHI3qqLCq8KXUTVDbtZpwuEr5Wn0pzmfnTjO6MJwao+tztd5
VF9rt6oPktLhrolImtmgL2a5eLtkEs+Jj2O61hQDXeNlo68YLlAny6ptJgyXnOFp1/5xZIpmqolo
MfjT0V0T99gn9Bh7VbuP8LNkfRQsGXpEDf8WqlWj10z18hDq/tA4UdGoVUP80w0mdMfDkxbqHOLD
nC0hjYu0HgsdepCP8AsnJHcNrGI1mi/e3JzJMJ1UsFzTcHg0sYEfPYo9WjaeSVGtmeTe1czTF6aI
BGdD70Q43fPaPid8vhnF+nWsMONymF+ZUM0zBOJTOLuHZRyfdBK5aMykm7lKBVnawlke+zJ2B7UT
SzJm/jDfVENwz+WCVsh6Zex3J3+aZLaM02dIqldWe7dQ4a8wDe76Ju7zxIzfq4rM2cTXry0dgyzs
E3AYjXgdRYzJaYF9rv3uSVE0lk6nStPiroFLtPDnYGrIAcQSwBDklfySKuibhKm/j/B/Im//6xH+
+wKjP5/iwS+nOOzmMNi2OsA6/smn/X6IY5sHjEpgcNuYFKQuDtDfTnG8cwbncwAvLErxbpnNo/5t
QAqw4J4AaXcjD6vbwiD5K6d4+ifjCIaXj7f8EXQEPoTYjYf7xZKhvkSBmAL/ZlB938UXp3UW2mYg
OEeBkyNs+G06+QEvaFR5U4bqtu68ZfHibNGM3Cat295Oqndwzs/OkUBGu5m4sxTWH+VZVKl4XAJp
b6c57C4Igqgf0CXtyReWP4aeHc642SGK6jn+qHxIrypMqp3XDIRmca/VKwUSnmaOSXkx2A7dQAsq
yQP400ry3ZjI+3QCtj74Y8SmPKVSgdHw2gz5+mztItQlv/Ez4jYiB7TH74SYqie/SenD1DktfXQb
eLrjvo29fj2uHWixbAhg8s8FBrrax184udvJbIAK4BhbbKKWN7jO5n4AhmdR9wc/LDA/GvcaRV1T
CgJh+IsDQkdkveFxnM/Q54bMDtCXM2KW/pVPU3AMjdDlivmkwPyXDR0kMd31hScJLVwzpORscK69
VQ2L/ExQHBho+uDpOb0BZbMwGQT7xRub40LR6BVqDR9WbzTxwTfEK1Tc/NBNS09dBJjrhjS9PiYY
Yc3D2iTebhmIXIOc4saEZJ5CkXP+YVf//xZV/g829dAX/pemvu2Y/PhzOXDxVb819YDYUQwCLPLY
1qeie/+lqf/Z7+MFq+QfjAke+t/qQYJVjfgPC962Rz+KocD8Vg8SvFwOdQWv3sZ7bMKNWfkrgsmf
PFpMFD44gwDGJX5OgLX/XhDqIbZNEyTtreP132qmISJP7XdvIcfWEzJrojUf0fHFuMFdE+/WoL6k
S3+1icCwv1FYgvUim2onH+LJ39XE3bkqeLTM+GUSqyk39XJxdVVEDrpa5ulnlvhd3nrthZK+zY0z
HFo+volorrPJC99RF8a8c0Sd12Q+z4l552By84S7SwHJp4wWAy1mkWvpTk5bDILMBfRKncdTOkG+
caNcK7nspFru/IWQwq/b8zSTIINi+TWA+1xASH5XbnQCmNAV/Sy7rDYjz0QdZITCrJdxerem3oup
1jprEsbhTjs2a2MIHE3UsHytOzymoq6yuAJPqndLrKqsh5Sb+XZ+Xml9A7D03FXdmeIzoWsDnCZ8
/8EyXpi6FiWX/k3l+U/V0uqdQdQGvXEA9GQEv9txJ4G0FBxEsLC8SrqXhAxODtWknuqcmJ7Vj9pv
ulf4J8/LGtqzBgDXBRqVzbMwSfvhdQaoyiTfi85GqGpEZaFdVDYFlQ80Nbmhtf8c9GgvJmZvHazs
Ljmf1sIna12uKfyJekidvaOmh8Ch76St1B5eTe7BgTmr6E3Pb7CpIN1Eb+MSqP00uPt2wmQ1dFao
59Sj8hFHRcc/WL2+25k+rAG6+HjqFJqpgSbJ2wB4uML9fXS1dA+z9tWtP1TpbSiq8QQdJQ/TqZQW
4KIewO251GU5DdPlGjQrpGGmhN3D5X6x0hYxE/QmmNUHlG//4Ko6RWGPErpmf4sXaEUAv0PH/e91
7vFnzPnPdW77qt/qHLYdYJVNCJEAmigKya+UXbABc2huQBX9syX6V51DH4p1pUiCoGmCW/RrnUMu
wMf3QsOCfaZ/TRgOfxI9/1IvtmUbIdaohZCFUYaTeMuO/dr4cNnhbnQb9xbvgBvojiTrkKM/mn4M
GFRMyOfMFRU/OJWWeeOlz5U2NKsGMMGExN+1aB9jYdMMVFExgXADucq+T457HE1/4U4DM4wMTcZ6
U1SR0TseeK82nmvgLBazYd8fewModmW3oBuOgqY3oEEzbxjTfKoaMBrLqrJ4xBDImnK1ThEHutA2
gvjnrHegp6u8ZfbBDzQI+9jJCZcA/zEKqc55cigb8so0Y9Yztqur6Nw2X1u2vIJNmLKGNA/j0LjZ
0I+5J6DZwI6FzCn3C8bYG7cLbykY68z1wvNKuquR0zkZq/cutWfmR6/+EvH7cAbgW8vqBnINzWrf
+WYHUo7I6b0NkKIzCxZnHYdn5rvvdQw22nawvaO2/TLHzvtEDD5Imx44T26Wtqalh89QufyGrd3b
2KhxZyrOSrtoIA5+T/aSVHCPwDMPifiydNXtONlXEWEK47F/mZN+r0MOgF3gjDLocZKx3vcVueV+
hyJu18NkPTeHx/ncROkOAv6NNXTv6gQ0fNLcS+GGuZHzJRnXix0Tt7RV95VREoCW6aHgpPy5HxfU
Kq6/ktWe7dbV6VF8qmS4ga1bXyivrymM2ELqqLQjDiDYCIexSods7Osnvx2ObkdZnsQ6Pdlo6ko/
ou+yjh/ratlP3M6lUOK0gH5AWXY+0DGf10juIqDu+H8HqcA6Q71JSoUTMaONvpNj017SWTxFF+Vx
dO2AhSL0DQUNgNjE0/gpPMzL8bCPTA9CZRrqHf4gILG+7BTOGJcbkxlnfPQM/AbCv4WLt09xqmRd
Qs5jE6c4O1VYSCnup4YuO4D4u1Cvbb5Wply20EQIfyfn63DTpe2YNaLSpQ/T2a/VmcNfaNNpzXg6
3IfcnhqKgZ0OEPtT/NuH1VmvRCObwOLlx1Sr4YVKDWyuTkWSRUrGD36HvCBUuUE4926X9g9gWES7
92aGfIq74w6NssmvPnk9f1QkdXOqWvBLfXyK5fw8RsN3zac+65S6j+t071B+73XtMUkEyYHSFd0c
gyeMTcFad9glRF+9oA3x4bqyj2MnC+bmoPQclrQKobq18ZrDQRZ5x0ShEYoJouVtjnz0DPNrUiWl
my5fcKFpljTOcWHORfZ0T7lzlKnKIu7lddMWqVMdGrHseCLrbIYat4TrKej0i9cPBSVLXfhi3hkB
EChgzSVmPc8197N0jvc2jUCdCFyQZz00+2WedlNicyOmIwO8k8G0KRYxFpSlX0XT8Gwc6MVsrgkc
jHQ3iwh6B5eHtHevgU5/jDbEQ4CJYga3wsN0SzTchFNzxMDSoUNxh7NvLa4tySpnOkzj8GMazG0z
J8XYhE8uqwU0xuGy8hhtBZFlyPEUugnN+tlLdx53H8lUffTRiLvTiCMEzwRhGXPw6njOnZ4cwkDc
wdtBUgpofMMISAhmcLBPNxYd0+yA+xe8zcM6+dYGU6aj5DCBahwWd5/G0x2LzIvrd8cqnHeYwuKS
Ny3q3yydrIvUQzClOmfrcBu6Nfq95rCFDDpmrlW0PvWgOntf31c+QKHeZFFPQImkS7Gu/i6KhjJw
PLAjoylGhfZytcEuJfrsynWXyNDACnLgyLvf22r0ocFMrwGyPblFfu3oxfWdtwVM6vreW5NLmiwm
X1eH7aLVntyI57GyUAy7GjOjw7YQEpn2CMzcBa2z4y1a1TT5DPx1J0WHSI0uofTCP2K9zK2jbxfd
3ek4+TKzieaCIDU0C5KWM2C1rzyolqLuzGczTmc6u8/tJI+NVheaAlmYBvYwrX7hs+GT1Es5TV53
pfO8A9D0BcL2iimVP6MCl6Mk94NTKYjE6TcnGl7mfj5bQSFeAkvMg26jfMAHog2kM7mtbX0OYefl
Vbgcqx5uWOZV/RIeIjhcz6Z1LC88R3o7Z9U2T+akbF129AlvMvSIK2xZ+h4iKlcsRqElH7y3dF1v
vUEEJdoF2HK+t5sHqItV0H/G2vA81fxGM1gG0zLLgir2ohr/Tgn/IeTSZkaF2UzHH5h4Cu2mp9hZ
bsdoPq4+6tcQQ82QRH6ZF+e5m9VTy3yegbwpuhaxrWSxt4Zj1gnX5HGVHWyAqZnuB92wkrRxcwil
W2VRZcScCy8w9PxLP/UfjGt/M0/+1Z4ghwicF0KCHxGQNhgVN93mF11m7LEFcMHEd+s9iuwr2Zm7
Pge2lKdvTw/jDcTfUuX6wC5kbwt6UDt6Ishp3dC/B/lN2tteafHLBflTmvV/WuRh3t/+2OH+48t+
73CxiHl7+VwClDEJg+0S/W7PofmFehdi/sSE/2/+HLYZoPPEKvYQswy6WHzVb5M8qAgCPS+OQFRg
v7P/19CHP0c3YgRV0Ct7MVBLvJ4cmuSvt1Ay1306JXS6bRiCf0mbhjeDnM+JbPucTMNzhBxY32iO
ziJu1w+qxt65n+DKLP2KNmXLJKW0k5lGTEnX4UltuaW+xUzrbVmmmHvOnm35prCju5oj8QTo1s3r
DvI9sCgEolLTy534GZNa6u5bSjFxOvDgshjkI6R7fwxPZnbWE+nkTKt8SRZ2mlpeLH7lHLQzfNap
XBHFcCuoXQpQuMfTYzvV5rnD1o+zD8PlJgkkmGf22E0B7cpELO6u8xIEIAfHLZCslIUKVjy/eMAz
/2eY0kvPPB502ddeTrSvd2TurgmhaIUClWL6XucMfT9QSirtYbDj1RvRl2vZfxtsfVk8W1KID/6I
Zjmsz3ZFB6ybDuooEDDoA0lupxGzKq4w7EUHY+6g68/Kquh1WRtTweRHphgsODBdOnqHdJgeKA8e
k8aV07GLqKPvmSf7A2juHB1EdAAVMMrHCFVsyOhUxSYL4ircB541TUYq8smryR63vXf7SXJerELe
Lc14jUIkPlt67V3/nGhkikd7ckQEvRCIVY8QZANbinXvVvoPTKfffj4zf6uAm2j336djZNDe8J6H
t/GP5QMzJ77w9/IBtW/bPoWnHUlzIDa/lA9k5FMCAx/vPISRv2lw/xqQybYXHu+9xFDx70Ig3seD
hDzs/QSt61Zb/ooQiHH8jydQAksCb/eJUK/wepD4D+VD1okxrUnUreu29aGrqz2toUMNgT1PsVlw
j/vjZZ58tQ/cFQbTPN3JJkRKR4rvQ+irYnTGAww0UqbBsOS1jQKElGmfTzRcYWtav6A6caDzR2vh
2Fnc9XX6QgnmcDMEQT676xmw8WUg4SFRKRhTh+77pXupklrla5/crMOCZ0txc5hafapF04NyJKc1
YSKrw/gm8sMvNcFzqVlyn9qYI9PJgBUMbz4JJZjO+tkI0mUW2R/Q7rHJuVlvIhm/zBWgaC8Ivqat
eolmc065d7ExOksibnRiuxz86xc5VG7meMgxVPYcQ4KXstl5tfPNZ3Ne9/UOBEMMtbS7dLH66ifR
NaCiyShBeHWGu4ib4k238AXljNyvE+uSRSsFLtQiWTzMEUD/fimTREKQMGZBlEXcDnYGhF0HB0V9
lsGSvtoWHma9Wm9PuN41UQ+n3TQQBDyZO/56F1TRD193T3xadoA4RRbU8m4Oo91CxZGBic5Ant1F
U/yF9lVdduHyNWIo8sySroBMw/NWMrUL2DIW0o/3wNXuh1nGO4+2p9lrP+gqwNRq/0tEBw8MsF/l
kUpvGxP717aKD3NSP/bXkGKBAmQ7m5yjpWlyCDM7FhvokD14V702pQ60Af+afKVRBOm3l37WKraH
6gzGS6gfGDFU0Whof37v7doEk45bl4teDmxBGRSi+T4MwQdeePRhlVsf6j68biTwbHr0/q4RZbO0
4XNAOEIPSwKEo2K5kv1JkOjYEg94Pd0NSQ1vHMmLcplnP/fraNknP1VKSSZdWuPcs86+pyu3Q05c
nGIuQIO1D7FXAOhB6PR+3gNGSKPN4PYrwCtJnBSgJw/+xi+oYX5DJuCJuQp0lSjd7cTErYv7KH1R
gYEts5EQfej1JUvrueQxgvIweePc29gJ3YKHCUj7kBpkG/0qwIxIMV5Gl8qMHkYlMBht3eC5iNup
TMDM7IKN1cB7dN2ds/EbLuDi8wKkowLaEWyMhwbskWzUx5ZjO3YjPgvVFvD0Css+BGRQu+utUnhS
mo0gwTF7VwEpocJ1i26jTCLgJq2MXjXwk1HdszDssgFkCubs6jhH6jpXLfpxGH+pr97DsQU+Aa5F
hKIrYz7ywpkdXnQb/mLJBv30pC7o6uxBJzTrq7/xMsOlaY4jGBqm+iXvK9wGRlRvywba+Et/U23o
jQSDM3fhQXrUQRtDn52af/AJj4wvFe5tEDxjCotiQ3pSRNVASLdPSIx9phv3U8+474INBVKyLkME
5TKngz1n6l5eHH8mNx4gIoeJ/jobzH7ISDVlnK5VMW/U0VRVKq8HkEjUmhsz8ASEDCilNmWPdMDd
TMLaOw5tQ8uwwhVHLgPpxmW9V1UXoacKwEsIs+YdcKigH6bCxd+U0bWvYICCmsLBXu3MoptC9To8
UFyvjbHiiDFBMOrvRRicW2BYbuU+VZvL7/nmVG2+f7BuGyLGn9siutkbvvKUjLaMRhk1+Tg152ky
6AS0CYQPgKWS6AvZ+C1Jaxpe/u4JcKzjaMf5+d97gt3wMcr/gFL/3GT1z8044KVBusLfg879B5T6
59IciNQ41F38iQ0H+K0hiLEzB0lKvPz4p8z+K+9HMGqgE8AORKjQ2Fgb/pWGIN48xn8fSTFNABPA
y4U8gu4kwA/x6zzBATins67iazWPp1r3Rt5oCzE4b4TpOkSU2LTuEzuOCJyJen5W6dYlqxR7LM66
od/mYHxExmop6Ch5bvW0721d8LXGQOFKv1BeG2Uqbb7jX5tlgSSsXJwRwQrEH7w00lCPnW8I9DxI
geDKBCHzXscdfeScHVI7w6WrprxFuqx2mXPllUwsPPi+hHhYf1s6Te+qirLojrZLfEckeGZERYBW
ZRHaB1WQSrjyKULQb1dBn7TlOHuVRmp0pOx5CsWIECW3L9xPaVCMXB0YbZrlAInsBomwk53IA6nD
pahi+eyu7dMUsiBTtPsBKhtuHp2+I37EckgIZQiqmW7JmMEJr9Hko8WYnyfKIEqCD3OMUzgilFm9
HcNh13nYhWJRHGQcll5IX1D1k1xEHIWRPPLE3jYNsuqLw97xruUnMYUfbgidYsT+mIwk+j4OOBxN
HIMHi++f+XXHX5cNxOaWHdw1tUXfQ1kXbfLUt56/U5JLlFLtZNCTDhQmpzRmKIRlx4BiCQkRNM6Q
iVpBsXFZ+g3sA7ix0DD9TUsTOXA1NCmhf1B88XDScwutbPaPi/EQo5vcd1elRTJBSHUqUuGIG/dC
pm81VWckDc5jkG4Zcwf665o+xlULqQ1BpLly3km67lp3PsJJvdZDhBxONRTdsEYHITGFjSDVtXKG
LGKWZ5MjfliazoVZ5Ffc0jrzUyASUaj5DrfXPc5YnelEXTVpnCxcqztENO9JDWatpt5D1Tko6i0C
u+48kLwhZsxxv0GiVV+nxh8yVeuTxhXU47TDRMf2M0FnG7m9KlcZHoVZbueevHijvqaaPUGC4zlz
x2dR04ctsYXDc9p7deQcm0gHyE0ND0tcPbnWvV/7CY+Ix7oC02adpYwthTdUd1O1Hpa2AjM/Oz+G
3gEtEnZ8vxB0oquXQn2cMNXXZNwnsRsW0JDWk+ri22aLB6iE2LybZJBj0YzO+tBe0CW+YzI+Yb0J
rPOR3URNh40qbnzGLOnt3RSg+VL38HlDUYRe8za4nQXVrm/TIfxqHOrmeNRN1iwC25EmrGZZNr2/
U9AYOxgO8WHdZt043rK8UuGM4eaLb1d5cELcnVUNmHVs2Ue7+Ot+iuOvxJJH38MVNoqzvB38Y4Ly
i2U6yYUaB30M8LfcFWG4s31zy+oIHAF/EK251hT3tqWQA23DsQMovfNr2e+iFja47bDGpR/mJetl
9GQ9eFfu4H5WfvjqBu0P1PdjbwM3Y7XehG7/Ixyd55/2hxDiWVjtl346PS6L9vYsEt/UEp6xXGmB
XozEKVSMOJyj+6BJsBaGjS70dNp/DyykB5/AstoA3Yn0N5Ezg/rhak/M+n0I/G99kgaH1JVz1qXx
3ToZWSSaol0coggfNZAZNJMfYPzGoxvrR9gjbY4FCe0BywgW7OHgDWpt8NpF4aMWCFBaxKZ2WAFg
C0QjGyw76iSQT/dq0MGWnAQfZl3SAjulbprGx+KnSmF9FpcpqIsQAj2izZlwbQAG2/5wDJ5kbwR2
4FaWXNlMsNto7OcicXxaBH7/YGUEZx5+VukhvMeZnLelR6Bag6VgpFmKpaHdjYjtcRHVq5DzXAgn
FCW2jcD4CHC3dkPzI4plnHVVs5ZEVrs6DJZDJIf+qLpwxzHkFDSO2l2SrCJDPVz3sulfh4Qgfers
a1vt8c4OisgN4tFEIcexjMCyUi1gdjjAwSIQ6veR9Ltd3HtHZG8vTcwwmYkm2Y+wYAuLtS7wSpfl
hAVk7xzA8Y4isnfyuwBDFHrSks+1PFAp1y+rFbg2dnFgF9eQsiSua42IK2Is5ojM5pBhS+matwSx
wTY9Vel6dtgqEHXphl3FMTeJqkCO+jFx4uiyjj3auwkT32SWu26iT1isteBA9Nod4C+WTdQZYE/p
H1EvTCagQu7nRCP559VYB+dDpfJaeqcZQi7V6hZcMbPvuvUc6OoCVLvg/XpnhpGXQdO7hV/ZCOnn
4ZqS5keCIb0dK2ClcQodG0tlwLkTcLHJUlZRDWt37YHRufbZm/ib4s5dO7BHDi47xxKPqGwGL8qG
sPto1/izhnkKPy4ci4GF+JbMl4Vt3W8dsuaZmdi1SicMkJ5rCtsPVa4qfpaJcA/N3NTPPW2BV1ff
Il9jssOjiyj75yD0NxI4wG/0tTO4lUMtfiBslJZIUXPYvO3zpBIGRpyh/Xec+9Xt3MJp2Y3XkQo4
Nj+34J/zEGcqcQwKmOd9zMl4iKfqkiBus3fZcmoriUV13IElLl/EMlxn6WMsX7A5YEDIGxf01I/e
mbTYtdUlnxZbu7IIxDg2MxyqsflIHLNDVkrvR7hnY4fftcp5BlSAlRBnAdN7mGLMU/wtnZrviIrm
nXHcrBni48QwGRKd1DlMytM62l2LzDn2SmGPTtON53nF/cwqf9j5fvgRgKDKgEY8sqbGH0YBN8K7
sGFLnAFugVKRsD06t1d0YEc2Q6VFp5MFOjqtRIl86tht1CdZldoXL8A3h9+BFQTNmduI7gOhf4RQ
Xuq4knmH2caN4cihiYGtMebYCLcn1BPFkgTXmbMvg7XA7UfAN07X33UsvUCshW8I3WFyBpvFDcGq
tVDsJzWvhfGbMvKswAajDuMQEKkdq/DogD9EsRiWR2F6fLQE0SOKvjNLWlY6Mti6h+EYB/Rkl+aT
egQUg01usadur9b9CBrUT/bDIgsPjr3Dn7Bmi2dOiP0bbkL22BwIUzVGIxOs34Nk27ZXf08idkFk
bUDL4VJcrP4NsMMWCreIL3dgLs94fJ7qZQaUppNnr4sxDiukaYcyOWAx4sFX7dFoXlRJ0N1jjZ4A
OS9ZhIE0JJ7zQo1SyO/52I9z4jM+cgAFxSRmp1rjLPfYd/QqXcKcIqwU1rqtMXb0JSk/KcQWsplj
QYPrIKsL8z0bkBRzsKGwkNyxOxaqIhR8KiqjvlaJt5YyMT3WGNUe8tUNds3IR4ss2m4Mwk9sX3oJ
GRR2gcbLqZiGY5keaRy+QWG/mxl8XJj2HIsMAVag7xpzzsMegITxMmdRMLMoJGzu4mAbcaTh+m3X
Dr35lC5ZndJLPwBfa7uwmHV8NZqBDo4vHhYuYa1Z8+bBPB3T8AKDAN2N6r7jbFngm7c5l8mXkbHw
hODbB+ABuV8bFwqXSQ6hme6gAcIu2JbBYJTI0NfYIqrk+2AF1tRR4C2uWgEfRJewx7YWbrAfFXId
EcoeUHcvqQ328UJw2JFxPEwGT3Tj4y8E2ZPzEFzC6Bm0N2sEKrhBIB7dburxV96zPKS3vOOoAGBW
ZizSHMDApYm5OqPsM9npW0Gad+xe41ntQfRc2FXV7pUAdmuluYb+baQF9sn0xTA49cm46gUbQI6a
sm861l+6VA1Zs7olcthzFD/O9Zij770uvf/KsCgwHR1URlEf1yVej83UvuIH/EIZIg4xesGS6o6d
URVeQ6HMi1ixpVD1zXnGjoJiNNirguAgSJYFolPkfe2M+zY3/N5a+ca7BELqqHEnpN9aoi4soC8C
a4D+RuD+Af+7mH//+0CPFSX6P5G++KLfBX5k9ODlYbMYNtf6fvRrfM/HbyE1BwItBnPvQzv45zyP
N4IhuYeXj2zaO9DtCFP2b/5givXXZDP1MHz/I1D9F0jfnztz/32ejxEPjNDebK4BqLo/5PdMN4/Y
FUOD23EOXSR7zNEuIRj0JggAS/aonj5qkV5eYh/+2ViHP8DGXzSCJQXZ1kE0MywoPWC4h9yaSVfe
OI07ZMnaTcU8mitCy2MRpgNILzV9X1L5jTLotaJ94GGzl4s++YH/0HcQNJt+mbK080dst/UvmO9J
Vjvxl5GnKm9TobGoofqyquaFoHvC6b7OeTSLW1IHt56NyrRXp7jtj5yswXHFSJhPWNyZGzrvsbGu
9JPuEx7lw2RrcpIwMvA4f08YCtO4Ps9wNREhhhQXYOMLmm4hAcFUuTuDVca492y96ZVDacsppwd/
UhKnXwx6lwYAwBC2ylkXXLnoTy0P0TkPw+f/Y+/Mlts20y36KucFkMKPGbcgSHAURc3SDUqyZczz
jKc/C/ZxR3Ycp3Kuu7r6IpVIFEgC/zfsvXbVh8IZpQK7VGqdo6zGlhhUZxrIcj9mNJ+c/oFrZkUC
QKIOVrYc+FeNUcgufjOeUZU2f7GUPrnqNfPTHPHmln4WXhTYDU7Y1O8he8BTzHGkw0t1fKWcvDBv
rHMTjRlz34FPjR2LU+O/XiXZOMBzyUOYlsLwoh5VtVGDvtBGM7jIgSo8njiBUwWYyrMcsRWkpoJC
RA3W8pTGW1Ud07UURYoXhwuDDWGgaoxsY/A4AQ7xBWcwWpxUa6KNJpf+BmJmysylVby2ULN1rsZH
dpmHuY3PSS527RTMbpRZX/w5NpzYzLS11ESqO3VTvBa+OXlJF6RrOQ4t3ggxsTytbK+NGc3GY41G
RkHEkgU1UDWINTcIgi2vK/VwTX0Zb2XZ9132VqrTqKp0YWKlOdnMlVYjHVXEtmtjBVK7irFyOFMR
lGsJDg6qviTac3QMXqCEd5PSXHednK9DyZocqLlvRdpAdQkN2EuVre1Lm0OC4wB24Ly8RRS8L0Oj
x/c50B+nCe18O3WAEpWRUociU5zhMwO2KWcf+AXNj1ojprIGZMshrRZooi76nGTwVuWYh34fZNJW
buNNp6drnxrVGcB/OJmd1w6GoMzBkdg5EjQCty6zdGWAK73MYrzEY3djDFmybpRY0D0r6RXYsHYL
WeZLm89vLVyBTVuifElxtp8iKCErlVM+rStjZ0yDfzQks/csP9duFKl7iOyilVy57UaWf8oohBN1
5aeBv8qcpQTOTpw6jRVWnhRNd0IaEOiEgbGSe3ufZwoqyGESyL46VvYNWihAc1Cy4PPmubSHVL2N
VPW+x9u3Qixwl1Xx3ozz68FsVpJknhr9xTeVQ1cY/ROe2PfBaI+jxlAoRynuWkM3HDvm61vbpm+I
arqCIJGPCq8WMnDse4ohiEpsTdITExXh9Lb5MKPbcqJ4thbp5ufGxFEDRGtXxNMFhOix0yMIbgts
N8+swksiQWnWh7o7Uho5fYQVsuY/zxsMC2aj6ptp4iMUVXbupOA2Hf0XueieS43HgwXpwTWT+hAN
4nVMDAPXsAqArSkCGnSBYEGFIqjVa1S6bKJm9nJp058aa3jsDDy7pqRdI/iznCIz852l6/yXrcyg
P2EaVrbFoYvlLfCVHIi4v4nlojpHdrsglWN2kqPttiMjad9IkHNFLvwz4xmNQKavi3w85Ur7qdDM
Xd7pTzBXwPtmgrZkfoMUBw+tGLdcdLoJFcRymZjd1DCvwpinjF0wPqyHVWJLBfoqsZUqYzsNlRsr
ESusaLgAXz+mSoONN0rfWsvemrl6JYLSk7SKdj1kPKqsxlTwz/prCEpi1UTdlyYyrwErtuu+mHZt
poXrzkyBmScX2FUSZwGDXXU6hG16yWzJFVF4lwLjDI2chi7N3S6LEHC1q04xaif3G5OqZ95SLB8j
BiYyoInGVlZodd79DlUe55g0eYiVG+s6WtSFgZHfyFFdr/+77Pi27ADY8ve1EcrtrvmLeIoVCT/1
oTgybV0Wqsa056uL8aN4CpyADMofqMBXGdT34ki1/0A0xb8CPACoH6XDn8URDilMSyxOYCUt4AP7
3yw7FPMvyw7TlMXXgAL+BAuJ4I/LjnHwAwBivnZO5tKcdrNRZJBIQkYrZ+BUapZR7EjK1vKX72kX
3k5aoDkJeht25J2M8tGIHFihyRoBquY2OtMOeWCOYY0q1UlfvIppDlY8cF7nqmEupgKTrRuE+hnT
1sqPr+MKIlOAmhpCNFRpCyqUNc08M22qKhxQPuDEpHcGKaN1rtsUg2Z76KCdOMKMHnthXCI194wU
WglyyryfvajCzNXLmYw7vLjMWJoLo9ix7YVnnRYA71qJWgROFU/T+dWO64thVPK240lOC6dcK3Kb
njptLjag4HLmSWnBsLP6ovrBK+LIdpVJ5rqd3lEosI3Qq3UvqYGbZvlpVLTHMg8QjiKd2GoN7M1a
RUSRlIIxRYGqZLYY+Yt+POCIiNdKPb93GEG7oj8Ie/CESXdbFl6jNusaWCSnW89JQh9b9+p7y62d
sMiBiuBQqR5zbv1ZByHZBT5yqSVngceDtTwn0rTcgnhZj0V8l/Igadv8UtbyIeQB42fRYtrILj0f
abc8g+QxqnOvlYS1sYxyL/TsLW9CCAimf+SMO8ITzBcifW7sUebUFzFS/7zEdRoo60YtgvyC1HUq
vWxRAgdyIj8h/1qE4H3yCZEwhyXzkkjpPtlNuDEVO1gNFv866oZ3Kp9mFTcj89h+3LZTeKXl6MuR
yaDBb8MvA3pclGbTM/yju3YeL6IXL2pd7umTn6M+tlcGBJy1GWifI2XcD3IwvaRhlTDbKOG8qqhf
ehijuow9QK8vwNa2JgLjY2dWd1PEZYE2h40RWGeWfYgBwxl7uu52YcuBkhj2ujUmecvsT8SFBjqw
fehbuHFZqSluCscwIQDB06UILCk9fSl0fHk9s5ci/BQwllyl3YSIegDYEU+Bp0jNczQU24LbZpVb
jMOZqlMvNDPUAtx40Ix246D5sBuk68mXnupW3hulKjh34nuCAwIokIrJ+gdmAFhZxcJDaCYmNIhi
z0hgcEIYlV1lMf0wki9N2J7LTHvtGwqeFEVxMsVXliIfSjVEBV7YhxygpoNdul/FmP3rMAqduO0H
rxqBpbUhm3rFJn00sZ5ns1hnqb7DnPusJmp5O0sGWp7QAiWr6PemFN6OIEhke3iqQi3alaG9m8fq
4AdWefCL5smgtgLBfCsZxi5UrbNkA5CSjfdSm6+yrN6CDepWszHNbknkAgOZ4KbvqU1A+AVd5NVx
aDOhthFb96Px0vTNLlTi7sa3sCtFebqh/j8YLUPg/x5t3442BLm/O9ry9mv2FXHgv5D38bMfDjhd
ZZFL3y3ImrQ+yvuUPxD/sq7/s8X/vs23/hDLsMDWMeHK+g8HnPkH7Tr8e5bw/48Dbplm/NT9L5Rt
ZH3M5vjfIj/8uM23M3O2F+//Oe0jeMCruirkfToKbZ/TaMer2MBnFQfUpqQfWEQyuLHOFmIgGSHM
mWKLNr4byUxIrPG2l8fj5AO6KUMGgaACYT5GMyjd9mHIpiuTBAY9MpDWYCaoFmvqOHL7dgamBVIb
ZrRBGf0VR66NFs0ePeR/X1SLJcfwVaS6BEDAFVTW9RIKMVvapotjiycv5SmPzudpiZBoUm1aUwET
K1GXd5oBxUTriJzA4I9VYcb7NbSOtsRS1ORTpDhiWgUrPUsCV4+GN4PskHiJtNCF+QnyRrTqSbsw
wHY6MBxYt1o8P2jQgNM+GYHGerWcVz6OkHAJz1CJnlGWOI2+sLbNErAxaVTSdNtvU+Gz+B/P8hLG
gULvOVriOTIt8RLyOmgL840YifCoe0pqKyg/B7JGw0HOR1noSL2WbsTv2nfDV+YrPIKvEQuOA4UD
dGxdyRwaLibmloCBYNYuXLdwFS0UzoLDwxuG5CD0qkfKg6aSyr5uNzC+mc+bESIks9ikkyqzsBrh
6IYoigIb22HHEPs0ydboJjy0NxYgHteHC7FqGVg5LJRCBgLwnyc58te53DChlIvUs+yhvVVYbT4A
YQrdQoaZmjSpfAJRg1F8SJLnogaXQhtlPKF9y3Ahiuo6NJRoZ4l6PFa2jyJrSov9wkygw9W0+OgP
ebkgfcdjV8+p4syZ7L+NViRZMCilapcr8iUpbLEOw6G8lyfeeM+3sClKsR180SxUcNkixB7aiVUe
2uwpUyqnWeTa/SLcbmpguSi5W56wjO3XaFKOjH6f5UXyLVXdVb2IwP1FDg73ge3WIhE3F7G4hmpc
W+TjVSaDfV8E5SjLYUFjw1rE5vkiOzcWAfqsJUAZFlG6ucjTi69KdSW6Nb9J1xGxF4ucncFH/2BD
lN4ZVNhOuMjeCTHCcI8Sflwk8QCH3XERyf/3Yf71Yb6Imv/+Yb5klh27qPmf81tE+fjX5/ny49+f
53AbNFPBjWMr0EOsBVn5H7eHwOrMGBUUyTfDx3+muSo0S5ufwa8MBRPdFj/1fZqr/UH8BT9Goplt
fZ0B/4tpLr/nx6c5qSN0KfiZ+X1wYX56mteYmBu6ouAcpIHTKIdIC50Pb831N+vRR5Sm9jXq409L
koX5BaM0v4gMFJJQuKgfT4xMFLJdptNICgijg7Bjw64ocb0xs/E0MkbCdg+Q18Mbws5PYrXPGWGh
5mCFUSBrsI2TWZtEJjCBrU5dLUGizzr2hifWz/K41poO66NcCnNes8NfF+Ugl9skBFdeMyzyxhEw
e11QWw+ECHp1qJGIVQyxpxol4+feuCZ6IfBKMONuVwS1F0lBqqyDuoglL8+AqN3m9Rx+Afres4yO
mD8CIZOlNQAUTQHsiBJbXotSy3iWaJms3rZ5icCirMbq0jJZhWs+b2ZpkTCN4ZNaAimngnfgv7Ex
s5Od2ldez15/6AyBGFi66sL+QU/Uu8pubutkPgZ5/2DoGJQto2LmHGls0zSY9tUxDOOdCIJkJ+ou
ctGhHgYoNmTRWYhPC3bVI0wpsqXmYtrXOpt1lGerNDUNZxn81JERb8kDO3aj/EaBy6CkVKnyfdRI
Virew7RI3cm211NhxE5r82xCZpFt2nHEWK368wFZ/aH3JW/MEmw3UeBR0tYuKF90AFhhh+iUDbq6
9lV2hYTAefNc73yMhCHEDi/GRucGUkIQGtCLoBEMyMZ6XYfZLefNIVSZQEtgOD4BnCY3qw4GNATG
ZoQ37IyCc0hDYcZzzs0A2o1lhaU8Z6oWc14maFoQTKLuDmL9VtfwD6mj1m3Bk+nMeWzFzXzIX/LU
nioDCW5g17s+GSevSOV3aoDP2NtZFAOqP6h2xo41TPToUiI+YGq9aANEktEvC2lvJ7FgIiR/wlNM
ty9dtcK8b0PJS0OfNISpJsWNEkAl7SGzLn2eb+xYcePaXzdCQow3JNshVZA/triBVd54PTe3jdw/
ihmPeomemcXOC6CgUyGj9Yrqca+n8vXML+1FDrg+dGZNMMmWXpVGvEvSuCu0+ajy0GduyWSxsOa9
mc3WRo+hapj6fTULZwn16qlcutZqDyyJj7oyXQd+LJh1ISfwE1Z/gfK8hN279SCOtpbTZGrnKtxO
dLgr4Ca44wE2m6F0Z43NvcZqdQyS0dXD4FrroZqgk5hoQqMD6rUdjsXUmXvxUErhHerue4BjUBiH
zZKpp5jjvrKlPVEQKANjY1/FtpcanGSW2bhqIci76LT2RhviPdd30GP5hVSw2CFJLXJYlIYbRS3j
q0wbk+0oZQpiT8t8aqg/asDok3+ftX5yM2JXIF4xFWuNzAuGjm3oVhKmpzhl3xFyzDuVgvVr4LbA
+gzLlZmFRGwfvESWr6Wx3GFU55Si9hIdV/nW22xYCM5140FqGFv3jUHsIVWHn5YgWDSbqUOoJqzc
u/QApRUSjaLftDLLLrVi+Bn0aBuEiA9ML2+zMmHhMsC26UnO2aD1fzKM25hP3q06aXbNsckZF6TG
yS9D3uwZ23NiFG9aEMc4kKeQW44wEU2/k9Fp8j5OiRdMwTFmEEtUkX9J2uKtG+1V7DNNiqllfEm+
9Q0+ZbV8abpkTfm+7eP2i1kP51SfYwAQYBLVIX2mMdyEhvmy5A10FnNnFJAZ1J64ZB6eW2xjpmPj
M7wBMxOn5jqulM+Z0Y5eWelunPfPvep7oPZKyvvupWm1TVnzMSfDRvHNR5E3DyQUPOqiwBQ+xrdj
Oh1ze9i2leAGH+LHIJwgtXOLjuOp9zMvyHw8aKlx07bzWW+M5zHUrwqUN5bWPw4YgcSA09Wc+02v
Aecc5XrFp7HOkb5iZwe8HhueFuu6M6ZEWrZWtAuaMVyHak5MkG7coqnnHUwFq4HcvKv6aN+q6Iib
SH7mJCDZkQ2cFOXXBMe12yIOHvWpMh1VJqQH1zGPG5c0wJOac/VIXo8WckbCrfai1Z9txvs+uTml
lZxhNm2h6joN1Ew888mrZEmujraW0CIkyJ3/KrfJnvfajeYRSZ9i77VuujSlzJ+pNXsiMba1brz4
MrRmkkA1DCBABl3IKvOGMh7SYBRey9r4xZcHVlBz/oLAF9nMHJ1sPYVzUd0hf53dJC+2fYDO17Kz
6UhbynxEoW6OXgy/OMg12l1FKVo85exDCk0brtGNAyuoA5XSuH7K5ZAoF9k6M65AIZRX1aHByb5q
wzHb6IbxKQKG6lZyID0NpcH3BakaXUDps5aK0s8jZmxXUYHGu8OknEjw8L/8vgihn/5Q5iwlCDQ8
OmCqELAS4mdanUh0AeDDl67i+N5IHhL7TdO/OZ7BtP8aGf5PL7FUWh+M1xPfYiPpeAm5gk9qnrvy
PMbXv7+MH83d3y8DrT+1oWrAwvnxNRSlm2DHRMFZhs5kmeeZzdZ4J0nu719mEeT/WLDZGIpxDTAY
JxVKBqbz8VKIKptUM+mDcwddukKO1hA9I1X3nXa96H2MhoBE/b+txP/JQfgQ/76VcN/T/7mimnn/
axOxYB2/NxEK5CMB7ZH4jG+u8Q9NBOnn9KEsRL5j3L5vPZboQewl5BUuwV6yov7ZRGh0HthF4LUZ
xlf/x7+yjP/41dfJ9xOYTm1M7bjFNW1BUX/8vrQ+9PV0zpGTsgGUk+hoBslK7af1h3fmF52E8nV5
8uGLqfNUofWR8axAMEC3+NMLkTeVsBBPhmtdZ7LbEm+irfWZhN6I/IdCCXgqDyZrvrY421N3rJLy
3lRq0lgg764GCvh1Uovk0Nc6wsMC7IsKjNKR9HJB0NVPQ1OWKyoqhv+LkiNs0tuSF1wpZXpdyBGj
UpMC06qUCi3zQmFChIBKwDpU0BxsNCwr8m5n19bJSFVJ9wTgtFE0vXU7IHBYP1Brm9qjZJknW+ts
lGTqU6iBZcfUeYup7EbKCB+W9Ks2QtonD2xGSSvc1XZ/NfhZwDhC3DP+RfAX9L2rLMPlrsd3IM2b
Qesebat+VwLzJcgmTikcYElnsrmYomu99g8GER8b09S3hu3XXhPWfEJ1fV8YwTaytGCVhuGBKIa3
fAgTGDJyyQSC0zwtxpLDbJEjYG7biHZ+4Um6DILID7aY8UwpbQ2Yi4qztTPFfd0Ep2LMOqcQ041Z
dR6DyS1uSgnNC9lUg6ZikiBeDjqTfitNZbrKWpT5pv1it7gaUXd2i6ek6TSCBdhn0wGbfH6xh5/x
izVhbJEN/YTGnNF5juSmYgElzOlKIQl6nNh4DaGINolIr8mjiTeqOnhzpp2CAMhNKzTP7nlvwyFh
1m7ovVtWZPSiakGcdAOrZXLVuXmIDKjLAdkkSGHT22bodkJP0AGq8ieZ6HAnGKaHNIp0ksPmszKC
TW7CuCdGpf4sUuWzQkG/Qsq5BVS1g6su2DINHtqkSwbcajQL42iqZD8baf5pjsun0MRRlBnFHfsd
BMuVSUvQoUs0h5Wi+gsyhpQUvmKgnLUB4hU0q9c8plPdzJYEg0c3RgTkMiJbgmKVmlwebahyVzaH
DazRRWdA05CmOhxhxJ2yj5dQUz8Psr2LdELGZ6ylFIhl/4DQf1FDALyiDYmWtQ1tlpvEyk7FGykQ
FrWLcdaqXtlS3ohEemewkFAONxeyiRf9S89ot2lXI9agYkjETsp0lDxDf7Rqln4Sw1o9SpAeNH20
4BiGZyM2GxqH8hREsr9qypHNKOJ2rTmWMYTDttkOQ/tE6h62Rzte9bFMelNxSgxuWTVPrtmVHFJJ
2s0pwqUwCMP1PE5IzProszFMGQU19c7YiZuwNbyxaN+xjQ2rsUMNYpRPQ70G7r4LtZrAKGk7GSYy
SPll1ic4O+nUOFP6kmq3/dCgy+n2JQLcFJNQnNcrZYOJNbS1FqOluh5UbduTPlyLkD3cXPaeasbt
RhYow4Jee8k14bRjMbi+VAPjGkqvE/l5KoZnpgwohCbtoW1JlCglcunulklrYNGlbAslo1L6h8fo
j9Em3DSICoXGgk+HIsLU5yc/XtMg+PUnY7omWd10NM/fj7fFCdKPI73mj+CcdqgwHP/Ajq1zGZPs
fv/6PxUx317eNjl3kOnpaFJ+PC1qH4ibZHTzdW++lv7OlgmaH18kav9//zoKQzJTYCzQWPr/+Dp2
y5kVEQ91LaIj0axOmr7bwQ7Cxj+8zo+n37e3k/eTM1Aw3wL4/uPrVLi29U6E8rWhH2oDfCY+Xu3x
99ei/eoz+3gxP71IF8pyowDWvMY48IA2ed1v5c+Wa4HkPxHBEjg3DE6cbKNs768sN3Wu+lO0eWjW
/voS7wdny57g2Lr8h26x4f/rh9//fcryZv54MuMnABZjUmCjsfhKh/1Q/aZEXLKslsU1Aswr/yKv
5ZN4DPakQmKFcydn/yy8cXVVbYatrq+yA+v7C8q0DTDU1dc/5b/wEIUv3t8Xkif0eO/1+/TXOnL5
uf/UkTJRHiqf0oICoSCkIvwwjGaxp5ogRbgnv6p+vy8XjT+Ih6SIXPQ2Jr/t+ySaITXlqElZYLJc
XJBE/2ISbepL9/Lndwh0FaihhUBiqSo1JBDQH2+krKTEmFg7XmUqnXsp+xq7IPPZtIJ1YXaPSmvc
Y4Xyp95TKrFWKuvStcG9n87Jin5FXZVaQob8dDKOcSB9UofkPiNAzhXqAryr8zejJfF1QmRfZgg+
AzKaSuxFOvbIVYgScsX99yLlffkmWso8FfTAOtYifzOH8XaIamPrB/We+ginzSKJRxqfI5GfpRZf
A5r5IapeJ0T02Hxfa0T1WP2XWInx1H7V2y/K+xIJfse0Gicsqnw2ZS/IKqJDXgp/LQbdYIod3yeI
+eVF1a8h7/cXnb9hIUxB+E8BdYWWc8U5dWvXXoI9oGL8RczPcI8L+Jnl1nbASNAsjgIiAly7wYyE
20DELI/S6WrEhUAa7apabAkkQH4u8ClQjVXEJgxXNmEVGKOUnVZsIH+T3lCsFOU2qE61uSnb5Lla
/A/8iV6zOCIQhbrp4pFov7olFt+Er2GhWpwUvQGcnS2nF/vS0VjcFsXiu/Cjbj0U8U2JIcNYnBna
4tGApbCtivRzvbg3WqUpnRAKcL04O0DMX0+IAbFGMbJe3B9hjnBn8YOkGEN8DCKNHqDgMes3efGO
EDp6DInPLTCVjIZvk7llHgfsJmlpX6EycY1YXzDK8XEIoPoyLDFJamZWt6hZF/dKvvhYghlHi7H0
umizSbBY/C5RhPMlWjww0+KGabP52m7NV72UdgGzxE3XKIBImRcqynQZTAPPL1Jao1I/TRidV1oV
3+Qii6kZao+C+V4vGPFk5EThBbCOFcTA1CpOZTy+9Nn4EDbNW1mRpCSGiRxRA0dREXcxU3AsVUnc
Mu/Bet5XyWMX1YzVLIibUZhd/EZTodGM24wmaMN8JnfmyRicpNipSC1ZN1pf+DzIhCzPGoPTxJA9
XaS4ccPMKXvgJlOqMnXMX1LB6FYMp2LG7TS3+d5v2qNMcLKS4dRNGTlZvfUWE5xlh4FnaEpKt9Lc
Dc1C1JKIwTAo0It9V2vvBRKVRA7Okpy/5E3KBAYDIyOuo6bWB7UrTl2fLLTq8ZJmvTf6GK46A/v+
sMUGw2pD2+jgAKuAXCBNhhAyqYcyBaXayNdkJ6ebbia1FSb3YLJdbbR5Q471uexScnxnc1/byg2s
qgPl8VZLmPJOKdTLuFdgO9anAJNzXvafmmgyWaMrt03RPOL/PfhjfEIND1V0usnlFPEbN32SEoE9
RI9ssjz83tvMiKwd/iHP6KEyRmbL0I8tPYl3Fy0OdhCJL5nUs9yQK1zODDBt+Ukeh0VbCqvHVrqb
IdQZtGHPmU0M4/mcPXWtijgVse7Uuso4c35a+Ym57wtaN2+QhnVr4/qL+ue8ZqGhy1/mBu8XQvv1
3PhPEVyoRRdM8vGNEtEdkNGVKuzicbFPo6qin2aoUxvpAcfYUWP9NLYdlR8baJKzz1qfIjGamEQX
wWnwMd2SPfvWR63lSHV6Jcm2VxX2FUEwLMGGcZNVsljTRjxEojsiAnlUE+lK+PHtvHyEqqW/lWLk
bgzWqjIcYBw9jnJ/VoW4klkWMFMu1vU0vCoSyMSoDLBVVZDUWz6LWmDV7YLIq6zspVTV04SfAyLT
omyiG8zJgGwM8WAa8r5C2c8mzNUb6ULcMeQA7c4MujXj2TfG0bez3gbHHCjaDsPETYmwUFoojD74
AW3WX0RpeKTXOZo66Nu4NbQ1kazKNhk17uXgPYGc4ph5IR8mxtyCoLuNEABh5IgerdJrlvZhuVJG
C3pAIG+brHtqhui2yufj1AV3ft1scwn++zhYD/kQeVwzdsH0sa3CnvjZazwEbiz3KyU2Jh4rI4Py
4jy0AaifuaH/7bdSOnvtbO3QeV7mVGzrwOatEWepIkU27KcLURO3xM7DkcUx4Vo1DINeDJdSNU5N
ynm/ThtJSdfdUEUPehahxfMN86DkbAYzK+03YQUdtppNJ7J67s75iGKFIWbNJZE5RA7v5JlBbl+D
v7WcrO3zNUTSylEgyNPeIG7A8v3W474gMibecMKgl7NQ2ZVKShAQqPmvGeESEYrEdztFb/f7OB1J
upCmLzkJWTp3MWI66B4qBmEgDEA+9TR97NnaglwyatcMLaYPYQNbN0NhtKqz4DgQaXXOK9E+xcJE
kQEBTNpAtdUvzZDPhNPNIJyHVMPu22eaWJfDnLqzkI6DWu/7MroGMLHRRlA8yvyQVf5NUNWHrmLW
ib5ipaQWKD5RPWFij1dmMKxrQf/KltDrNB9vdNu+9XHHJtB61nz11A8Th0zkZl2/aX2ksWpzV8qA
TCwzfOXJ+iCr9dYfwrOswxyO1UM28zbZYbTmi1Qg1VCfylk/QKA/IYFXVwxs2EwlG6Kw933HEV1P
neUatX+OZUzXSXGDOC9yWO3tysA46mO0FfWMl6HcZfbg6IWcuORRBysjVoGYZbf0n8iMpsmFi3WX
p0OO7jY5yNGwk2WJiRRMQ1F7yljtCAHypIT4SLM6BGX7CFDgkOZiX6uctKoFgLj8tPju4yS4jD6V
wqSX69kP14AgVnrVvoMlPwLgXTV86caxO3R2+slQIek2pCgySbupF3uvEq3IiZkcNTO24SjfNotK
q82BZ0yjwIdLgEA9EPwWuLaPOaGzm00bi23WKU+9pa3SWIwbYAqM4ZAY+XwfkS1WPN2TJ4C/K1Z1
5KXXytpOOtQ3QbqTyvjBtn1PteZrIr9CtsTiDkDKRo3LxwKingvGiHEgswO/Lki/iodujWjzatDl
Kz9QX0YZQncUl4sCyovtaGejydowWjr0yfxeTkzuStp1nu8Etit8WYJi0NHmmuhIp1KsabqtcyGQ
lmrdukgtFHGtfEk16Zi247ySAnXTINlxfIzTyKXkbBtOxrM+xNOtzZPGTQiGGkeLaLGheBz1+VJK
xjNSCn9TRtWT3FO+yEa3SZoemHXDVVs+TtHl0VPBhO7h6mwDMFLQCZITzrANtvz5LCn1gajTiuxm
9ORVnX3pxdhQIjJC0vinKYEg0le3QTSWXjpnu8FUWL223XGul1Nb155GwY0Wy6xC69EmYnTSrkQS
XSWkR2uQ+3ZmODPP8WuMVKP6SIxGsB9q/2I36bMcMVlabncDFq5j55zmCdrsZytsb/NSu4hhjI62
Ct5ClLuglO9gc6Bm0EFuDJ0XAEOT2V5XgQwERKudQM++dBbkMQ3VX6Badyw991GLY703qDNBpTdK
+zSJ6sYewVjmpXkVi+AqM2N89Np0yMf4oUrtZ20kd5Tn8EFX43zdBUaxUVrtec7snb3s7WOmwV7e
84slkHKFiFq3hOy8jVOUZs1X+UfwVQoyilihjcDjq62tb3qRRDWktfJNR/Kh4/vFgPynScSy5UKR
qWDxBLQEEuqnBkqJZBllTR6dY7zQeX5qID3Y2u3vX+Sn8c3/vYjBAAmNKuP4n3ZQiT/WKoO86CxP
Oyk/yRKTVO2uHe5+/zJ0oh+awa+rLpA9BnsomVWUbC1/xoeBgo9mii5ApnBXvgzFvaR+2zf97bru
F7+fBZeQQWPRbKKY/fH3N/ZkFIWRped84IvG1PH1X//9JlnEvEO8UTpW3h9/f2CC1lB1HF4WfYd+
rdvfeGh/+/cvA58/m+W/vj8//f0aUPhQ4lFKzIknYckXm9p0NciO72ns/v5SfvFSi9qXNY8GwwuS
14+Xklpg/FBBJWd8knAQWmylCydzxTEslf8wTFv+7J8u64ePZfmKf/jYZRFlSKHSlDHaykZhS9/V
usuyuN/8+4v6+Pn/dFG5iaGis769kBq5+FzHcMM5shzF5T98135xX5qouZHycTouKu0fL0rVc6Xg
4M3PDYgwGLDjWvc//f5yfvV1/vASP3/d5kanVtLl/Jxbr7H/rEn/j68zbFiNRaJQ2Pb9dNdD6tJb
TVLyc8wTUDUJOIxXv7+CX7xJeC1kg4CXr3tn5cc3KZdy6ntDkK9pvg7mFY4kR25vf/8av/om8yU2
CYghWU/YP+0Pbdwc+QQQ6FxT+E0rq3KEfkFvXZTurP7DN/kXr2WB6WbUbgIgYf704/WQjcSQDT7M
GaTZ/7J3JsttI2kXfZX/BeDAnMCWMymRombJG4Q1YZ6HBPD0/0lVudp2V1VH7asX3dHhkChRROY3
3HsuqY1xuYzwJNeLkhrr5vPX+nfkqU7lvx55rrP/W5XNt7c/EeCqL/w+80SACxqdwGG0tkouyx/9
h5mnwdSay9J0UespZer3maf/hbU5gUIIINSgVCl6v489vS/sMGxkswTcgtplT/8Pxp5kMPJB+M+R
x9gTSSy3GWt0i/UB3/fnD0odBqOjGQNxyHb5IFUe6kAwqsYIFyZO25y1WaWmsh98cuyqWyLcoUoW
GtOKHJxBqw3FYQ4Za6Qzo0GGpo+AUcWqweS1rHiWN7PC1uXxHC/YAyshVF+u68AfljW+deCo822v
kl+t0YswV4h7n1BYFmkEyMwE/QoCY9mBhLuGCNkuHh+hQSkmQHXblBE9IhkUO0MPX6l+7kZLv8AW
fyI5XFXcgbHQm4TYQMeoiGqgyqX7nVSibUm0LUzd56AzD50Ltigi/FangdyEtRste+nqC1gBLy7G
jV2nUnOb0Zk2fjm+u6X7Ljw/WeGW71dtPRz90XrigC0OTHyQeRLIaw6AvVRCLz/mq1/kVyldumcN
YknuS1k+jHjH1kx7t6lBHJlD9hjm501YYhIO4L/OTv7uIhMcVU5ZmVVbm+QyRHE30k3DHS4MeuDB
CdcpyemrBOTKutfGKxExPY1D8yEmFQ29GyI50yADw/CgFqnwtIQUtWyQpNZ3X4mop062IMwhp7ua
VfSap08PXoY3/zy2WAkqOgKs3WwB/ctIqz7mPoIwpyTSbdLbWDMxkNtzNm7zGEpkHXMuV4gAr63U
vMfmTHruhAfTVPLQMLWeZx1WGuo6v7/r3Sw8YWCsDrOeNz6wgnRXOeVaJvqNAa2XvaoHfRhsMzyf
+EHhnHHs997CIuN9ZYWMqSq3QulZMk7XtPIcJgEoMHKTTFe/Exp2HpmQOd2jBclcFGsFbzH2miAZ
H1FVvgkrvww0ImZorms6NDA4Quu/AcoE2mtbz0wqvjIgJZsvFNvJt1HBMoA3dWDQomxXI0Gimslc
s0bTyshgNSaC3Ov00g0EAUVwsLwJNeVcfOhqIjL0HkQ8hxSVKg2dxaAlr4arPTkmJvxovMmi7nIa
tDsY4V87NoToInyUd9pFPTYn3QruxyK5mGTOXyswH8KcwUDUBHfBKECT8g5VZmhvrIpVfUqhV5j2
cyDkvaujucxCWq1RQ0UgYv2ltf0b2SSnEKIb3CuyicRwJQ37xiLndJEH8XWDANr13KXteQeFN+xd
eVFpzks4dQ9KoREWDmAPR2Vs7ayGaa1Oy5u205PTe96WlUeONBxLK8ccdLkaqJiv6APBOOBJipun
ps0Plj8cU8vcR/r8AP4OlTgbkmVtyX3VOPGSDyzFnZbdANZ4qawcF36aNQtUrlsga9Yaq7y3Djoy
XnB+5ZvSZy9h0zInbFT2QO2WY0uCloluW524nFIG9EB7OJe9Dm2NkIdNz7Qq1IklNXCQ6rwFnEnX
1gRXsPdfHRdRYSXce9O1j0jGk6XVA4IYJuCZpTrimggyWKjfmn5BvxahSqzafNFCcfENJ9vlULCN
rINqTiXB3GN87Ofw1tDtF5Fj4g1N70jaRLANQ03bIFm6MQQsljokX2kyxYvJuGRtFBmZiW61niyN
3JTYtJVddpMCG2i6ObhNauT/cWPcFfFQkDMp4tcq0k5uOQxrUhIIZowfZTRcNTTbTMs+Zrb+6w7Q
OxQPHapKXRnLuHU07NbtnD/m4GrC42yGjP7coYTw6lw4XnPnq3jmRgU1z3P5tZxjf10RckOmxvwU
DAQ1i6FloaUR7tI3Z0SUpyg0EJQGX0cSoQ0VDW0VzSGbzXUa2oz+OueaJOhj78O5dVWwdELCtMdA
AXoY2B4VPu3IgLZ67u8scqnjAFcfOdXJoKLSyBHlp5mffJVlXU8PucN0USZnPg+8CWN/n5N+PTsY
wTrFgxn0gn4cvPzo08aTmW0AfNTJ0Lb18b4wcevZztklY7tCWM7UnadaxW+LzEWJoiK5fRevQaxi
ugvd7BYKayXjaleQ5N2oSG+Rtxw7LuMHFfftqOBv0r+JAK+S/Tx7+l5L5b74jAlXgeEwg8w9pI94
5as4cZhyBeBZSInEYBgQblFGqfjxf6uy38xR9C9/XZUpc9TxW/f+J1WZIj9/r8qIedQ9hgiwqj4D
rvmnP6oy8wtGJAN9H2pCnAFUzt+rMrysukf+Ldtm/Xee9feqTOCAFTQQKGM/0y/+WVX2a01GCWF6
nungpoXx8KuikYzAvs4B2+C+PDehvZ64Y354U86/1Xc/2qJUz/efqo+KScdWxaLd4TfEtmv/UvW5
pEpYvej7q9ZOkKo/aPqVz+AamVWAyPbUGuu/f71PteffvqL6iX5ordWCIkZ3TawP+zkuybBT0FMU
RvCIy/ZaNqV3GDpyG90UEmbrEiA41VSKY+CsgcSi6g9B9Y+IUfcu7lKIRqxTjRbCpOVFl06ZPRSe
mYJm1d8GLf3wR+2Jdda5NDhCRWkD6wqJ8yDBngrDjLx1gyYcIFMcspVzt+2UxRsHYPkmxPa1DUjm
WsaE/SxEg9WkmPFMEOh7q0mPrX18Q8bIhe8gtRHxcKnVAX+lhGUGGbcLcDAreyKl15XXgcoPCDRS
L0rjDIUDYqS7L/Qe60QSXuD+xJap3TcaPoOh+DrM1nkU0W4Qc7s2KM7izt7alXeAsD1CACgl0/im
3QbRdCx7Md8KgFrNovkM2SlV3o5L8E7CDmZHGUsYz1yxzoIJ0YzlVRbalx0ColORz1C0WmT3uNjq
l1T3Ll1XHtnLXVYi3o+pPDZ+wKotPU2z+2hkRPfVGhcGSc+bxoxfAZ28ZVrprKVjH8fKPgQqkCCt
LrtAEss27ScrPutzvSwCnAPjdCknTLAe/IsOEyxpyPKiHfTHujexUCFpyyHUOhl8ryCf0lPcF+ci
7ShM5SmdU8AQqViMFRV52oGdqEdO/HZI9YVNVwvq+J5tHZI4TQ83Zl71+76X3TYLzPbai+vpMptK
shM8E0DJm6/JKzvybtqeJQ8pIEgMomZjsOAIsvjcF9qtHIpNpPFnKYGHeVB5Rd69CVi3oBySa5Ml
jN+jLY1Gg+Wpu2J7cN31HPBtNbCvt7eyGTbkQ646TAa5oa/KsiSFzT7nQV0vJXC5RZelw804RTfE
0u8bEFpe5T0R+7YchdOwsNGsZULCXWEBC2MNAouZGzhgoEzOp5EO7zppdQWrTUAbDNKFzzoc6Yhl
xVgXJfiW8BzFw9F2kl3t5NtRd9aZKJaAsC7atsStwYJ67tSm8sQ0d2VKbc9BcT1hWkeQobcLpHmb
2rce7KZlBcVkr1aRdIWTTbsUgBYxEAXTfha+1qQd0na+ayu4qoQ/n+KmvE0GfQXFlI91AMqj90xF
kP3G0v9Y1hkSyoSRvGwbImFamS+dAIrm5zHz7yhCDe3++tI7Z99e35s/0V7xVX/ceDpyfOTev+ur
lLz/jxuPRDicwTbp7tBQdCUh/H7j+V8s7CpKvs8lwWCfr/p+43mAHcha/5Rzup/Ex38wh8AG89ON
xE2E+hvMNCHunkmO0a+xb8MkB7uzhbzqRjISGRo8lgMSblXYZn54RSJs8grqtkCtat1ZHZTrwdKC
W7ZbH+DcNyjE7MWsiubQq9e6KqNzwUo4boKXRpXYYwbejE3mje1n4Vb3y2Arh+DoqdI8qsRLb8W3
7jA/Rqp4N1UZb1b2knTHfJeKipAASv1cFf0W1T+O/lteayU7oHQ8xtEKbwwsMg+NTDC7xy717xnM
U/ql4VvSekfUtNc4oa4i5NGlYCAx0ImYyCo3NpMBAqaG82iiRmB+6y6EamHyLF0GoSrA66VVE21K
3BUVI/BVQzU/vmqDUtUQ9VNlra002LqqWYJd6O+Cyr5rfBJgoKb3ZM33gI8XtWqx4hwolIFVrVPt
F5P1B8d/y8tg1ZiU1rRoYuieep3AhyoBP4ZcnujNiQPIHXpW3OP0Dip2PxhiIyxmQL4ePYRGDunf
05B6MBpiZ0cAxLxLTHElY3ESqnUsm4eSVpLL4YLcK5a780rp6oFU7/sgvTZVDxo67o3HOxTEgAa1
stnILDs1tK1urL+k40xsDM4M0D/0tj5Nbk6zm9D0mqr7RROAqa838NbRGhuJd0dmEBL3WX+AKpTh
CUsuZtrpiraa8uMiVH12S8PNbOXrSANeWehHaMixe290GnT8na8Z89OFo3r3pgrFYlb9vAk4StDg
66rTr23/yJ/pUlKe1QQYBfYHyow192GxkMwJiM9qV6Yd35ZMENyESYzOTGFO4Bw3RfnVKtxnS40d
imn8ZvcQi/mQk2cRFugnyD01huwt4BPpNxYhBgSWETRy6N1pV7odNQ4ljRlZdw6TjzCOmRsF9dnQ
oYVwT4zKtksHp03JSlPDk8miNNFJg0463qS5wL7qRBC0bFJHGYGt/SoHzq/mMa0azQSkop7MnllV
+wyg1OKZe87xqpRqqhOFLP7nzr4n0Si6nmTj74MUtVMp2nFrD6g69F7acEeMZD2puVHMAAmRYOej
mahBVwVRkEwUdRCV7gfo9wr2B+TcJ3UwtW+LwELlxjb6IbYT1ZIym/OdmekTuagFkBFfovzzkgTf
vr+dKtmuQF15q0422YF9rlhjyFZyC+u5HBxSyGcetyziI13IzuXyJqSDDcOSQKRV6PnjrVeRWVai
Phqj+c3sRtLPQ29FZu1G54LuU4z1M5kq+De9aJV6Ib2/OI22vUA8uZx17zF2KBs8qtbOQ5/VdfvY
o6dFe5GN5TmL+w38dKCqWovuDXmhNnQHOyrCU5aO96nt3vLuGtvat09t0pzHur/3U5+BJ1lvYSBf
Wtd+KEvrKddFtjCDGosrLM26nmelBXtwIoRC5ZxHSyQvOHUGkNbSYiAUZZe6JNmGnM8llSyVKf5P
VvYVoxBt3VjpxzTX91UiHqo6PmaN/QJpGk5+LmBD+we3Zxhj1xStmIXRQ3ShpswbL/TRN55ZXPLH
g0ad4BTtUnGfD4PkCbG6pSO9aM3Cf+XOmo0ZySc0L61XZcfDNPHoETh3aiNz36LcgU3a3SQ9p4Bp
HChOLyDGXKZO1mDIEeha1ayXrFqfsDBGYL3w8KfgJ8bT3r1r0QwUxq+TTdf7zBsr/YSzXlsPMLp2
JnKROQy+aVNOwPl8r02w2QG+kg5RJ7cTIB+S8ND3tfT/gKbTlQjrV3DAyC8avVqWeXEfey48guo1
niGxhaae341Fs9MKE08XCRNBxV8jE8Fm6sllI0SbY0PuRV4Fq8Dtd1XC7VB1r74pMdjmGZ81lFm4
YDNcqM2h0Y0JtUQWFmiWEJa0Qdf6X8287cTx34rocwyg/21FtM3ei+K/CyL1RX8URMYXzwEgBc7a
JpVSbV/+KIjML6xK2bow76IHV87F/xREbEuAsX3fzPBP3wsiaiXP5HvxX0oC4f4jU6Ph/rxT/a01
Z8PD9/QoztS3+6lhhklCHdB7/pWZUzETTzBXEKYUns/SishcO1HeBl+ZdDbXEKqA+UE7KJYzgD83
8S+bwqcZztOXlPHkRCjGYHbhZqLjYsZpoX4DZTjvi9Gq1/3gX6ee/ACpGi/B6VG0m1sN3mnYghxw
6i2O/q0HD3WstJ0GH9VpAPCKpLwME3mdKoSq2zWrEIk64wzE0pw1FrRVMLwaU7Rpi3nzZJL0ESsw
K4pTJLP6tJsMVp+FZryACEAiNDj7BmwC5/ce3dUr3P8jcMWM65Tf7dnneu0UFpZVwXszeYiREiIp
AGexJYAlMjNSxTuFbm4wdjWc2UEBZ6VCz6aW1qwrhaNlQ85vCwWMYPT5MW+Ho6cAtjIBKdAoqK0J
3TayQUZbfbhpFPjWaEImD7BwPZi4bLagIShMLqG+zzl0C4BepNuUV6MC6mp54GxyBdkFKr6n+KE+
iimiDGxoK13aA1Bc8LzgE6wVGU/5Epo6PrPpOndSjkPSHkHgvU354C10T2XFlwErGaxbVjh9A88p
EaUaH52pHQxowYChLhOFDw4USHj4RAoruHCpMMOTDXB4hDw8QyDOtUI+8fe86Jyvc+4e7bhVonfI
tclBd4NbqVDGiDaTdoVbq44uWbT3xDXEaRguqiwrI2L+qGiJDwwdsc9azybZYIi2sefh3YP86R9N
iIEHkZaYI3Aa7HlfKn1tI6/ason2bwMgvv4ymww4AnVJ7NWApHrL0N/OSCgfw60xlRHbvqIxL0WW
9Y9e6Xo7bYY9+e9x+HkcGih8/rpBhHYK7Put++8TUX3dHyei9YV1Mg2/xcIaIxUnzh8nog3C1jEc
C2+OjRWcBffvJyJebptwPei2gKTgK5ksmH8/EQkFAOuEhV9919/mpf+gRfx1UW0DcfKAORlowEz2
6BzlPw4Qux5gsygdee71Q4iVYLop2+0Pb8qfTEV/84r/NBdlgis4313iVl08db/IJgy2EUmSttXZ
kjiq24XttHgoI8ssrHOkNzXPf+mO6fVcxq53QrIunjghzPTa051pGen5aEKBq5btWO7raLyMgwxt
YbyeY4Pgq9laTlN2DhxtlZXafmp9SNTlbadjJ50iysxa3IxxuyOPG0JePm6KuDNWjl0ftEpeaV76
kk1gOmDF91W1h5n9xEaW2Jo4wkbTrj0zQ+zYIisZm4+mF9sqi+Uq48TaxrXdLzXcnIvOkbt6oMLu
RXIvvF1ttUt+vafQ1fe6j9HVMqpDPRbvWUsHEVBcsj19D4B+sPGvukWpjxDu22YDavUy6IRceYVa
4UiTw1noL4oTY9nwNgy7uBuMkPGged+MPN34AR7TfGpRoshXqtrDZDfFpk6qYxGNcuXXwoJpGDjL
oGxumxhqvLDLbh1O1pGeCOlAa11nEtzsPPRPWmLB5hNomUwBWd7sPhJRY2yITYaydXkuSvtCSDhV
zEBjfDQ1HZjOkLHqONXHpC/WcWWyBxy8dGFX86OBtcTiz7koe+3GkRp1oZndydwncdVLn9G6I8eX
1d4HIHnKOmksWVwfWi2mrTJqe2F44WXYvVpJufEhRMa5NJf2WJNElBWPwUwOQ1DDiipDdMxe36y6
gU5QOK9VTK8vJ5Tfwn712jwCjhN/eDl2pdDGSVR3/h2qhA87Bj9Vx+9xTRie0Sa7yGyilQHfsQzz
82C2L0aS6MvGJv4Q8/8+i1OaxqHbUMciabDw9DL0lWsbD8XSKfozq7j7IeyB1mcdBNeoURmNt+HY
UavjXmB6y8LVhi0+cAPO6nT2veTWhC3LEhO+vD88pjo+rHhyP5LE/+oYqUqQxYVsjSnRr8B7jgUG
oyWT8WrJuXIfTvUt/Vt1IDQe4JsQq6iMGFqOeI6QmqPRqIn+lbwfQszPqRvgSOf+HpLi3Takuxka
/T4NM/J4CKUdNbCEQ9iR06Z9dJr3TOYBW7g0WgrLIH1zDFgPw/t3S3PdWVO6rz69zNJu6oDqnGhG
oAj1nRNKOks35VPuZ+l9imhq78yQU1xL3tW1yR1UvedIUuK0ot4vqzejq5GcE8bGUpPUuFSCr27i
5NG2O4DzAY4w96Hw1+N2irB55QCVYk27afrEV5UGwJ9VkDMLHwiU1gSa+Mav0Pxl0ICILluGVoVP
3DraoLepxTTqsHaJwF5X8cWnthRPNJrvsT7WC441xi2zscmzisyQ6YJy9puG3B2/GdnQ/XPYMyLg
zLlpCmNNovJNaVh7aWg34P9XrhY+wNp6bj0HxKN+4cvwjLn4POXRcW67zUyQY+BPb/2g8GMiWaVt
l66h2i/TGoNP23RMu5xNUw0noVw0dZoRezmv2FXIRemPhC57GrsP7Wrqmoc89lPmIu1720HLqsdH
rX13ej6Jgys2lp0IGirgxShEAkkRm/STpq31YRIPIhzGbV035jIJCbZ2vKqrTqlFO1zahCbP9VoM
RQgLNOHcwmdmV2C/yFPZdlPZLL2Musyz8oe0bjdNJ5+kzB7aWntm1GFd670zn7nw6k2T1d9q09hH
jfU2Bt5VPU8nn7GjClRAuES23SquB2+pJayJcnTYd3buTccwj27jMHxJzEZbSpyTFw2BSBSbHRb2
gjxFu4ueC5O/oozu4rhMVr6lHfqhfeqNciZOD5pdoLAEFT8fQQ3cPUs/5QzotcxdtX2FPr7ztDs8
FKQSTr5UWEDiohq7fQz8tl/Znch3PM3eqs5YO7nDsBuMTm5JYMOYkJfTVgJHotqDrx52JFNqWexA
fPONHbXsGa7rTQtPjRCmbTKoAlULXuMS3tLsGneU2k+NMd6GTuPuQYY8lQqvZIdzcPr7a5fi4efV
oEJT2iQ6u/Q6wlFN2o83O6i1yvTMuj+XHunOxhXjO5ef2qFbSP6Xlf3nKkLZ5en00I4byuFLyLDq
un5YQ7IFGTtTtvLswUlLH+qJhc/D3/86/+sl1L//8BLg87NM9pk8VzyYE1PSaPhqV/9DS/qnL+LT
aOKYpsZSVdePL9JGYHiTQsqz1dzV5eWonbRh//e/x3//WXirfniJXzTKbLa80LBHeba927zezDlQ
f3lViG/J9D9e6efZ/+9/lB9eSf0kP7xjWTQ48Nr4ZeqJVVtBJKt56HMCwtZDfpjz+TdpxF+K19UP
/nORBw5VV0sGuKckMqgf54eX68JknBvMpXRATwbzPuHehdHFlP/ba/zGlDLQsP51r7HPq/cm/pb9
Sa/B133vNQwaCsX/QBn1OWHhOfzeaxguWgoEsRwGyo9v81Xfpy80KBaMAIp/vvDnlDHzC3QqDAI2
kxu44N4/Sg0nhfynzwhLMBTajmnqFqeSajt+OSdEhLlx1OoJRGxVGRuDPbk4VgIw04c+z4VDqdXp
Hbe7RerwzEg+TdnV4trlBHPt9CYwI1UZB3LXGANuRlBnryFw5mXpB9+gQN2mQZqfpxQSUD275sZy
EAHQSLVH7MofUcWoM80RR8B1izdEvFpr0cYN+QVSYCc0nMuZPD4cMFlHuU8W7rQcXTg+CSqHUwXe
gNvEv0SilF4gZipWrGmnDdwpiIk17NAMwtISoBOeUbKmTvYwHSCMXnplF1zkMba/VPOhdTBc8qit
XSK2UgSwoy+ildVxDdfUeOyjBWbZkRux9nqAP7b2nHF6V+5YHFia3xlupFPskANJ3mQF5HTSTk3i
vsqCi75mC7aFFP4xJ8lXQiXZrtmDgb0rIKWiYrN+34DNZK0SHUNCKfZ9lLx34Ww+U/aSM03y+WZw
s3ol2oy1GNMDbPN+4V+gKDTWrtS1g12N+qUTF902jky4IE3vXjZCXHtZmNzSCe1lNN1plVOAFCzs
re6V18IlFBdAFTETuo09rqSLm1Oh4koZgY9Tql0aUY9gdGoi53moYDkEupVedMFkdGAhtYkyeW4a
t0F2T4YsyWzxcTKo2RdayHKe2T3fyV96voZD3PNrYomYnDj7qpvMO83ss3hPgNp8aIbCv4pRHtaM
9j1EEj5vQnDlk8FJBmbqfwyGn16axJEbYT7fAm3H5vz50P67Sjfo6f/69Lp4b/5kbqy+5o+TS3DS
uFBmyCDE66ZOhu8nl6l/wXBF1I+pc2q4ggHK95MLWMnn6MLQPeoPlfPzfUpi2XBMwI7o+ELwaplM
m//BlOTT2PGfy42xsU8VZTAnMXHgwYP9xfnFbjnUDXYjJ0FO2CJFeovYNzKzlWBduRWD961lu7ep
VfYcYT6JrR3y1uvZFIvYTJ5jkxzuqygo+3rPoLDKKcYTsNZIgXtxrmgI5bmQ1amy0viO4FzUlJE1
C/ScM5IbmGdfLeCt11NBPgoMFdNYh1SNBJwUZRazDJ1JckP5H65qZ2wg6wZajrLX6ETWPkPgTGgc
RmSjZPBavdvG7cYsxtg45J8g7HDmEWSWESQ0dYqV7VshY2XFzx6Hzl01iqutpejGZB0Y2yF1jbVU
/G09dZsH6P69sUux3s1rq1XU7sn053GdfdK8KxFoDD3tSiO0vGKH309tBDPFLFnQuS5YcBTG2IYV
K9yoorS7Ta2MfSnZSdnVaLqRua0F/38K2/JplrZPrATa3qTB2VWKfZ0Zlr7+9xH9HGZaPDh//Yje
fnttvuXvRfdnGk++8vuDahJkSksBQNSE9uP/onjxsNagffztX354UJG1WLhqGDbyP4hAKQ6/L3i8
L/pnthZgXPQrypTzDx5UU9GOfihDeVIFB4j66fDe2FTwv5ShjGQKFq6jvBozstztPq421hAlazWd
yMXYbVotbcHHOfbwLJP8ooKpu3WpQ1jLxvEy4JO2ClSERqiyNDwH/cBUEB6kx9qF3s3fHBW94ZPB
Id26XQvs8kzzg1ur19xjMWTItnD6bKpxqE80TOgro4cukmtJPPQm9r0DWZgHuzE+AJM/yAhpiJ1e
1RkwBMPc+TFKGD/JCevJrQpSANXLDBB7Nep2y1WPWISV1nsi7Hvpal/TQXuXQ8R1TYb5ckQRyHmQ
v9U5MKJUh1quD/3KaMibkqqMGnz3ZYrgKXEIG8sMTQrKnS5e9VP5EOXltemGa7cEIiQmxpp1Dw+b
w6APwfjtyVe6qVsXZEnwPisGS3F2DWgdVpOeCtQdDHce89pCzhm8RoVzN5DDRH7lxxQSghZn5rXX
QA73euhGQ9jel1qHga7v0FFmUbYZu2yEOIhDqnGxeYSds2IEau9aT8cukDFF04serQgQ9GUe4zVq
UcKttU5FynbhLgUtuMg1a9sjMLmBfGOuRhPbUDIxqjFiiJBOqVlHpimgFUrJrA3j+WHWGmbdIypA
LLfbfoRYgVMVIGRHdmmfOLueSU36UHyK+U2l608+Jf7Zp9w/G+blaAHhGcZYrgtMAQx2dyMmgahT
GM7PpXP3uYBunDl+y7MSiKmP8HMX20awAXBtXAlY/st29gEbmBMSQFsCfpvN+N4DK9JgzNpRyn9N
SXJlM0Ruu7TBzGtVj9tk8u78At9R7rDwCXpM/EZGUWzcaz0prL0urfUYzMV2kEV4k9uQQ0WL07NV
Gfc676XFnm4EBnXHJwAWpy2gT9fZeC4mFFBeLyvmo8NLi7fzQqQmQswkeiegbQQSOunwY4yT5pVB
t9AhEuQaKe/C7/pd0wfNzgREc1u7dXY1lKK4S02YNxX2JcIpq7vS61Zd5yKs6ecOTZOzG12UOTCW
WT6ADVp05QQoxQ+WmtWQQE6ay9qJwcx0NCqbKQ7cQzcRbB1UyzqSD4wnGYMyFELvTBxKaPuwmkZb
26OtlV/TRCKznOtgFXtdQfRYmb6mhGPssl6SHVR7h1RG447oF5TLnT/bq2aGX+06fnMtLSO4jMAN
HL1hIpCXsBtfxd4IFYCTqCicUYXidCoeR/MIymnpZhapCs/59z76bbnG0f3X99FFXITtn3S7fNH3
q+gzhcUmR8UwXPO/akYLAIDLOApbgZrjfC8ZXVSZ/IdbAt/VZ134x030ib4Diae80IJW+R9JDYSa
r/1cMtJUe9CTaWpcCyPoz/MQI7A6AKzCOUUzH+V7049IP0SVlhuriIhBrJ5syGNCXlMgMay/UATI
7FpplcmPyfJVE4NQX3ZCJ3Ji8ty23udlM68mMWCj652WAg/G/IGAZbTCZVbO6XWZp4+VzG/QSH4d
pdkxtbdOkws+yC4c1mViBO1TRy+lYPls6oUJgYN11KRry7EjTblI0iXI+mklrfY2MoKnyi+Izy31
BIhuFuXh+ACRqOUM7uft4DRpVa4ivqu7LPupK462Nrm7CVlerBB7ZELKta6we4EC8JnJ/DVUSL7O
zYOlURWblqMTVRCq6kTboQzrFiNEP12h/TIF+Zvt/D6G+mcecXgfS26u0QIJ6Cs4YJAFdwa0wLzU
1z70wGS+NmAJyqF9JL5hbRcN+/N/H8TPB9H+H4Vh0X37v2XTz//9NKqv/P40Uhjiema56yleCb3X
Dx2cieAZ4h1zn88+7YfCUHzBnaHIF/RpRCL9aMl2URLpDrNrg93xp0r6nxSGzq+zJzJimTmh1GYG
pXLu1b//MJ/0Aw0uNjbKK1qfcmMoAFVjUipkY/EYNxYqVIWpak1u7yxFhgZgbF87xsdQ6qgwaZUO
IIAsot7hOXd6vwvLcI322qEGwi5TFj0R3UijE5G8yAAFB3wdGFUFN2+m4FoC4yBQ7ck/R3V+7ygM
Vy2Vzw0yFzie+zDskAnGj1Ck7vI8Lq6EwVqoJIVs0SPeXetgmw95Fj0GdpiuU9+/9lKmrGNvvrNf
7zehqcm7ovZ3mLMukopoUH0s1lo73tQGxXBZZXuyiU4DC2BChraO3qL1dsbLXDS3aFZxvEzlsXUE
Uu/OIlHSjxBKt68T5RZ3aziw9ZuapRXjtIzrW+7ZDRJJWFcAetqmifdDJr4aRiRwZMjToNBD3gzq
EkoRRgmgR2VsrMYUTXfWqAp0vgnITN9hkuet6ePhIovnlB1TePKr+MBymBjpLFvPnfaWJJmPepQw
jrCMt3KWMZm4yIW0gQUjwJRYreM2feadrbBgX9ap4lalmHTWTVIJirw30ys/UMCg6v4UorKnj4z2
W9SDLG8DZboW3SopUTMSOYMyyDU5UAeq3MyG9ji1O6/0bxAFlOc6N471mIxrvTYqGHlKisxneDub
5p09s15OBx+OvHPPieUf6iFB5k6J7dbBSVd+Fi9IN5DALtqyO8sA806mb6F2bcoR47vhxI++3drb
AkPWMlBraz9jRRCL41RPT2aZb+yCrYecwIFZw83QIsw3ZvnOK4/r0creB1EbV/QAxIkb0zkZUcwG
aXT0ey24HKzmBSyqWHSNYe5j5fuKtFysa9H7znoqsI7q88ZRPrEmGapTOGjiUCkX2fhpKBOf5jKr
YrxGKtibV3nyMDgWPCrBwpJcWrDmk2PREwTNsw/UfGlPBTawipdokcf16a6R6BR6h7fYC0mzy6P5
3qpKBoHmJMllFLde7V50xvSu0mlXBHzcZMS5XrjzsJ7z4aSGv4YPu4lo5XlB+u5bMlf+vivF2yjQ
t8MAgy4zgJgpjfa6Q6/Ag3gMGDKvcPpXh1I0XF3Q5shaX4fljHog9PoFCla+Yhyw9Mv/Z+88lus2
0619K6f+OVwfMjA4g7OBvbEjcxA5QZESiZzDB+Dq/wdyuVty2+7y3JNuJ4qkBOJNaz0rmnepGn7m
dXiTw2ZDGNuLazYclWcNhkbIS35qtFJsF2E1RK4uiKRJdg/Lo0y1zk9C7SWtl2FjoVc+x6gCLrps
zQ8hwuyhEka9z0eHuB01j7n5/VOdfm0TeVH/eZt4fss+/rMuqXzMv+oSxQdJEprUlRIj9B/rkv4L
m0baPaInVurHDzcRdy1m2r+WHD/or3TnF16h3DKAi9DXUbT+zsJCXyvcz33i2qFi8yNIj2QPcM2/
q0s6cGfRlOZ1NubRSYmAFt5PU4bfEJheFkgcRnDzMHw0iAowYucHo0WtYg6Kuc9CBDbFrHHVk/gQ
Nik7j900zClvtDUvtFDPjon6SGJ/22RReVRwX1xsTA3sA8XOKqAncMHeuYvzYaYj13JQyn5IVhw6
Sn7ySvKCU3KDle8BwiRG3fVkCmsj4cL5GjPcrYHDUqVfI4F4QWUhtYh6QzSxWEOKO42lS0lucb+o
V27nftjhQBK5c83odaDw3ycOV/yq+6KsAcglsUQNicjtGo1M0veXNcLLITO50MzHKCFEmZMSG5BM
r+9VEpaZTQ8YMLapCF90EpiHWEdRPzYEjfbEM3drlkZiMOrqyGvatrYZ/t1Ts9pcs1ZDd5pfNTnY
OzuNLg0J0C1J0D2IiZ7f6A1OIG+pGB/nsD4WNvHRBbxLkzxpwTUVnhIy1KWEF6Kh96rBYur2fFxI
o3ba1b1BPHXcp4dhDaxu1uhqd6ZJX8OswUJbHpFge002Lxn7XDKdK8/U22UHQJSIijr+2jFeesAF
Tb9U5wAcyzHnahQUZGnDz9MwSBGvnbTtUx3GxlZvP/GviL2VEcXNOYQTk2lBqFQ/lTWum96LBdPA
vLtGeVMhHpw13Fsh5RuEym2Od4o8WBJMR1YAPYHg5mqVmdaQ8BnipkNquE2e5DZdg8QRWLwYJIub
kQE5cblt0FFwJnmRkAA3LVnkpKfMO2IiQBt0pLfZOBxZsG1aY40wJ8t8WkPNiU3k4lJHu5S88znG
gQqBfmeThD6zhGdx065AjcTq3mHraufJNLkAFauitUddmPty1bny/Vv7Yl7Fr6GZIIQdUXRT3Rwb
2iJoUP6kNLwsmJ35YDYBPKCIbzdJCDK/ZMfjKqTZUR5BmTLkkIE3iuuFHwZ8m6kdZIoDDQHBEIhX
7ajrqe4ZJBLrDR+zJLVynUaRThyyqICG4tJozYZ4sUxlOYK9azogoMLm1FTJ0XGmhQuBKbcVuGkU
iTLaiHHcyb746gBQbgh1XLEyF32AXojD6BaNeuR3eXrVWOTBaeqzdMz5vlWV7KVU16ivBlKCzm1K
Ddt66xBWu2ktPduWKxDSAOAylbAbdRX4ooPANCg00u3tkgAQVQ4jkXoG6RwVPlxlvrDboZlE+jVw
FNwMOZooLene20EJVL3WNnQNh9LCrQ1G7qg4unlUo9zxq7VP0tAovmpcQMg3RGNCYK21MdYxrozt
3E+KtsZanRfe0i/ia6NqX9KiCHdux38rW+kE5ULGSZblZlAVACk6JRVcF0jDVLX1zze0CmIQw1Pj
xvRI8gpbS+pJkoFS1jOx5LsWirlTo+qkznqQFGG/rVzQ5enSXlAoON4U21ySIb7q/ZKTN5OBGo3n
XVEWt7GZsOxJAWxXjnlyogGsaC2CxMxexMjSU+nulwwrTZ7jvIuJFCnV7ILFGbH/gCkosdsgrOu9
NXSfkR7GeH+rwQeywg8ski3t4kzFQ9Gl+dmNx5uS31HOoeA+iopGO8LtZab9M4P5Thr1aQidj6nS
4JJXxbHP4FlG6hSAUbz/p0P4dX79y0XSffLRtm//2SOsl4N/9QjfNdVwHUnR0+gGfuwRuHeYGGh1
9kmGBovz36sk9xeboZZ8he/1+6c8X1wr1ADWTMANNH54/1aP8AdHDcIYbLoXRlecwTQrP/cIix4X
sVYl4pougnVKsXAyU1+r6JtwmVPxBrZWeYbzDDJcutqZR5lXLl5Ri0CaoakJG4ju8oGUxm4hH1WZ
AmK7v5StGTTMR6ChLrXLj21nv9BGYeubenZFHOBNbp1Rh71diwZcnuUDXpBmM7gi9xoQzT5OhJcw
ZbwxtZM5p1uclm8LBH41Xb5oBhybYuqPsVluCYC0vWxJ9t2ABjstly9woPakUlGesv4GPsNLijuM
o/zZTZsvaFzgHpnapyLL56YdnjK1AL01oIx0ld1iLzcoH21eWXVQu+CaJbHaToINUQ8RHtuhBGoG
4EaZMeMiQrAbZdd2GEDmwnlqpEYRBkZ+QIypkjNvnFKgUpRkZY/zj4kSc/N+UIiNNaaDppJyX1t3
sh7u5r5oH3NzfstrBkiL7XEUi2dR8P4QVeHVYroAajY3MrKVrZmW+x4wFbFEw8kwuoPlVoSMhuZx
Vr+RWPsahcPj7CDrnA3UKovDtlpg1swb/QK19kO3mRZdU3201mZNCmP0FCgCfYd7BFO3xT5g3qfd
HDi8TesxORNVgEc4yg1fzlB0eLESbdxe9VOvxtsQX1HQmxAvTn21VjCjFv2hctiU9bYLCxgSVIp6
RLQ2dh0jHFkt6r37lo+NJEPI1HrfygRw70mXM/ETWtX6DMexH8UwGOrVsTs0zI+V/rWM2wadMl0K
evUYJUbFX0kSWJfuqxVCOXOz5nNd09BZYakBnLGxV9teZGZ39lLjZdbtKyXWHK8n7ILOHhepEn/J
J+OldCZJrtp4zywZe64CmNtozG9p3X1q8/Sx9Di6Rjt/iiyDRwG6PBHtOJlIwG5LJcFw1Otbwxxv
Jk2PfN3N9kbcvjiZ2e90BZySGTovMIWQTBskI1u2/AbigvtBLieenN5FcNM5niBJ/pJHylX0ko9+
GUVH+MLfjInJs+B5IVKXjc7JKssgrerbUU+JIMWRWhto2q0qWiOEUSRBGImE9RzWRR6Y/BNHlc/R
0tzibPCwGXVn2b2Uptnhz1UqJM32kvj8UtNG2JmvwCFhxMwBtcWdl7cTbnLJnzghyXcc86JDRu7b
YpVXC50avcCnxZbGyw2k3rtmztqv/9SV73VFQzH555Pn1cf49u0P6sr6UT/VFSw/UAQ0DEAas92/
VC0qm0+x8ihXR6RtIaf87UTB7KlZFBZAowhR+fB/H8shWAJDclC9oONTmUr/xkqUc8R/jJ5EW6Ft
Qd3C+MtX8XNZCTmOQxdL5mtib/UZR64WkhIx9e7jtPDki5lAYVcrz86S33FpeyfZT/FsZeG1GedM
pQkABBtXc5e516hCK8h41rsbZ5d8cJ9ALDxCWvkccP01q0E6ce2XvC7qjdNZEO1wUQutOFerrXpc
DdbZApVdNLFHE2psyB58siJr2ekQnWGwNMTWQEyoNPNLlttP0by8K6FDIA2ubiwOj1Abblrc3gl8
9EC4iGv5qauqieQqnOFcfevNjFdcdagXUznuClzkOjNqyo4Mpd1hwGVO9Q/xhJa7MlaeB3zo5I1t
TM29ApcMcjMGKWzbKJxLSE4LLvYUN3vj0A4j39sgufxWucl1l6kWh81mvl/w6yQjLD617rylwQ9v
pjpq8bXGRsACtq5ivhRLpiGtC+3tlIj8yHmRC61Usd9PYUCuILnOqzPfcLHo48VwpLvQ2g/31lxX
sPTNJ+xTTeZFSWsAlB8iAFDDd/f/ZFHtH1UpYduNjtnQpDa9iLf597ow/Vok4rVghBjdNw01hFyK
LfDBQOTTflmLzLCWGyYdmDcUoO97g5CaZKzFqaBK1WwT8rVsjWRILmshszoenJja1lPjkvyjpeI1
5GFuTGogeXunqbVTrsklMXhC4dVIwVRtgJ9rCc0IgYmpqbOB73YtsgXVtlHN5hGQ5F1UGHfq93os
sbZPwZSm4T4xQ53Y5nDPOrDyokY/YR1XNxQH+zArKCJIaH9SxtbZWHQBNEeBSOgEOvoDhz5hcc1s
I6qawSUqfXclCox0FUmCZwkFKq17uNPpO7Ak4WalE1lIsMjpTCqd37OQXgWF47kMs8eZHiYqIA2s
Tc3UEwJNl9O1ZcEvH++RsNq8gclNpCMqBpunmR5pxGgLMPOtn5Mt1rmTSy+l0lNZCbirkJBuL1sb
rrzNHwajfWRNP7JHRexAFThldGn1SmHo7Zdmbd+QYl7YctwtMbpLPXxW10ZPzLNX0PmZdIBoInY2
HaFumNfT2iI21qKd07VtbOgfGXiuqIy7rPyWoWYdIOFvOxkGVSIFt29D9Stzvkks03cEUEFXkjXf
290XNLOTR+b4W4GpGH9B1nuiM44qYfMbgCwP1hp6P1U5m5jWfijL6OQ04mVx4kvuTrc6Rg5VZCRh
N+63sBD7woVvatnNYRwKHsDwIU+RkyFOY0O1iklG9YHH+Atr9ZjXQkWwqnXbufo3l/vENlXkTRUS
lVJ06rre1bBDhSWAACsmNorNN/eWKUch7N5lGe8VIhyaQzjGYssmQe5Ky32fwv4ty5ubUCVkNrTN
0O8kMZbF3LjbNjVPtdMZN4vuBAr6WLAbK/ugLtWv4cz9IAKLsFTVWV+idxVcwrByE2BOKds+065i
RPJgreJuN+dEn7gAF6raXraDHWc+11SWHH3j0p2y5gKkjxlopTaERntewDj04BwSsA5x3N+1K+cB
kcfBAvwwAYAArgAShKtJ3QNsNFdKxBxFfhoXA8lFhv9Pyf912UwZ/vOSf37ruo8/ErLyUb+VfEQJ
JDZwaiQIk8HvJwACAc3rP6Z8c4n8UciK3ZftNOkOiNaQLXwfQNkY9PH//j+dKVPQHtAp8C/Xsv93
aj7AhN/XfFiKaPTMtSlBIfedGPXDGXQcYPghN5DXM0d+exuPIZ3/sA4B0ZxQHbTw1C8ZGfBzOo7Z
kzqoOPvR3yb9oV4SeEGjtWTnDtsUWTGT1i8gk+uyYkYpdcv8OiGlRwmPJmnZ9lHLrBFNLRofNXI/
XUGA2f3cdfhcUR2BdAvnZXH9vK7W9jVWVq1oY0XaAhs6kxz2lko1cJIM0aRuCy1ql61hq4ANQgd5
XM+LPhhEBiiXrC3DfMxVUNAglNoDelt2V6Vl9PtaGef9pM9D+il1Z9pFqYMILYpSjDfguAHvZFN0
pJXI3xOYCL5LVK6ymet53Cp5a2ELSFj1xpQ2UcD3QfVgvo8mB61lKfSgZ5qG4NRERmDO8aclFcKj
S+eTpTkkmyIqtnbNvyMCds2gGdq1ostTHIHHdtb9XJQw2OI2IIO2VdA+2HbGwq/PWr9Asg7uRiEj
ZzUxqHMi9k5rsNIOZfmmOvmysZYqOtatkt+A7YsZ21U3cOryI7MXM9BzPdpCRTACbo3kEXXgwLPI
TpmAhvwmE3hUgeNgOxk1YqIauXWgD4L50j9i4gn3iDt4LEa6vIJz8batIgqipbzXGeBya8nJSHIr
J4jb9tOWYRjUGq9ju+CG4MsW8G3ea3ZQVUV3BJKe+poSpxe+ZkbUyqqQXY1eMqTCR0nK9tCW8y0h
PmYg3arYdivdqJIFcUyt4cB8Yhwtl5Yv09G/5GXGW7ZJI6qxIUj45u5XEeu76euR1QQuuxXo1Nxi
i8VbEMn+1k5Ybi/Ew2DpnrGscszMd4twiY0ZK7npjKneTqo9AJThBBpOZbZX8xb7XpgW+39em7++
Nv9yUjpX3f/8Xxl95B9/JOj6YVxSMQGw5WIi0hDyiHUe+W1cUp1fXAM3o4GOeOX9/yAhMX5BVowk
GfcZ66/1HvcvRZf23R/Aa5Um3Ybt/7f4satA5EdBF1kCDF8MZLYNR5a56edpKXVsNtelm17Rlyym
DT89MJrnH+rJza+/2o8EWRyYf/BZsEcBimDdyGqR34MfZSoN6gCk/mZ61VdpkvuVI4gxcYGzeKGu
ZdtU71qv4kxytiOmnwGMupcvhFVxyboTdXybJ3C9zTg5SyE4w6mKCTx8wGWtJsITUXyQWnEYxviS
jO6+HtSzWORtN2uXZqlozvVrrA1HkWYYfse1+ReNu7PX1wsRz/Mm0dxvZJVLPOHw6dI+m1iRD58s
lpCBlBYoGcSohByEfPxkwzcl9QvJplSWIgjlZPu90oHdcQnqgvlO1cj6EtOXZjyFJNwGdm7qAJvA
WSvMk0Eistjaxuz58i2QtOwZ4iuWXScDdBO5dZgeVL3ssW7pzhUyjZmt+cBrawIpFm96vdadp0Vr
CAFttDxolcUyA7WS2JsJUaDoNmgRin4ON4Kwhmun0ZQLv37tr8NBtnq+K6UMHBb3voWulSKA36O1
nWSv50Z2HKbGcm74fJ3+as6R3Z20uRoryqh+h9LAnG5iFRVKE83uyW0t+wgXIHrBomc8j3aMfSSf
8Rj15WAcnIpLHPOtKZe9Q0W2PCE7l+mV2dTCPLFVBmH4Wj0xGw+Z9Joomg+jZo4I0Qd72/N7zgyy
dG8dN9tpJnhynkj9dJvkoGDQ32K4QfhHTsHdMnI+EUBe3Up17yJSHDbcRBLfmd14V9WQZKfMIFFO
xdiSPBMNCIgX6QUCloSAyR7FYIdDhuPxlBwt4gu2NtenoO9z1SvdcGWQjdpKEe4Csr/20ijpvyet
u0Wcq1Jhigtxbpex7cpd0Sa3RmUenHiA8Wfl+yqB+x/p4qZz5X3PTPiISd35hIzBmTnzLTlZn1Uy
sGbr/Cxs1AehoHqyeoIDqoxRmugzh+PPxBGss+pvXdd/lEn7MafzE/pCdN3j0Z2KHS8Q9m9LYEzi
Mjsje8B+r5oawWdsM9vxXZgD12Bll0uV+kNC3zB/BdxD3foaikH1pZXrVHFcApk5vphW8p4vpEta
XdYdOQRCWZTLWSu0gx5pF6sefMakl5o/vq5HyF869jYcLdRazh4g5MsUdtuoIFeiEQ3b6wh2RleK
Q2qCG1JnRnbbvuF7vDOBv/tTskScfcPOM0aRXGLyorw41G77HA2ybPpTpE08zL0a5M2EFjmkNjrF
fHL5IRKVvdHc1p8c5+zU+tmYqmdl6b3MtO8HLbotm/ps8/ej5p5JO7yNXY7OWr3V2O/TLU0bbWas
TmOJZL+tmLRbcZUp2WuVqa91VhyTLjuRfneEO3e7SNXPNbAceX4xjdRr8mY+EYVKL0aT4MTz1yaz
96iOfLflwBlP7FcXeXSqZT40S1kee6f6VsxIlZS4zJljgImak55B86uDkKi2u2VWmt1fv3n/wJwK
J1VgGAG6g5WT///5zRvPKthIK0+uqoaVzJi7MxSEOfOLYszPfYGyyR5DEkXigq5p+VDrprttmkw8
OIvDYmqa7oY2PYsp9DPXfhZTH0CP/iRUNfLrGuQHkRokoMykNi8803mYeFVIFpakIcV7Mmq+7fT7
sareW3sZvCTtnjQMs1vQA2yQBByQvPRk43XTQa25fvRhGahpG2hQTnM4ll1hfyMF9x4CzRH+52np
8mMzQH6qq7PTaW7Qy7nyuznZa1Nseh0JEhaayF1spEGE3MXvRHdnzIPq1bF1FLHLzzVGMGg0KoNo
Oz2myWhsXAslgTaTs5sspddYFhbZJLuM9XIVd+kBnHFggsrA88FcXWYsoyCU07lFO4JGtmZUn/Oo
GGFSadcJcb/5UOypa0Bp6ooImbnbVWl7naX5HZwBrtk4anyL5T3qMJq9tr0hgXP0iwXtSdumj8Zs
4FCdkjdX2KcEiwTX+tpz0FJkWfMta0QAiBoep8p5iYxMnQAJ19hL3kN6V7Gts8+iEdweXOVbqFrL
pmbhyU13Iv61UA9Kvb7L+nNiW180ke8I/hw3Dlf4udBUj+NLtjXi6FpfTJWsMQyzRp06e9jRw1Ol
6/KEpLm95HSyh79+VDlU/r4RsZCwOjYqW3bHKzbqxxYhXVo5tcwlVyxwuQocW234VUz2p17+n7Xr
/JJEwqtIknACrWr51aj542fQLbzYjhsB0+QSoljXyZDsk/qulQDf29xLrGbnptu//q4YQH/6vv7z
s67f9w+j6VBnfW3oinIRc3mPjZwNM39BVfzCdDdvYvTpXu+Yz1aosxwiWHacgLTlpUQ4q5HFVbbL
l0qxzxDehYd6cpe7Un13YgLBC5E+Wk4h/SjjwpQbL1aYTayodGvgaSqr7bDY5daplcZXa5AkdjnP
h2Gy9feqTPsdeiid5OHka86zum2EFfu8gWe/J2HPY6S+HwzifHkfPiKC0A5FBNdq7r+hL9hTlB4Q
yO6sTnYbDYS4LmIFzRIdCsLPMpiXQXjkEiBHkCYjVDLdaXHJrSkhzEmP2Bm7QGi68bPpJDGUdXJo
DWWPwuhhWuDjiOxo9hXamxUrl4R6joYnKXmIzUO2pCdERn45h5zgcgHtJsx4y4rnUeAQS9Li4sRT
ULZyO4YLT7DYZn1UeDGzdZUWzqZeUsdv8/BSI+KNTHuvViQ6O9F0j6WUBq5WcA9lSCz0XngAPYlA
J7ZIHao3a82XF8Vtg9O15QS56VS0oqPC+EwONjoVDEHqYznjmAqnyR/b4apm6e+ntXlgrvtgQcju
jUymxjSCqDbONrvQ//K4/bdnfG3Ef3jaJEC2UYNweEnP5U10peyaU/Mkg+Vg7q0zUu3Y+8oqG73L
pXyVp7/+5Ovh54cf4d8e9VVUwJEH3/L6xf3wybG6OmXmGMql9s1Neda8eoeRSj0pz/ZObMXjteKd
n8dtiiLvjf/Jr+az2ByTXXil15viv3w1Pw82v34xOroCDJhcgah/P38xs5DIpdQ0vorFDRTLTSKe
2/HX0fdP3yg/v7P+83OgsPjxG17aYlDiOI8prh9Ru3fn27/+Hf3D78FGPklAp46x8nd/msUEGJfs
JIq3ctNwXW1Nes5f31D/mPd13u9/vvVcw1829Mp/6AzmI3/bfOLT55BoYrnSXLYCvxPRWAbSFYy5
63J0dff/duy0fllvmTReKnQRys6/h3eAJRzc+EcWKZtQEv/W8M6Q/tOP3Grh18yVE2BqYPA18/dV
E2u6aY6Zo1zZZsHMDG+dTRrXfYvIYBXwRYZWUekMoiLi4hY/MILCpK03krFTzn3lczeDoaoWfo13
3+OeWm00OQPTaBzpJ133LovpqUqn11o0l3nQDwvioTMH/nZrsGcKa/0xctugUAt8in1+N2lpQ7C2
/tVSyfKyrY4BX9y6QsGu64TAzNOWJtL+nAxr2qWyRgaL1JTt53bJgEQPCoeDwkUsMzBkJGrtF5ki
d2lUgw+plF3ZZEjblTaQGawxwswJqRiKI3YtmfgmyIvNQga64sMifK3zUZlvUzk6444tosQ/UHU9
3tAmFTWvJdUgrpuFalVJd1eruPbHbi5I2xvAzc/6djSJs8iU9GZI557A5xyxrJN7g0i/9bb9EQqD
jUDC4KX3V/n4qEFcQ9gAskO6pLZwR7m3JzXbIPJ5TUm130wuEd9sDkavq8aTFXbdsRHle6PFaUss
XIznC4A8W1GrMLTbJovInYttE+VL9iBibpj2MG+6CYQ0d8svJRGMLHGr65rcrjM+7NlTbHdb2hyt
o/pQ5hXJPF1QtGvDYB8nM/xiu4LDWqbPh8rC1lMa4qCCLIc51c2oCWG1hBaB1CKHPcnX80zSR3Ic
V5tOzW8fag6sO6HUi2sCQx8g+HNuJgaG5tk+GUXSczeTTfKUdcTiEZlDuMRWlQ6JYfOt6LDBCNx+
2F8g47e1uI8INQgB58BA0a+byN0pk7bHjH1rpvYhXPuOcdgT/tb5Yx899E5xDUYw0CZtpfgCKKTd
7mS9iVMTMkSRPpt29WBXcSAxGRcKSeJu2+2nIXqoy+XcyuSed/UXEJl7OIiISvK4RuyEbnFJGHxH
ae6Eamu7yZ7PVlkJMh9pwoYh/UihWo4tX5syR+aWBphCqoWbabEDWuRXrS24nAt47kN+ASN+V5hN
fZjNPjojv7lPBvleKt226B7aQVU9zoG3UZz6dTcStQi8xVKfhJtKfDppALRnn8wp3ExUPoyer8UQ
JVD9rN2q7EKlW5M+ESWeqtCwNLN8c0NS6wT932ItiAxwaUOY17AVV52CW2TCrWS+M2NYvgjT+yWK
1xg/pGfyHJvqU94IdSu0edcwzXlJplyFwg1QrF0NZEWsjen7GHLc1WV4diMkFPqYn/Kc/0x1AQcO
/Ua2xQGV6XnsyxP/5bKdJl3n2G/2GyDRubYjbXwmWUEpi7sYDLZG1x29pImGtTwlDMMUn4vS7bNk
fGE9wh173M4OX4LuvPZOifoKeHCFzxplgIfvad9G9ZfZJtVRK2j1pEFHow13jtrkvkqUPXJ4/Usy
tAfJNjFXxhBtunGrp9HBtvVbrXQTb17Gizni4pnMMgjL1jkwrHMsgXrqZM+plp0BLz3aJXMZ0Oi7
Pl4XVPklLpsTxwWQpAa0Uf4sODB8NYpVH9KyctTAMhTDIZpJ+GCe3OcaXZer3fGQHKsBsEDc9tdd
KHasyFA1DeOXQmt8Ltr5buwEC1Z5IknoxHaQzRo5OwyAe9Eau77FHrvIvRxZKnCfIqMu6PPlth8z
sJJFgyC4PU01j6yDIa/o8sdQlK+ZJGq7MQ89LWdngNCsLDaK8dPYJfcmfTsb2hyzU7gbTQLvR4dc
p/qgFmyDFnwX4ADPuF6P5cKY2KnyElfZian4dcr1e+JQEGrPtMNVI7zUEoExJruyrq/NojoltvP5
vST/05us0bl/3ptc3r59/JG4d/2o3/oSLrI0t0hnv1d9zDb/viqsLYthcldgm6xpiK7+3ZeQSsee
H0g8YzA+7rWb+e0ia/1ir8YfuhZLV1nR/y1xr2Gtre+PdwXTMRxierhhsGURzvpF/NgaK0KdO61X
o+vQLVi1F8Wm7+Bn5XN7pff5c50pmxpNlr8k83ElfQRlgQKxGvZCVYlaGQnBck2mNgkGzc5PEyy0
zeKm8H8JjlIV5XadJeEqwNwkl4eX6Io3T1x3iyTxqzqATeid4aofIm9UxxcrLz7VNNuaSEKJvo1f
LTf3FRabT6wZxB6pyykqZOjZIVwNvuxqNwx03Qm5b5GqvQwkY/lNwtW20w1ugYiddlMffo6y+4Bh
ZG0WbDtbp0ohpbVkuGTx7RSVb4uQT8oK1HetaPQqk21zpphH01JMf1jljrVLMHFnV++OmX6N7faq
MIW1aSXf4tB22bar1RvSaaia0aWql1NKqlGQ8t5km6/dmGl6I0qdEJIk7z3p9BMiM8MJUGKN9DLy
a9ilKCnVNUMudjgPxiaGd5E+oF+5weweb3QBEq7Tc/sMvfi+K0LWguptV8p2l6Lr8RV3OcW5e4z7
6VRXsfBsGQO67sdDpNYp22OsCKiwq001mMpOQUnqu9Tsxy6ryr1bmQPgW4RRESTlIxCqFHHI9I3T
9XyMxlj1RCmwhBSpE+jSUbZ1pJ+tRj00hlPjSAjD21kpAQU3vbubIyZ9NyffI1ISyyuJhL2tLCWo
Vu5tYrNga15nWExBF+nrpT5mcR7ZCTtKYwcqHkBVyMXcKhEbRw2wX7skGT4qviJKKTx19VnmxNpt
85LBfSrC19yWBytq6wsw39nnF50ppskuTcrJFzg3k1Dtt2NJWKimNXcspWPfxkHmp5PJAzkASEAt
RMXiZenhqPw6tELf1N3A6hBVLjEnJaFnYWXvk1Qb/WV2LniMMNlO1kdbk67awiIhg6b09J5HmX3z
5Edjku/qiJsZDcB9Geuvo70Wbva7m86x830P98XrInmvzGF3IPrvq22s8UIFrAVscliHhpHH2LVv
KBOgaYzc2JM38OKm2jub2MBWEF9pE+SPQkHLpzgwg2VJnWreZ5cQelvaDQHGnWvdYhfrEUMt3PtY
Hpps06eWsqDLj3yOn6eIn3ktcyoOO4PA5zftZmK4bmxZvMiyBkXkJMgdOoKzGnN+mrgFsLXFjzIl
xD1KMlaqisYhyyrg/oMMZA4VIqmwRLUJgQpxZJ1WfSAKR8hCs1k+LFV43Vr1eZiwyQ5V+Zn0zb2m
x4dSc06jAwSwJ9RpiQONpX6sxBeRYmGrZg7uRs6pqmiNO1FZI1yhZtw1k3pydC5SLKoPAK5RMmZ8
4W6076RxQrzwafX2rsuw/Va2sa0IIzxWyvymrQsoHATmppl6Ce16tI4JyTPOFE3h4KV23z+XAGiq
3RTXQH9ihRw8XQ7dE2t2ydVEq7ONJbqx3evMFa9RVpnHvqvz6IaE5sg59I1ivIYR/eclNXFRFmit
/MFFFMfVZGtOyMshB+bbkOdlb1TZSFI2HiHJc7c1CbLZ8BS+DMawX+BFIjOz9jFCfMhIeHck3ukN
SWe3zrJcT+VACFGxLGQrFTe5FbEChMO5LeqE11OWa9shSj+j1r5tLTySCu0zslmMwHOWe/bqvnB7
bh3jU2NWy46f4sAJgaqtqKdGLDeukZyGbDY9knje1In3eFXK6xTGhyrVnFYv7PZNriBM7cLrOROa
N/eg9RVgrJsSJUt2KKu1O9HLN0Lf4q2uDcQAWck5ydJ3zZG8Dab3iXa+bOYaF4IZhIbBz2GO+MRW
mKamc8lNs8j2Dr67cgnYBAfK6FxHmNV345x+EhsKTLZn2Y/8zc6TrcoyaaM6JQlzI0Qou5AEd+sT
Ojzefm1RRLtSr/FiYKfYpFoCcg4s3WwUgT4K1Ssks7JmNXdJaqIMau1zWDc3VScw/UtAJ0Si/X/2
zqQ5bqOLsv+l93BgHha9KdRcJKs4DxsERVKY58T46/skbfmjKFkKR2+9cThCosAqAJn53rv33Js6
0i/MiErcCpW11RCq6DnFXWqXpzKvLxQbFWKp2vcIG1+SwabQGbPDUI3lgn7xIQBLb9UuepH4OFmI
TnVh76sAXFWXVBC61F3Vuk8oDeKNoQKGtBUM6h1G2sKIDZ+yk+BhDtGMzRwvNbCqmW927xGsNrPY
Gq44JDnCJRyjNn9xXDd2szeFG/pdHGE+bJwdRSDrM1bVtJ8pmuNrEmKe687Z6ShWUvJH+lK5S2VE
nEqwStOVguWGAlIL3xLP21pDuSsV/jSo3K+iT16rVjvkerT57zz5LlUx6TD983nymmIxnsqO0yMe
UDHtXv/v/8GWbSC94+e+nShBnZic4+SQ0P6LZvdNp6IbBDh6DJGlpftPnslfnS6TcGSVHpQqOXh/
EXj/OlES6UH6Bu4zJC7vCF7nX2n8HDme+e5EiXIEvQs9XcO0+VU+NUO1oGu7tOF9GBvVWRe9OTCa
AkQ+m8OWs1OHzRtlNJAwDGV89IPKtIuZAVHpOwzk5QNeyvYcnIs8xBn1ddLZ5tYau/ZiSIPqtRJB
jlIDvXiUOVR4cDwINiQHFq2YpoyntsnFsU4S81FRGc9rAY1nPwi0bDkXQXGRhpX3iq37ahozi3VE
U/Z6GNF4d+38VriTha8GJsmgM4gXbeTs0k7KC51OSdeaBavO6FRCZo1Wf+PYlD1YalZsQ6vFn1MF
7XMPs3BFdY+iuvGGjZMMpEBEfXU5AI7IqNfXpBNXy576ni6AUpj9S9mGkXnQUFDwwooy7TbaLDrl
DcOvbIqz77GBBm3RHJ2owqKLPTO6jhJP7sBdi7FawOocLuDPljZhhCZglDWVqutwiO+rQVlaepjF
B1sp6O3FXTZ9SXo8vCudbppHFvOjzbb9DNPcwhoNDm0dRjY+sQ4WnhjK+dmwLFTquEjVQzggRIxD
hH5B1YdfiJSJORvO83PQRvObHY8PDZPxIoz3ioxJzDWbvCaLwp2okxDshtZNm3RyyWrUWGnScmT+
IDhqLsa8pE0YD2G8bgHtU133ODUg6N+bTgw6xtNujbSOGOHXTOLUoV9YbiO2dtLa125U5TuhYBuh
9WlfjF6tIl8sPazEwipvglbN31rm6V8UZ1D2RoZipxpzgPQasgzRj5tegVOzAvFeCyIm4uqrAxRg
N1VBcQX1TYL5ZvspRAO9nD3yVcYgTc6cxEzOW6VOHrUAeN0w049q07l8nLtROfDwhr7hyL0ybIIH
d86H24LR5aorx/haicfqFPVoqwv6z+xrpgn7oG1NbYXJPRKrdrRa1CDT4PhhYdlbvdffPBuPfEbT
ZhyMS+hB6Ew4CGlvFeXGupYxv17V2nT26HP+txa/r6mS1/vPa/H5M3E0Py7E8of+Xogl20MaY2nr
O+82278FgyzELH+UShYIfB063P9Ke/cPQ1cx0ZJR70k934fS3vlDJiGRzIunl3g4/uhfGKwAdXxe
iKHMMfAwEVzzW/APfl/a4x3G6Kio89HIo7uaJ9/PGGnTz6yZM8/5Gt7NRmNDtyaFYbZ3R7YET1VH
gEnu2TeJa54bpdjlSbIiJyNol46TQzSIUeHcZgSdr/DQXIZK0ewEh1IWwCxRvuDy4MhaaFBPDw45
jyPBNHRdbZhI21ZQf+Rd0l2qIAKWZWdfD6mc6fYTSfUZitnCWFYRLeh6LG+mSbkjGOPWYJ1dqDrn
Y7Wh1lOmYxS7e41goSlqX5rZwFTBACCkDVgl+okj2p3etwQAC045gZDqEKBaXVB8nZo5WUS6tg5M
EAd0hA36DOMRX8YzUdYj8B6jW2KreK2HfIayhdTJG91VqIrBp6rWGNLYTkDYpznthrFUfGAKB61z
jkbKCUvD9chEAlCzAwwiQkul94emr+4j1XtUQFyiuTMuUwCXwsrv0niGm5DMt6IZ1n2nVRcaUet5
VX7VVY2RdHzldbI7YBDhHua0/SYa9t1BKfuvakN7gEGN4+uG0dEY73u8mHQajSylM6+ApIxsn7kG
xCCGJL7FuPeooylHgYxXqxcD6S8lAbsygK9MEOfl6MhXbprOfjFWGrRZ5yWasJYa8D9EkKhMM1DY
uTqnR2Pbdc0xyOCpG2gQzmHq1xVad7vLsfiSULSwsnxniMZvW+tcjIwtjFLX/QjTm6kGX1KCSNJs
VPBTU4QX43NolwA4qQvKDB816FzcfZAcIkN5VhsywZoe7JmWIkKC4AJbHyImX+zKVdturXeRfZYN
BuE/heSIIQHUBQ1OTQ9RITpespwbhhP9CLPVzkxKAmfp0jnZoOkR64znnxa6ywHX3Cl1e4eQd6t2
+t3QA/EKo1ZdilbXmHnryRkmA0ptD/h0ZGEaDvpEWWC9NX18xsFm0jT1ohoN/ZKsKnoFab/x4C2B
s9nnacsUotafGX9bsD+m+Ihpf8Bdba4nN193ooUrNcUZKavFl6kt13ofP5QhMYse6TxhxP1Msik7
ciZcwGL986T9j5NxuQb877DGtB0fBjs4M2vQk9DMP7X/KoNk7oym9jHLya19tRhj/U4w9JNLANgD
hokPVVOZtX6/DE1VOLZJbJvHtP3Spaepuim8s//2qPc9Sv/lbPwcldjLj3uU/KFve9S7IYj0UkoF
AMIkAH5oP1NHQMs2HEbSf7FIvxULGhUBNvC/qIgfxuLvViE2PfYvygyiNP7VFmX+0Hw2IeEQTKiR
dkMP/F2O/kGIUpc11WmURCfC0C1y695tN5Zz1PBzMP0O3z05cD6lQYfkJNWjnyqdO4D0RLN23x09
gy3dPYPbbvGwGMEzetBEXQ0kUigHKhQgpVqUTDDrUduEJzMtYgjXtRlhItU6fUT4MltzFvtk4wXS
RVI4pMn1k02vqxOAXKYFKDbAhARzcgJ13s/cWWIRyTais97WYeMlYKZaSph6yJpj+H5i7wyOb6uQ
eoaenstg7/1Mb/FO/1cq/1nySoHer49nVdk+/+Tp5+c+PP2GpKjhd+OghvTjw9OvAkkBF/p+cnPl
I/5NE+L8ATRX0xwmIzqDV7kkfpu9OBjlDE5zWCNMhCYMS/7FAe3dSv9h8UUUgjIJtSPDIYPam8Xx
+5UxaZRUd2Y9OuYqqKHziILladTUyN1ZDU7VU0nDbj93tf1kR+aAbklBV7EYRmV4bGanvfMis7z2
vNiafejVQ7k2Ckfct0ZHDQ7b3FnZUQLdKVbugE7gTAiBDma6nvr6aJ9ct9h0oXbseqKSsul5COdn
PQpMNpkru3UZlzM21LM85uzA+EBL7dXYk1JJ1DUCPFJmWthVYdODhlen57RuUAwODbxQPaSa0Qi7
nVAm+0RbrLOiHxdK4bgLq/N2Ztg0i34gsi+3r8zeuspjW1umBgLiYLyY3Qa5R8+RrKivK0N/itwE
QUjAMakoGEbjzyMAPfZyH7sDImLTukps56x32wc9J+TGLrIzwvioulGg1IHuLs3WAfLYhHC5hsr1
qzm9wmV9W5tzdW40gBfngp5hI/FoDVGWzKslUSsDXiYMPA9jEWZnUC2B0lQPhl0jC9HUCsh58za3
zQS/asxWbtttszbB+p9vNZq9leMk9FM93zTFSNyOvqaTBnUs4TsgxmLwQ0zx27jg/8x+7BaFV94V
UfpKV+/ShWziVtmLlkY3dinwkojEPAusYAf56zKuZPCz5QBIzctgEZKAE0oucZmZV5Ft35gNeTfI
JV/tsjiA77+qJhc1vupSaMIPWDC0SECqjoci1nwhS2mzLDZZrCCyN7vZF3jcQYHdJXaL+BkmzZrG
78quxDWl6OArAwdgGhxrs3b6i07OlJypdfF/mzuBp/kO18aIm7i7nHuOcZYRXRSgbha1ojIem7rb
Zkq+BOg4tnZEKwji0Npp3HuQvg9OEPo6Z/EsD1FSy19D7a+g6KzrYD5macxoQV97wYmHtbww++4s
89LTPNlPsc0YoyDQb92MMbMQuu3EfUxA23nsNCs5K/WScx8bSqS494rDQE9YcFy1ZAT03sjAx/TC
qvKj4TUHcmRPfctIRUgsXeiYa8Won8heXkaWfpuLDN1PCZq0t49TTNMJPBmiAJT5fU3dFLQ3buJ8
sZXxvLG7Nz3Ib1rh7MATnyV9qu3UyAFBnXmtb5XcB0x+r5mGDkCfcTi6YwbGq7CPfHhZykcPdQNH
UVPzox5oJ9So69pLvyhK4Luyv4FvG8+2kZ9krBsdYiquXBT3kY0CkRMjKg61yA4KUXy+FU31IkA2
5jt5/oxlMl2JKbvU2uAhU8rJxzmMBRZ1uufOZ1khzjsNEHFnPg52/kwhtYfz5LuDfpmAvckCbxdV
KCXAx5qGuTUq0qVgx5x3lLWLwsRcPqXF0tRTKX6HimhFe4+99BATB3GJMipo92OvSd9F0ZPJasxL
D4TAVkvc+y4HohuWucYejQlhXWeq2DA5Q2hflES3jKZ+Gidzj9xSu4h4sXzuuUWCHYdyqycXh5HP
eD/X5A40mpYd6NNYaDG6igaPkm01qHMLwr8cA7RUEKqL3hbRVigG5lqEzxnWW1VbK0mQ/tdF+Wub
5kz3i236reCIGhc/iXXR+cFv+7Su46LUDEQNVDF0j/mjv1vaptRPuBxdaWyDQENY+e2UKrFpOspK
78/j60d6N4kv6InVv8Kr/8UmbdmfxNJUSJYB/oxuCc0c4iU5QX8USDhwQF3c38pRUxAVClZN1Zzf
ggETXWpl9qIz1DWGqXUzheCUgJI1V16TK5e60ysGVWhZOKS5eCjaPUiBy67Vmnvmqs70Yimsm3YU
5HCqQA4mZNwvWsDVm7Ad+D/ODhtQ4oQNSVwhOP5x1VeKt25gGRZVqr6ENXjDWh+rdSmRh0MHfLEP
5dJR8ncNiUbsUr15qt5xiRKcOJPKuB8KZ58kjbEY8KpbEe2aFt5ip3dfSLrmjZAoRmpxnOGyzobS
OElcY+5YKxaI/sKVKMe8ScIVFYKxIVklIpAF5GMDEwQlV7gwJpJhXTbqhS4RkTPeJV2M7SlpC9bL
SWSPbH7Ttabdx2YbQ15ML+I6jJY0sy6TWRQLoLTnk8rRxWVpHNCJtPGwtl26U6bIxMKVOEtHgi0F
ctJ98Q67lNhLJr3qqkXVKo2gHEVcCcjsK8yI3BYFsRVAAAuOZiJKwxexCRsGxGbal+PlzLK9KVoz
vRwhcZYSyelJOGfwzulM5zleswUAiSXvg1zjRBI9G8n2nN8xn+NoukuG+8A/kwiVKzLUKri2uOym
T5JKXfFgF7ui6XsWM7Ccga2457E5YPYhbeQ8JRkWIZ1Wd8Gl1kWPWWRZi6iwn8MGA9FAHt6KxuFj
qolwFYjqK8eM3BdKeAahmqTsZDpmCAMI4c6/RrO1xLkhjlOOFABMjuObjZv6XkFWkNLbu6avnb1u
0efpk4lBAiRLPc83ZsR/vIbJ9Gh17sKcBmLA4q4a+AWE3knKXz/o5nlvVcp+MhxgrJj8T1DCmPg2
TNRpQY+W4ettir8iycQZGQjIY3jQSGIh6rmprfpgmyziSlmiB8FPgves2xhR9iQbM0KlyQQ0pt0P
IxLgrA+1tWUG7gWY4bWSe686YDI7yS/LrrsNSNRpKwfrka5UF5MSTztd5nnB1d4qFg2unGbUjZoE
wcp134QyHuIMj5bpnE0RmS5OEm3qcSJwaF7zmY/uVJxZef4098rB0uKzPGJmGndWcF64yCByAojW
XRReR9MYkgGf7WCUb9Oam+RGnAWGGJ9S4gQLtBTPITS0hbDjI0xvMrULNmNF9DkBgbWv2dkOqtPK
hRmZN9AFMDDCAP1qM0jpRL7mVL9m6uGrPX2gUKejSXMoqhLkfyZxzqM/MDhZRAKrDmPlWzdTjxza
bsnUpkxNvdJGxeXZ+8Cdv1a1dmXN3c4hSNjI85UtRsNXo/FgKamf9P1zZBsbu+lXQJYIdrbcU5sW
V26pv3op73CeGW/Cm65MRkJLModgwM9rJTX9inuMxwx0IsY8zHR+P6OGZIr8At/gZpDPo5Ymu6aL
TgRhHXOJRETZGYzl1slLn4WUg4WlXubFeDHVk69juyyCbqmg9iWrZMNhcevga8or0t3bca1Y0q6o
xy+22yEWZZYEbDeNnBUEqiP6T3dVqOVGE6CUky486QL2ax9uR7DrDJXOkFCBu4mf647Ip3REjpt/
hZziB422pBHvBwJKVPZWBt3VyGQocdXthLQrHooHq8aVOBtLrAOrgoamGehHm9zcVthryhbm/+OV
OXqSEKQvvQz2azmomxzYnRd4PIEBqHpHXbte/nXCGsIKt0Zj5reRu7RdqMRhG+3osG4Jrn1QNcER
y7227erBjaBNobru8tdiqt5qldxkdPELxyDDy67WbTAt09BkzDiRLR5dGk10XvbGFYfNr5oiFnqj
AufhpK+qW8Xrt26rrNUou06s8kzAz6K0gVLptQvbqlaB0h9atVvzKl60nrvWjHZvBBMXrFdhxRc2
FuDp66BYUMC+DF35wD+FqI6AlAnRqs+bRAJYNPhTMTy3RUubWDmQ5LmbFQfXPBrgvknXESmai6gC
o4aQjnav7Wx00d/nXfEkIGZP4LLQQwIMgVxdimZbuNYO4COlmeVhM+0fhka9L5vkqlQ0NCIjp82O
785bhYXYOsLi6XQ2WLwuSSQ8VFhDe6W7zmJn647BMTDmXWHm+z7QEMli6yo6Ar+z6UTQ544XjJB6
9zJpvDNDGx8rG8tvQ9ecltpt0AB3atpj0VpX8J9VJpjtdUePtK8QOTUzdZuVnWVWuKeXrC4G1H+N
XKjm8mFKxUEHcVpVEW/2QH0++O0gDz1IsKvitqmmvaYDV9TN6KgEdMYB4GTXTAEJudLFvkFGNw+w
6eCjK0ryipbqNhE5Og38rQvPEY8m7nmdVJqEJJA01l7tnI60qB/SJtqpunZkvQW80qSMeNoDIWC8
l5mT+rOqPUZWW609I73JG5ExbEk3qaGdktRNqGbp5peDsYZBsQ1S2x90JV/Fc+n3iLWdcAh9bdKX
aYadNipOSMI2STDCeZxeKwVUQJs8i8ZCMIlui2oIBV3vrLouXDVMu32Ea4hMOj/P2CRGr9j2ivva
9xDOYnUT9s46VscVnXbWnxYNUTjO6zEvDpMID42wblBmsteIyicuYiHi1FciRrqFbvKso4ohlqHR
SoJGxPlMi6RtqpfOlc7nljyLbDzvTcYMucr29+FIe/oRm/Fjg9vCSqcDUzSkme6zg00MTdN0caEc
1RyZYLoo0ysFuc2vL8I590OvSDbq5UWQfagA0lxD/9SoR+Gq2oiMlePofmmQ2nWPYwn9eZnD8fn1
lX524P14JfmbfGjKlkE5aXPAlXQX+QHlkoPpZ8aLcpd0T3Fp+7++3E+/Pd4m5OwUg4xMv78c4Sid
G2RleOqVJ9Ed6vClyF5+fYmffSJOyxyWuQyilE+XCGxI6d5URafehLS76aZplUWMvcJNzERQFxe/
vtxPPpGpeRQtzFTo6tmfKgapNtUnVcQnQsYWsYFbitzU9Def6ZOlUT4P313kk125DRSBN4CLJHTT
RHOGcmD5//cx5Mf88BwAVaQFgk7phLrWxtieIqZAqfvri9CB/fxYf/cxPt2aKp3Sqs/b+DQqxgIw
gBefiKhlgXu0aO61R71rf3PFn90dVN7YAVFJWeB8vv9YaeySb5Ro8cmpL2t0GkQTOcHXX3+qn10D
nhqkX4PnQPsMcwgsQ7HdvklOcCFXuQ3+Ho1Idvvri/zsqzOwNNI91hjieJ/uTzlEjhPHY8L9eSzs
s4hKMWEx8AIkUwcT2e0QXP76ivKZ+n5YyLU+XPHTzcJphAtHm1CzM8Al6wyx028WAxmV8uESCN1o
uDsmFiMa4shkfvBJliaws1HLT8kZuoIdm+c5+RQr6zK6svxiFa9dX1n/+lN9f8n3lfW7T/VpvcOn
ACi86pNTb+ORp/eok/Orl9tfX+Xn3x2NfpWd07LfA8I+vE32rNmOAARwCmrP1xEuu+I335389j/f
HVwmPG0e0zuGyN8/2BV5fng58EE6lL6Tq3PafIrNEGVE8pvP8rNv7OOVPi1wzP3LhpZmctKst8i9
tILrev7N8vbzSyAe1DyYWyAIv/8wsZb2rjmH6akojhYzujHWF3pn/2ar+9krxMP291U+3fq06SMB
qDI9xelLpsACUVbYuay08+HCK+kms35zj374WHAPsSGbKkMktD7mp4mP7gVOlTtldhL9pm6eBntV
z1f/8kH7dAl6aR+X7aIP+UKjOjsNc4EFl0Ts5C9J2D+KBn54lt8vIZ1JKgce+mzfXyIZx1zJqLRO
bfaizDuGBL+5Lz88ylyA6Ru6BIvGGwrN7y/A0ukMWjHnJ855eYe9KNnF0KwK7+39u/rPtyaXl3/u
yj4SyPnj4FT+zN8NWe0PThgEYmuk2HtI0T40ZPU/mItKVihlOOcblplvk1Moebq8YTDCmZJCy/vf
5BTVG0FStgvVxeUvkTP1L5qyhDTyAPxvrWNyylnOxhwnHfqspx6/xMeHXMCCKWDOjUfkwNiziPV1
guZG6KSjJDLxd9aK8ibuteyIICi/bmUyMFa3bttxsvU1FpQQD4VAB2BcGI6prkSGVG1ykjdjRrQq
OEAcIiKIvY4s4nJCtJXKfGKgNDjHchK5PUxBNyYxxtSK0JAINu7jqDzmYc2+K1OPiZhgvorvbhVS
eC5biCP5TEpylhndJiFPqcIQbUwuScckKo8yW9mWKcsZGh/fJHgZ+fKw9XBJ4/CMmVYOJQNicpqF
TGxW0mL0Nb6CY6y5AWHAwtvWZYmiedDpPuWMIYfKwcIQGnD2Chl2HDoPZVtJLXaSUQLnZ12NGtdT
HgdyJGkZdz5GsIRJUbVXOxMXe0jXMuz3aaMc+tK949s8L0umf6oo6fMi+FoUafRk9ebzaHsjzY/y
nvin+8YqMir5EOhAGF8LkxrQyBQiEQqNIPOQwOy5r7eKnb8ZIf3TsbD3dgO+iPCrbuHhlVsLxQrX
UTColNfzIzc6YYpcXZdKcGEiX3ZJ8jCCrOKTGK/B1J6UtujPALHC3SDrZ1UP7oUx04GZg/nCKrml
ohqX+LBPaW580Y3mfh7SFyWomkUZRXvUaEcI6Cg/KjpamuxjKoO+szg/MgEjWWEIvSPJovDpc5OW
lH1Wjrm7Kh0jWFha9FiF86VpkuNR0+xQxpmT0Tt5KihH33br1D0a9LKNL6puW9POEdgFAfAdCKkg
5qzRmHZnVtMuIsd6UwgJijuXFBBlWr9HbwQejHO1z/a9zFBzZJoaSL0zsBWgh/qeCSJ6w2Vo4ReZ
LJrutQZdXJn1qwbcBOB1ZHoEdr7UesU4PoqnVZxP3apMPHBSsArtdOZLjttgp0xtDWWHduTAC46K
MduCJ7jKCnx0fWzuSM5qEWTn6k0RBQRDmCY8Hjkxt5IBpZ2dL/VgIJ5bpXs/BW/TpG9j8ut3qWXd
NCJ40ouCQGBkfKjQLui6Z7vBtGwm8h1zzMze0f4zj46YYHWj7IaQGNvrsTGv+xTcWyCsMzWmBPHI
tfTJXdo3aOn32kRkm5lhRCxj7pLw/Mx4aLXgqAwhjhjcbOYQb0Td0Cnw8mYDMgtNEVw7t86+RJm1
dsuKV53XpKocxt80gKFj70dnqHap4rjLLNa0I3JXYxnAj7kCuI8o0qSjScV60dcKWWGevdInoPhI
HHjO+xzvWzVeThptpamu0n2NCAJJhB5s1VqY6ARKczOFgYeAs253VV0cwkilmRl2xr61w3lfJ5qy
MbFtr8q6urQVzD1zOjHvDB8qJTdOekJqO6tfulNi0/NB2O8VekvhGAYrO6kea7qtX9silwbPzrx0
kuRtZqiCJtdDlfnnPv3f/il3tX/eP8/fmpe31x93UPlTf++gTCcttkkLm47r2g5/9PdIk/ANE0US
yRcOp/4PI00DBC2dJAzfnsa0i8Pv/3ZQfN9INVHeGQYaBEmx+Tc76Htb5bsdVMZ+0HFh86Tngjjw
+x3UUHRmCXWaHjXVFM3eE3Gl+nGfmwpeztRBi2yjhvGBsNSXGrEvHeBWOErbcbcDUrEppOFXjnCE
e8dUBLNG3N9ohtkc1DEro4dAegBtQZbfROPHz98NgmQXW5Cvt5VugXHDRlim03FUsp56X38OOAj6
kJ8PFdbDwh5ZkTEjjpgSK+lO7NzxDqP2q105V5VR8g8Yc7UNRwv5tFtuzda7BHBPYDL0ljzJ2QU1
nJDVINLbAHOkYhqIW9QJ6OSoHV0MlEOeoNmTnkqCPtDoNu62t+HM5OmwJVDg0ZROzKFkveylO7Ms
635FMZ5sKyMHYdo4LiKOALNlHT10KeaRwqrSTZiiHZilisCQeoLuXVowSJUB+mRayPW7+ECXOoRR
KhJInKhWqVQpcETIDqpULjhSw2BLNUMpdQ0klVvHWGodQg3Vw4T8oZY6iEgqIgqpjbBr+GeN1EtE
79IJ1iFy4JBTBFJXUUiFBUGH4ASl6gJRNgKMRGoxAqnKcKuGzmnuTW3I71DU8d50FFvbeRBi0rVO
nEE/Oan2RasNc9l1ysLBXnUekdtAdhz2fUmmIRmQDIt5rVr5pUlC3uCPU0lkZpO+wQq4r9v0rFQx
kefOsMnwiPpIT8+J08JDo/Mg5UCBKqBEUbGv9OZRV9KzZICDW+v5DaeEYSUi98XEiqmHzkWRj7he
I+GkOOsnICWGQdARlvwomc81ix1ITYdVWhH2bph9wFQ42nV5gP4toGs/2rq7yufwZR4pWwKVXKzK
Y8JYSn2Q5RUEBzfWC5PbZoE4KfWBzLdLIxpXHZFjTk5U9ihGBKiFxZypT/xpYvRNZumFsIecbAoL
m22Yx9gnQ2zS/M1E6o4YVTg0IEnUkGwFy0t9dzb7DVtyv1RHFSrUAP+uwZM+VaBcVVUcsFNxELUY
/caSSqSCJ7IlpygAWDQ4I0MAyTAiDcYhUZi2D07kBQoKD06B85YH4SsEn4xMHHy6kouUSECSJCVN
PcNkDq1+JylKpeQp0fD31i6PvipZS4XaCGJYQeNAR2KgikM6ccp0X0go03/115+6bUrmX+wf5U8F
MfzMt90DFjk9fhY8eGF0jAz+6NvugaLbhkemMt8hl0GCyT7UXw7sOQSvMEUcHEYf6i/nD4Q1UDOB
hrC1qP+ORW54ssPz/e6BdtXGacEm4tBKlX/+oZvVzvSAOquzL0IDbFPNflUx/nSj2lwqY9jjbZmD
Duu3ottRtnQFJjkUHTn+9i5O3ifYanbudrGaM68MuUbot5hQTOaRHevHKgT2zElyHqyMNVgw2b0f
OmgHyxmHI7CP1FG8ateaDaAsr7fs8bJLHBzgkVKGa8dqFGLfi3vcL7BbwTsIqT1t256Cr4e4Cp2A
hJlQaddBp94khX7eFDaQb9howaRe4dGAXqCNJrLTCp5Gfijq4EwbxrsJAuaCEIUADVm+6aodWkXG
lyGvTmwnsU/cOoAKDpCL2GVU1QXwrXCf3OeOd9JUVkzJ5VG6lpS3kQEZ7c8Kv4W7bxif6XJdibv+
QSCjoA7JDnmsWgyxp1NbFtN6sHsAsh3FH6EvAnvhPC5TwbgSXum8miymbq6qr1Srm5ZwkOGyuP2r
Yo4HDPrYkxDE+HmgvY5jVfqd1a5hq29ji4F0rmXE8OiVHzfNXWcBwkjq4QwPbweDjsViLo1rBZ1m
7XT6OkgJo1Fy0oeaoNrRrA0Xo1leJHp5VdcDiTXVIcbSFY3srT0qSs2pV1OXfTEnSs8m6pfCQGKU
pcuMgHK/r8K9GeSrpnIxrAd4uRAKJYhvy3TtTg6oEkOcQwnDepU10I2hfWtheN+hBGYc4WGSn4yY
RLrwhBYfAq4nfK0W+76jMqrV5j4sUbfMqXWYJu1ahOPKHjlsJKNGPlJyFVI2xpaxTJ1YhqbPMUCG
KVtUOHq2TRpEvjp6JxZ0h7rKeCszrd1qaNJxtJUXllaITWSgOzXSW/q9d3lSL8qqPipRxVTcS0mM
zDAGuFkCoiW/GygnJMe+U41HterKpcOO3w/Z9ZhaO2AT08KW0onIZQYytQmoEVWPDpCbyXb2ZnJC
huG+wMyxTHRxPwbDnWa29B/Ye8kl2RSRd0xay1cSlDuWgKnAwB48zOB3TgqRLyU9yQVZYIjuOkgw
2JWJRhk4hbuwNcNtLeqrzp4fEX481RbC5xG82YI8qHqV9Kbmm2p328fIIrQUHH1pR3tFKfeq4z0X
yLUxHde6r5faNeOWNUlgN1WrbhSjPA0UbXRujWty4NylG6mYwUayCyPzPHYqxTfSeD3GGTIweiWF
Nj3n4TxuiaXedn1jAkF1Pb+g1YGAhfAoIQqaAeivJ4nIz8bZPXjqBMlGY3aszs1ZbKfrfAAnEeiY
vQhssBc2UMKsnY5ABJF5APUqm/oCcfYtkoZojwMwW9na+JbG3lVixs7CNqqAOTnBje08fR16tNR9
DwCcLCfTpxGFfLyVhHMH6m+QkYMWoDK3ObYTvkw5WFbg/eqptHyT2K00HJ/tSBQrQSDjiiYJAtn6
XFPMtxQxDl43UloaSSexwJTM4EoasCVhGW8njMTFO88EsIkjCScVqBNVMk/cUQF81CGcH3VzFxLy
spglI0XTk3MNaMoEPAUk3oGWGZqG4JBnyS4CshJE9VchqSswg84mMCy2Ut1UkstiTBwgVclq8SS1
pZH8FpJXVo4kuiSgXQrJeHEGaC8ZVjZL8l8GSYKJ++HOk2yYrlR4pyUvhojrx1ESZEaK71QyZUhN
KXFR6mB+AM7ow9sg+TO0L+JVMZmHyM4fx4lvVPMQbAxCh09f3jWgi32jxchpMmAIAbVMqYMewkAV
0pYvnm4+zY36tdd4GNBL31QNNwykrrG0MtGyRBQk4+XOqYckRUCyxjFmUIiK6C8QP13xUdFKRseZ
KGoUZpIu3Cv6Yoau5LC5LyNX3XUlOWocb8edOVjXehU8RA5I8iaL/x9757EcN7KG2VeZmD0U8CZi
ZhYFlCWLRW+0QVAUBe8SHk8/J6lWN5tX0p1ezK53raZKxTJIZP6fOa/FyNk+NMFyAhEsd2023Bkl
9eGIzAuuLDEwKPl3l/R9l8Rc/9e7pJN4Btvyk1M2j3q3T+Jj1fnXaN7V3o7Sf+6T3E+aFBItnRIK
i4npX/skA5qLY9Oxj+P4e4Xanwkf4xNZIVvmhejXeJtu/4NTNufbD/skOpYNijhopOVLSV3bBzGm
sUl2jo4actYBhGsseQbFniagM2Vq1LPSaWm6UdS5/2ym8SEJ5yc30ha/dtIXY6DXnfzP6JCUyIth
3RhqSqyhgReUJilRCTuu7snf0IGPc7qNKCGlRAfUk62vGFmJZ5OS/9euV0No9qUlKeEDLeWku0t4
gJuYjVjD2JtufiCuJm1KgmHWgZuut/Lgp7RvJJUsqaGqpBKwMgFbUqjfJm7NomMl4UCWGmieq3Hv
krc2xWCsiG0TAsYMgymG5JL32qmG7NJa6nGB9KIZy3kM+QWh7dys8r0GEWZKwsW3bMG8VuJiqnbo
A7014/PatLdqrVymMO6u69A96yRuxpbgmchrqcRpK7AlypitZxuKmABzFThNf5q69qRkE+7KCEbT
TK0CTLxxHbPNhHBsdwRqE2MW3zKju0ly9QYoSmH5Q96Vl0qTLUfD5DYCtjqq7fiRIjff6WgQacMC
AxHpD6OKvzktyWS9pnFVrxjveT10TKO4UWxr3NQuNESnwRMoBG15jQTdYBPnHDmtQlp5A10r49MQ
EYBKKPNdGezFukmpru2RAxwRGzbCYmV4fbmqdc1PEuVIf9dmoKh3Nfe1edd68FHgPK4EHL+NmnNM
A2zqQ7ShJbV26icr7JkTa4qXMNwljeW3s0i37y7Fy+9b/feoILShdweAt0ZtyRe3XSLPOo0yH8ZH
NMiPaua16YWuxvXGyEf9mc5516cEF2LQv+vf9/WPs9uv17+L5/r5J6sfj/mx+hGbkMQehDbsHyZO
k79OifwI9wnCGUqzNCG9W/3cT6xulFM4eBFk7JtH/cg3smRaQPlYteTokvTEP5kxIu/97UsiVTpp
QzDlKJODJzlzfv7ulCiatjAtau5Pdd1iP9Q79jses4ramu+0tNmGcqozak0Q1v0XtQ9Jck00UEwm
C0aYs21V7ryhCVRrPloLpkALizQY3o4dZ3KyadmbQ/eSC4CrhCgvwo+6zSbvOBrWeVVUWzfydn2q
n+DGg64FHOiLiAuDQc2NbVX9hlzTq2KXsPA83E2DGR0dG4VAgTK3chtrPZPHlMG1bWEke5WV2K91
996pjctWz08WI9NVL8oB4+iQUwA2b8MpgxpheVd5Gt1QluOXFvve2SLJEOWVytTIfB2rKGUt7Ovn
suN5ZmvYLoqgLoYGTKZuu0LJ1A3EQRGE+RivOy5ilKeoPvRqlK31eiyRE5AssrjxEzQMDy0jgsTR
SXGjHtpt/6Z3VHBVqLWdNo4KWmnMdgRK15PUSJo2DoRUTQBGnRlqjo6CoBJKZcUVag3SmJZJqbp4
o33TSB1mloqMQhMboikqjYtcU0rdplo8En5Sy2HIfGEj7hhS5WmRe9rIvU2l/pMoxs5EEMISUa4K
zK0sKEXQStVIl/qRgpBUSUWpkdrSLFUmZ7L2hdSdTAQoZqI7shWOH0ttKlpQqSqpV9l0b5KMQ8Oq
ueskJZOFRepbTcim2kLyElqJDbihxbuTepgnlbEFiSyWWhlScBwoDIg3w6h6GWk5vSCEEZZ7u1es
XeSqoz8qbravXSuYHJNAuGlCw9KddNtVVt7sRBtV4Y1LHeZBs+OvkVLVaxca9GGpY5KFudiLJrpt
VYLraqfvTKXu/KKz123cW+vBLQN3KKuz0hXHti2+VVMpVuYyMjwfHuuWWitOo/e93lCCynAGQnX9
SChRXTvtct6X03lRqKYv3JTCRJfGUsju3WgdOY1xSSj33aipvgnOK9UZTtoRyhqz3d4lUJFwLifl
UnGPb7eMTM65IVYMIrrPSx2eBjW786YY0wVp00hvOKJSlOenWpNAn63aTRKXz56aHeNI8ac8itc0
7h/L3Nt1FpuL0VG+JmFyR8kiYqISxVTsqV+NpL6n+j5QCG6uBDmw50FYa0VTngaTdOvYuUdjYiev
zXZ2ZWfmZ8xYZ63mfHWW9my26otF41iULOaqReCeqko/ltxZc7VBZ3bsM2MSvhC0lCh6fD1Ear+i
ZO2z7txmytqc3bM6STbeAMcijBM6l+CGJAOJ4C7Lr4hhKZxcxVOtdMSI+5Dj5nIZU1Dv2wZ91iNF
q0m6VhR7t8hMFmUohDMEfmLObas89o6O5xHOyE6UCvi9yaeu47YenCnaZsXymdambtMVAiF411hM
WnOFnVs3NOf9uOy9OvlCEAe0kKaRTx1h7ybpTZdbXzyBqx7tOV6VDbRxhX5RrQi5iKuYoToVUUXD
WrjylnzatqU+F98drP/qetKq9Os77iXAp+f2P++58lF/3nPR9Ugc0oEhpTuAJe/uuRRqUHxHPT/W
37dujB+TWSr2TH4EZdexjD/OKT/uuR7cCga9nvUng+IfnDhwYH2859JLQDW0lPUIo1C68vd7Lkio
khaMWTtZHKezHRoFeDdsCMc0zH1zaa/ceHlgN7vSmy7f4m14AIvWroqYoz3LiCeNFQnwemz2HFgq
cWUPFWU26llPPNsupr2BJWLpd9AbnqooOoRYNdzopKUe1ccUC/u4HLzA0RYwVq09cjRYvsKPp/+1
p0aOPNcTBR4E5g0FsNHYPS0VVhXA34FhDZeQx411QzsPP1fPloFjPR1HR5MN6Kp38vtSAa1QCPU1
qdtv46LT5Eceueqz2Bf6dFO404i8R2p5Vh7EQmEOtMUgdW2XlJJ3UdrzfKaYGbVuFGlOJdLaFHJm
oCWL/2i/sW82+YuUSg1aQDhDZ9iWoBGFph4UMTQ+JqEvavYIhzxu4XW1CKYWtQy29F6HTieC0Rhn
07cysiscxyATBTU9IHvRGp33rCV0G6+TCRGVNqSYqQiwV+bozZrirH7VmaBgOayNKw6T4GF1mqDh
p2d7Qx8EpUyJ1O8kUpYoN1VZSy6uhgrgLDVRDR591lYdgXHVSjBtLBG1hYTVFo39WC2CIyHoxrUp
kbZVhQWl62ML0gW1BqFE39oSgourxCREBRg3hZBLHX118CQ0N2TqdwwlSBdiRnuICWpsJ8ERr6Tq
pA0aCd9VYiPcaln/TZdg3iZuer+RsF4Nau8AqGpF6heanET6ag2bsERifk3VfqW20KJwYBzXpYQB
C6jAuQoeGC9Sfuka7Hm0N3iwAqXeo1ViSwsegZehtbbIDa/FRBshU1vi4hJF7EgoMe8cdS0SVOxW
eHL0GXgxFBDeGzqBORFx5jbeKMf0ScNql+jjesaqX1EwsGolXblzFXE2SlhyNIJN9mLSAkTNMG0x
cF/z4Zm0IlvfmFuaJCVjYlemsZUCBpxmCWZOvTrmVueaX9QCHYCIL/e5gvliVAgbCdgc1mEkSc+p
hD6nJQNyrrnoILhf7sYlK7t1TCJLXU8SGo3AIdJvOUrAzqVJ56rSKHBjGNmedeGiijOjTnyhTre5
omEmUnOYToaXUQLZ3FNBEfnqgtOt8saK3Qd9bEP7pETNQ16V9Fi5HifjAsT9UKCEpir4bGdO77HP
XaZNm3zG2wK6MY7i87l3GS7XHWCu/iopIU9Y4Ap94s3N3uvt1zgfPjNs2IyRS2mGp3wb007OypMn
wvWH3MwfJZ17y1jP9vNCyEXEO/JW7PvM+1ZxnSry1NoV7i39ppeNFh9qem5XpaguMNS+6Lb3MOTK
FGhiuuwWiBCuELtqaW/axbuDdRiu1Y6bMG469Po5AUeWzFtDX1KfmjH2/+SIRs7Cwo2vIxWxxInw
svW50ZxR8Pg8pczvxxLXUoUlzAlPrjEelclogpkOIK4URqMIz5QZJDlZOBgVX1K3LD/bWZfuImNI
Vo7ZGxR9eebBJnewMu2KBnar+OK1FmuW2pdr22guq1G5sdtWTlaz5BCVPZdyBSsqm0eXX0npiMCS
L6wn1qSwGqOrQvPY+HC5XL3xsBc1DKnX4Em72orXKVX6WxVV6jqPRB24OrwSVph+26Y2cV9r8ra1
qc3rJY1dmY/MWWGceTv1c7oO28QIEurM196SMioX1jcGN0uQmcueEfJJBaZRGOk59msJF1F12t+Z
lxtqHW4ygtsbLGvqNqdbNTCR0Xe6PVmSobZK4nyBn5boW92Q3Sgpv21ccNXqI3uovCQVz0hLdi2w
SqnUoWzHkldqicGSZW0RXciavVVSToppQSFcE1GdUhZs7Fmm/oAN/rvVkaftX291JFYrSF6jn/iA
5QN/7HY0+5Pqalxw38cB2rsJAxI1mxbJgLTYahgSMvfDB2xgHrZQhd8Bt37sdvRPbIAMibYnjvVP
sVo/m6+aBqMMA4+u6UFNlvPXdxOGJE3jNs4746jR3xtz5226iN4u28oORULdj+5rw+Jw5zTVWqcF
vIR63FdhEMUl4B804+cslt39HFfU5nPq5Jp2OWots4Z0mGuYC0PpnYqqWw6R0efJvulm/RbhXrH2
WqsKZeV5SncqQiM8ZLOtUsufZal2kzhebp4t0ZK3L14Z2eNRGLWwruBxbQcail6RcNm3lNTxcmpw
e4qD6KPlLO8mw3XXzN3ezHVMH1ThZ8s6lAPixXSo0XGaWD3T5QBZNE2KOlYyI4gnr/FFI7p1r87J
mdXN1AWFSw3khiTyc98iD67MJhyXrWMizjKh6y9j3XqmDfSzk0UvqQ1SgT64wq9t67XuilcbQjNl
EkVjfiVv6oMB9/UmGvflolqbLlN6oguRvRp0NUn8MQPbyo2E1Rsg0YOmJHXgZWP4MiX2sGuNUt/H
Shif03ZV7DJNOBeMaaf9UtfNlvlQ5Yth6bBdYWm2XG6crF8Lqj7l+XFbBzZTReiVIS6C4sztPeJA
oXCO8NSWfWZy44cKDmLMi7dO0hQrEenc3mc3ZZLMCNUB61y73iulSsrWHZZdrkEDYki+ncOxWylt
ka2iELGR4O2jSf44yMYFQiyw7krD1dx3k9/FYrzIjKkjP88N1Mtlw5FFH0YKo/XEWCa7YVBvXNOC
Wb6mqikORZOUD0ingvFtQ4p7SL9DE/9dtaSC8vtVa/Uqymfx9aedMvLRfy5d5ifNIJvPPBMP5ptP
5k9pCHcNZzTbZDRKhEXFvfJj6bL4CZkCmnlprLRJt/w1HDU+ucjUEpZDlyVfgH9U/kYu68NBjcpN
JqI2YQla2XVD/SANeVDfa9pm4gslc/XAGopu7dLXtbcHcluDMJBJu6YTFK3RzU0TdLZYbMXHpk3v
5jRLuWlT+3BRCt0MwGdHILdx6gxX0+hW83OPNCaR4lOzUHyA6YFJ0KpBDgOFAF83bHDQaM2y56gh
onbb1Uoe37gdNAxhMeRYlYqDes4Clt4WFdA8E2ul7ueZSmOIRoASc2Eab+o6R1tBQ9phZKMEwuqd
+1Ije7+Cjjbc14XnMq6w6mX2zZLwg6+0TelnABgujWyon4yCAm3Fqq0dizvOGW3Iw5OjapG7yt00
OTLto/ShCJci8t3EDkko6Jgl1MJnX9IfVcUpLhy7HK4LxDBgBRkifeKUw65XQosCvMbFd17Q/up1
XrXQRNDb08pxE8thpJU714oG9dtfuiLZwXpYXgpdQf6NzLkt/VllYENtG4kELAGm0WfV3h2MbmsJ
PpA2SBDin7pEaBqHEc51Jo6KuFxzFAwXew2Uaxnq1Tway+LtvIh9O4UVIto6arfQKTCknw2vbK88
p3Xwh9gayhSa1y23rAvPIKZB9x/v5mWpRIO6jloVVEQUVn2zj3WtZ3ea6OlThnh3O3l93rOh6hmF
jqWa5DvVKGmyUNw6TPcN9r7pUDhUzbzaoxu9eobnbHF9hpucvEqzSjw9JjEAmqZQhBNkbtI+xoZW
i1OjUF9nszC/XbD/rlzSiPfrleup//ITMUc+5sd6BdaBqw1THbILa4PcT/1Yr/gRi5HKRwMO7LuX
/Md6hRmQ7khWK+IjH9Yr0lgyh+XxI7kMUo/1TwZL6n8MltBymHmZiE34eLSPTcF5Jzp1qib11KXV
Y+iVDA0yg4pVpceC52r1lUUCaAet0ruQBuNNVcmCwdY8iArP61hOfNmwxJ8L2ZtBiEJyIW0sUPg+
3Kk+ikXx60E1OXu/aAPwTL0YdwCyQ6CJ494L3Q2WITWoEwbZbUiCycOo5ozm3ViKnclc+raJoh6E
Vf3CF/2s6us7oVFQYiLeMAJvXvJZ8opas1wxbNhNmLuRE6q4vIK2QseIaV4qhn0W2qO37kYVl9uo
hIGiCVpn8uZyDrtnp49ewgJsDTEsLkr2h3u39IoVwNPrDs7mpdcJbVXY7LZygxNmODtOENJ8zCwc
z1UZMjeaTLEWnvG1Teyr2Gou3I7hSR1nj4lu3HaVVwdKqr/WmTWtMQ/eiYHMM0GR3ma0QH5sR3r4
K9GdUtZM7aievCpVQAS41YsyOksX71ZLa2dlLQz1ha7e4iTA2cKH0FHY53NWYx/XsfGDMu+3TvsI
QiJbcXzUVo2FK8ZUL93c1KDlJFcJJZwrpRjd8TDPqqDghd4pQTjMLi+IYJ0NcxXtjbTFOebhDrDw
VZIPaOH7UPph59jE6zxwFugOrCR9wwemO2LlcbcA51OB40S0cU+eXs/bnG5xmvjSPe5z7xi14lXH
p8l424mulD7D+ZNYuH6G7KKZ9W95Zc3QjWwEtTjVvYscpwEbYYE1OrOioLOoAS3zsj7AZTrF2Lp9
NXdPo1IBr7I9lQRQ9a3IkHNarTr0Qr+AoVD6vYF8TicYzk/AVNRGKtt0oi9i0PrPdh3fZxl+SEH3
EBxYWFs6BR+YAChJK2VPWbvcO5SLaWH1BUfotuckczBL5Upz629mPK/7eEKYm1y/zGzhq53gPp83
+9ouDhN9UGZknGYtO3GbkftLZDW1Sh/UMbyzCsCbHdVOUKgchrKRxa+tgyXSiam5PRWnDR61XlWv
i7k7qOSdmiy9TpJobff506iKL5YnKl/LtJbCHtrbqOYMhD2SfVPLo+Xy5lqmcmAuZ25tFR98781Z
UEbOudpoL65O/1HbzQ816KbVoNWbmkakFech5iLTsM+YP/lDqV6M+fgl5r1mxlEjothJs6p06lLL
+ugRnrTdapMCTaEJNXyhdJTOT7bqSj42Pm7ays9oLJhmiq9mL0c1na2vUs4a6bbDQJaeN6HQ/aQu
Mj/T9S2ngs9uymyiKO+0bLnXlPaK3w//iImBYvSOYirzgF84iJZhxB6YHd2GKEe/qNetZ3yeO6+m
pTkmQTIp00HJZmVfFSNsX6AyQ9bcmNBX4jq7du0S9FVhUt1nGpLU5vCvLCK2dtSqrUXY9EFqKPm+
KPDaqfiVGcfbfqO1y0qpqNopKr7Es5sP6LfOCfkMwOBY5QG1cRllvNMV0z7EH0t9cRct9f+9z76Z
Jozf3mflXGODcewlaV9+Ntt4f8PVP9EriW8Mn4KtvW31/7zhGp+wTaChSCcYss272Qbt0HT1AUr6
61E/ZhuEt+hFt1xcFf/cY//ROUbCmZkGpwxL/qNMwv8+2bByVXXTUCynpXto3JBv7x87sV+m+OW/
8JeHX/ZemPwbVCvQqsn5w/wwO0HvteupNrRTS5uHoMQyp4vRoo5p926j8xOr0N9fyX8+zwcXCJVd
NZYEC0VKVq6L89H5+vsn0OW/8LtX8qHGIUJRAAXBK9EnZzWYdw4DZWX2PeXk9cMaqc5vh6ea8Hdy
2eHd15JXDi8RZXHVVVdi1Kg5aZ3ZVoSCX64i86pPb8YipqCq+C9vhZyX/fY35Yv1fl5lJEpIXZR8
Lwzu72wd6od+YIiumaeRikV6ecERAiBCs+M/XTv5vir88jPHwfOfv4BGRYit8vFz9PwgD5b4C7tB
deYTMwn2Z5on8vMMtxBz59psSNhilun3qUsmYWpXVj9eazl9hmMJjG5QlcUXVoOkUtPNDKFTPYxe
h0CSF496YRzGUG2x8CupdjcZRbo1Mi910Ri6VQlERthiX6Pf6UOz0bo5GLp5Gy+nwQYKE5G1aJQV
JvStwHRf6JfhkpLOeJRbvai9xU9yNOgqEzRlDhjMdLA1YC18Z2GMnNZBRjlYjSpiM1teGsGbqEFk
6TH0Fuux3s3NY5sWq5mOoWYsz7TOvCLClkLTGEq9uissXP/GYqwr77Yz7YA0HvM/BtFWEpmBmTQg
OV3m5FWWP2EfXBUFewXPAolDD993lMUvP6G38oy/vszSNPW3C/8jtWdMcNXRlrqc1K2xC/fLefdg
bN29OLUr7bzbMelb43n3543hH5g0bapgelL22abbqlv7CPr0+PurS148f/0+/3n5Mix5/5U187x3
CvmVrbJ9xS52DARunQ19d79/np99M98vRx8WPDcpljyOeR6FhNzt9LWRDZw+0ivn/t8/01uv/seX
9P4i+Dh64fULw0v0U2z46WU2YbXAGkbPKsd3PzqN/+2l/WwF5ETHvIdgL+PyDytggWzuOLmhn0Zc
KOXyZVAuf/+KfrYAvn+CD++dWsqpR6Trp3YIpMw+Kj412//lA/pvT/JhlfUmz4Z/y5N4w9nSHDr7
Vrc///51/OyW9P51fFgeZ+7VmGYt/UQwDn8RUrh97aUXXjz9/5lCHJMXUbXVt+5/yfnGS1XPAuh0
93/+/sf2+5+j1yp47p7/9geKQeE4XvWvYr5+bfuch35fCeTf/H/94R80yFvKPv/3/3z+Sj1ZkLSd
SF46bi+vb8/wFynS4vr89Rjitq/wuJSvP3/cj1EEEUMNXy9igK5ZLk6Wd6MIlfQh7YA4TiVPQ3Zu
/xhFuJ8Qdgx2P0ix/BV5l363M/oQa//xPlx+vy55C3+5Qn7vyvp4/aqMOzTZEsY19eH61dDDC6Uq
itNCs7xBe4k5YCKYCAotnMY2g6yhx+5yNGUxPXoUVCdtm9TdKe6VPXUigUeTfakREqTZfmzr56w3
nyirRBnpjtOinUc04S8x3r1MluPHTvTU0pY/yNp8m/58kkW2z7GOSn1Zrr9oI2E9WbifZ1hpXFnC
X9HG33+v5S8uXVnU78nK/gW/GRbYL7ZibQimMA+oTghDuBi99HHU6O6u6P93LY4Wep/JVBEN2L1d
QXMAF2BNMbhfiRBIJEzAmt3zDrqAAWXAmKfX2VyOtIZ/yaEQjDPgXHDkW4pa2NrIQxvEArJsh1wi
DLzYujMotGZ6+3mM7Q0sY2KRmoIG7rmXJhwE7AaQfrOLdEw3taKFZAZBJqCQKStNKA/0aQBmXmrM
uel5LHD7LBAXsB10ezpRMRBKHEMswQxK6n2enOLSgthgktS/qJsrtTI2BUSH2dFOjuVtemO6niE+
oMInhMa1Z0OLcbcqj4MZPjDG39g9R11vABth5MUXsqd3tQRKFBItoU3pxSxhE00GWW4Kp6CVIIrG
3NtvZIpOQiqMBlxFBLcilACLwsJnP/cDhc70mErIRSJxF11T3vf8GmEDUTmTSAxad7ZWwmhDuBQ1
q/MZVGiKhlOFqmCJ1KgkXGOejevErc7GMfzKHgpziw2Ho7KvFYKzPnL+uSdRHb2EdsQ1+I5ExNcK
Dksr7cxzSyI+pia9ZfP54qrAlMPiqoAFAtPsPvKwMxLspeCDF7WrJTrEU0I2VdUU+Q5cEUMCRhIn
9PMqyTZ10kOpLHbWkm1Vk45qHcW+7Km61tv+lZxMHZg2XksVlkmF+cfT6vycmy6+CQk8eUt7l5PW
roxWYM518UkuJPlXDKjr4zKLuwZ6Cm5tl0xgygwhUTT8Bi5dyz3tPTncFZVY27nGCKaHyJJAZrFM
6xrvcOI7EtqiaOBbCglyKbE6bbyZSvgKyksN7cWF+mJYI41l1nKBHfxrOCjEHyHEeLV73ROYGA18
sloY7p1MwX/Cl549srshCphTpYPLW48yampGTFRpA5BGWebnyFiwoUhYTc47uuoUcegGJVDh2Wiz
Q3JOIm4IMNMFqhfrme5WshOSgzMAxGE48NwNAHKm4TbLNTYK7iUziMyHlmP6+NbIz4HXgWlarjqA
OzEY8fiNJ540FAtLxnhvwaKDvfrM5zofqL5ZVzVtPIg+RqCTBdSn9pirypEOJ2Z9NJGvibk+V5Qc
zXVHHsamhUN1kFcASjmrWVR0njfjDU0KFV5uonOhHtEoaDBmHGVUcez5BvL/v+kyxjhbebjCvwVd
JFeum159bWXo0bSL5FCRg6zJQ7YyGMkM+bWu1ZNDYpLuXRs3LSHKUsYpbegGsQxYhiQtJwpwAjQV
9wyfXrnKZCCzJ5lpyohmJcOaUUJsc5ABzpwkZ2ja064i29nYCUZClkaT1Gdj9OATyYEuXXxqc6NY
WTIiOpMVHdMCmqNZXTakSFOZJl1YK0mXahEx0+otcFo5zzRxHQjoHHReXDDKcKpFSlWhZ9EPZXA1
T8kACxlmBcD3NJBuFaRcYxl3jaj6A4nQUxNCuYVJJraW4VhBSrY3FFAxBv0Vo4zQYtf6AreVpaL2
KzK2LHTbqCGnq5O+RUC+z0jjisY1gjzrH0wZ1NXoVQlUGd5dZIw3eQv0EuCCuUPIN9cM3IDpTUn5
OgJ9FYSZ9jRmiHceQWHrLTEss8NGba88od8P9tXYHpbwcUzOzNi4KnEpcbi7T5XiLiF9bMsYsk0e
WZfB5FpGlNXUftVY6NcaB6khsbm0ZaBZkdFmR4accxl3TkwzwBJ2DrX+evD0nYNGSFQXp9Cs3UD6
OYtldDqJ+genIwtMedGh6S4Im606q0/g4oBSk9lrQKDJVic7RnNL8qAR0M5lUhsbtUakVRw9meIe
5j7bGDLZvWgGc1eZ9raIfY/EvzGXsFm1caWutCryGnyiBn75qXrlRBAfx7LDdIaZ0XIeUqZ0W9El
DmVhzTJfaDFc9rjlc3bmxca1362ThAJx1q9DSE3aSTNEdVIXZdmFbWfuBye+yEXsus+9Oc/bZZrg
UhLXwpZop5gvok1haUe9tvasRgc75KvjmlgSCRAEijCNexQIVoihgUPRKjvKDi5Ms412Zay+GrP6
Gs7RF245WF3jiRZ5JShcJ9CJcxiQ0oFZa1WQTTmuCMb3VhRvdZX5cRdyZMUi8hhPBYUgWpeuxyZe
M0WswIIsG3tQ8F9gc494s+svnXrQzPA6C52dQk3ZBUz3k1HDMUqgxPtZrt7x9nMX1/LXekoPA5PH
Td1MV6KlqNtt28CCS7wpJ5pNqDmvgySn0UBrxseyw0Y/5TeWOQd2bt0VHqJHkwIoWTK6uuA3JPnl
wHWCC3/i/F7fOpX5wuJ62Xlj6TOET/3Ebq41RWxY4PB0mYJbttZelDHtbg7aRWlTQ+WlxcnxBLiC
MO7XCVHDtZg6vg9jlAexveCbtNt1MWHsqG2zXSWV/ry0DFfzEZ42hp8VVp8LNrmPQtTnk5M7flUo
a41WLGt0kUFSMh30nzXDGVfuziGXxJk/vquXFpBmkh9HjVttpp0nYXdG7/QDJIzHMcykVdF5aPXp
WE0O2OoEwHbK6IpzfnRfzBhg4L/sl+QgTHGcomhTjzqtSImLjIPTxlbsu74ejgu1RRzHvuSmdSB2
n/Oxz+fD5Pa7WczdupzsY6GRYLQLFkIl3qpWYgeNZe6ySj8f1eWsF4ZBEdtCZmCxH9KxKC6NUF2C
CE8qxXRCD3CfomX3ZJZGBjcrqyhnUulMpN1F7FoT1pVQ0y/OyB7GnfpLp24NwB64uElNtudFI4io
G+NZLllkFWJFlofK1ivGlD1n2HFxWTnlNLcEJQ829sAtOdO9x24Lgb82MAoug2f/Ufj5rypscjb5
9XGMaXX3/D/8/Fn8RByWD/1xIkMBJmUJkxAGETFnGWb+c1bNGFvVOQaBESQD+D7p53xC97XlSPp7
WoET+48Tmf0J556hezanu+9q84cT2O9OZOaHiQpDK1dlWq6iMlsWzyZ/ifdDIkeLNNZ9q6IzniAv
UVeMd+M8rydc9it9irQ9l9gmN2B9FCVWFHqWngrPORQDjc4wMSksvXBwN8DVPC0KVl6TXQ/f0Ooc
igMHkUTcz6r56HpIwG47zytX6dbDnN3aIiTf1y10E0YMp6rUuZpYlCLoDBK7kxOQ5IZu0a6kUbNE
RGwIPNm8FCPC+JnlgsNWO84aFDQtsqlJi+ZAo7ppCSsalmSbUy97nWhrvJhk09M8Yyi28fQGsexr
GQb1bpDFUOm8HmVTVOeZmW+/tUcJ68WWfVK1PCo1smMKBy9Zq7feqTJ98RLPXc+yk6pnu89mKd4v
pRnuc9lcRSf1uirJHnJUys8sSxnPoZN6gIcLKh1FeofXjeh4DqkYSvKpwjgsy7BW42JuOru/BVaK
zTpr7qjWOdWNNq4MYzw34eNtjCbsaSks+6BUcrmIqGA5wDitsqY/wooiCzlX+WYZlC1H04NV6pSb
DMxh5IB6ZDS6jNrOMcimzVnyddCMY1QuF2ye2QiCSMC9Kx7zTvHDnq0qAfLzHoQj9nmC5hEaqrJg
pKtkS1pbpcaq7lJ2T7q9Tzv7KgvhhBgULAQA8dYNytsG3fal0bmD6Gp7oRtkGBplW6kFEbjkpOX9
mYFw6xdmy9GM70zYt5dNYgOJynhrVHYea9MDplVSMJT226Yxjo4VMy314Hc3Q1phSCyDrFa2IlUY
BVbtccFEumI3I/zeta91Wz96dV6txTxMuAngKekZhRsGO/RVbnbMDDPV4e4UQtJpseNM8WZIy2Nk
hp/nBvpMrrgAvQw7sDr13mxwmXIWDTSmEHPT2YGbRFdEAc61qQiWaLpoWu8r+mwN2KHlPWztfdQg
zy+2dd717Smp2ka5qionX17nCeA3PD/MlvU9YYuG8ArJOZJyx7KnFzLtvKcqU687S3x1wX+Lhkj5
Em0iMgd1O9L5p2yEqp9VeXyRVNVhSrlZ001Nf2kWEBPtMXf3INdD69tiKz3n3hGVOOlDBz9tOSw3
ur0co0bQuJED6IoSi64mw+Z5zW2di+1IgI8j/v9l7zyWI0eSIPpFGIMWV4jSgrIpLjA2pwmtNb5+
HziKXdtD2t73NmYcNooFIDMywv15iKNBuaq1pwZ/Ajhn6z63JBuL7L6WgfaQ1LQdQvL4yvmqm+WN
3wONmbTumsXOrofWlfHI2TCMePoq/0pp2gOCv4IDVIvKI7oxwMpSed3OJZACvUaEH44RmNQa05ya
AZaxAkkhnS2NVkqir7HLA7xJYUjJcgjGdcIuIXQ8OXkJwy6HeIXOgpbNKDwaav5W1OLvmcmBD1zB
txnRsEYWOcf1UqWS4tgk1r5BwFH53URzdsDcfOQ4zDIhildZkfEyGJV0RjYPV9gYPXEefnSNAG1P
H2/wCpVbJe+fpSJbVar4OEXG0UyrldUwfCKLDUOu2qiI9YOHHJkXytQcusC07v3CFcv6yorgBVK5
Utn0jlb5p9hoIxcKzgZelLVDpHxvop/hyr2DiOgOZLO8DrUC60UllR714ehVgnwceQ2ujMK60aZm
A5QmcvK0xwdCQ0teouMiDuicz1qXv5XSO2lUYhqqlxC+qdMSxWzraeohpXsLrNcIOmPTKjcJ3wn7
gMToGxQh6pirrJVXYihwF/uEwBYfMUg/01Ia+ngdVpUBZS617KnFQso/Z5pJ5WpLso4WnJB5JCjc
on6vClLucUOnjSaPN8ucX8pKdI5ojdzOzDfWCM6F0Jdgi1SJ8DYEbco+RL+OGtB4Fps52rIcEyyD
VCAgR0gIq1s58td0tmsi3/UOZp+E+DhoXhMZI69A7YTUl3qrqhCmaDVPTXnbaeNBFZvYIRp03dFU
0JLyNBQkSZTScA7a8UacCk/wlWmFAHRfVNYGu+twF85Ttxo6+UdidaMNp48+jxF7czorf4w4/l9P
LX7Gr+op+6X+/uuKil/+q6Kix41DQTUIckYh964B/ruiosdtyCK1EfQ9FaXsPz1u7TcJLgwmT32h
JPxE2FMWwp6OCWzhhUPs+5/4rD9PjKinsIMusZeqgbsBFQId+I/1lBLyuLQk+J1CQuma0zg+ffha
/uypf8R3/KJiw3SKd4JGvUl0iGbwR368Quc3autrY3fqZs3joX5j/ntK/fhGq9s3dGxuTeC5m6k4
oCQh34Ic2NRV7HVGWS6HHRL8BmWdG/VGaEDodeFKbcrfhRRIiWwdOq1GX9Ymgz2H6VnqJS0BktBW
yjkg/nBhghGty5cIbbzKmGTSayB3WdS2I5DUtwFajKJkoQ4wITJcVY3S3yt56WOhIfZUnJHIFQLh
MWYVZ+9TX1FXZatWAiKogkXYS6hs7EAyz0ZpCJSA9SMiZ8VDos2ZUlWHq3gcJFuRi3Yl1XTwpjrf
93X0TGPvoMlkuVnZdBgI9N2kebEBaTCz8lV3vpaulTk6miEQv3nOIbRDbJHUETWZcG4xU9pNNgOq
pUEWlO2twcRZEFniK+s5EYVNXna7thTxL3TT9ZiYu3geaTHNtYsZcVcZxosv9YPdGhjKLMHtkuil
hTrDOoHJUDM3KXWeQBAXEE8EevITQYvE6hobvOAHNa80t5b7YwrqVc8UiHrVBratYReq9S2O5nYz
J+lV7TPBbeZw30biU1nJi9ss3qmCetemoEVRe+GdmNXbCKIVnZUx9Doz2k5pxaEw1lA0xiB5qgjU
o548d6rlITDDeojRH0Ngv8J7vCPNziEm9EElYnMItZPe6E9NO5+TiHzqjJ5a52fYUPpjONTbAnNs
MMYPYU+2Z2YNm7QfDqGc3ursiXYbpw9y3nyTfONB97tVUes7k2agMNbPutqWdGYsOHPNU8Efjwl+
XAuYjRPasBQdTu1rrpKMh3JAg9BVAbz4icNIazag+chqDHTjmbdgBUzpKfAXPGzTxiuh63hsqrep
iDcmvRhVKZ+7WnwSBPG2MZj4JDiG+xEKuZZ+nxP/OsnYL8IpOCTxkrVGZp6tCgZLPUrBsgsdyg3a
Zxk+QAnZvFCGZKrOhnY0xybfRbASXaGUelfTb2NLfezKJlgJMgeGtFzenni4FaV4j8bWXLq+bIkV
VY4gaTejSUe7A624B3mAnExXGs9KSxq5auR7QwOas5V1L6JZKOomkeqVT3CY1fZeiK2ysPuSDdXN
6t5vnGwS/MmOoz46jXWkH6pSF12Lr8JWkjJwiKknZg6qs6uG7NppJ5CXMNObyVs/uSlMXca904l7
zEPkYU70tKp637aEM6hls2X6ANBeWYhEctVsNJOUuSDqDroUIAFOynwtzRrolJkT2ChLdqempVe0
VYF5OUrPBoZWEiPR+HEgIY/VL1+1efpW+8qLkVQb1jdsQlLmWBLjrCkVDn5CiK2USgS76hrmnbTI
bgsNrIctGX760JFyOfQ0eDHRn1XSAFlZnDpWXcTPnYsSdG9UBguixIc2huu8U4iIYkzAGrULKn+D
YRQoYkyMfHvAt009FR7FVHxIGDco3SKI8dN1PiYQvXy0mlELh9PXkZwQY+mrkfG9HATZmWfMtXiy
huwukbJh1UfKWjEYkigzBUxozok3R1F9nM3kpMglSt/mWqr0xkkbYlYZtnAI01yWvK0s+R2QO7Q1
6dTfL1S/TM6cDr5p6jakcHrT0GYWa063G0S9eM7VVmD9Fd4o8CHSdBzXuZzq1nTbzpw16Q4B2+s3
fRz2a2ITpzVLf/jgV1xB7tK7HD015njR2nVQpXaU8accvbiTGoqJlRc3gVoYd1pVxPxXTKcqkxvE
oqrvk6tT3en+dGcS6/A4+3lEvgJMEa0LJNsYxlXLGGVdin2+LqaqcHDAVYTOat0jrUeGPOYUzQ4H
DWpjNWw3ap9ziwfgU2ZWu1NWPJGfAZgGpKSB4Lah8zsZu6Sa7sUw9voIUimxvvddKt+ZXWWhN0XA
Wghx7RZ+SgetA0lTiuKTgh7PVUa1euz0UnLBv852EvKg0zbnHOIrj/Jotbe+rI0rin7LiXHdeZ9v
zxdSCxUHEh4ASg2L6SfT9ot2CkkECBODOD+1CzJ9nLfMKK+Hull9fplL4dyf18E+oOEs4LW/LAJa
Y84SvJCnLE2PqMjvWZWuTHIQWC5re5hox3Nw2vRETKdmsmnkEHybjIo337NSHVBAYTFMrkPSU3US
C5SwczoLtVfg/yg6HV4Br4A6myddDF4+/+i//IZITzEkVdUU0tx+Ll+0rCui1kry0wCMLpiI+s0g
FnyhxbIuNEkqOVoWkV0LToPviAf956vAwC2nLOn6Uxkw2Bd0dcsgSrVFv2LfILdyiU99FOgOXJOM
5k6WuEUuj5RtAqPkK+L1HGdkn+KXR51o3ebsSl3Rn6APYVjELeFockxsfRGcIiHajT7Hi0HmvdEz
EownS5tvNCl9SdoUoFAQrecBwUEj6V6YRomXtMqrgEMJNh8WBaXSQd1ZDKkr8AMhYni2omUSoW9B
0f2AVPAyGsswUlwAxulx4lBoG8YkbERpiI9A3DImvV1I3cQZMrRiWhRR8M3vpOyuGpDVWxJn36wk
qlMv240uDV5fsMVJS08sNhKP/s4ZoljujjPCOUlJD77InGXF1HvLuvhkCszADDpHU6w+YY8I4T0A
ICh1WHeC6M4qpcfIa+YaAWOxUcg2dZtpdiaNO7SGL0kkh6+c1deiXmWukYZHuUD7pzTVKlIaCybW
eJPpenqycNRL+jzuK6P5QglHtBX3+4Pw5P154IVcyHfoXKzFo/OxaAZbWOT8rD0ZkvyicE5357JP
TzpZHjbr6TMnRJqQTehI+khnJ2VCrqRHvhVIC2FibIDxHZkm0aWTj1phPipqHq6aTKtWXSeqW5RP
nR1EQH17szc9sVCzDeZWGNFSVLlmLVCPsBCJWZFDHqlu4cyTAhQyKZqHrrFbDMt5Wa30bEbWpL9Y
i4qqlwrDqTP5XpcnaucJ0EorucAJEBJCQ6XDoj9CSKE/K/+uG4jGmGvcm1a60fPxjviZg9HXTgUC
Gq4LTwjIhEm+1fr+mMThbRVpN7Ct1/rUPpoJx3rqRtHTq45akLSEpoMjYi5ADSVm4u7L7By68CLw
TDilpTxJivAohRDeqhbxZUhYcj8juhDGgrjzei0CvLTyHsYiagvQ0WrSio5pDnujBkUi9Qgi6V8i
urpTFtscsNYG6yOkgtcK/GVu6J428Tk7+nsQmkAnHYxcXw2F6oYMkpyIGCfZiq5p/iXbyZy9oiER
PAX5VFLQFHrAuYSXsRes66Fq30BF+QwaAWt1RBS1HW1eSGoydnO8UgedRgFRn9wlKcjwc8z0ValQ
ky48IJ7x0PE8FMQmBUJ0pYWqHYTFSk6EfcYuHg4BXI/0qS+bFaPF3Noym5Ukds3UH1Yt2zu4q9Lt
hCpmzIwtBXvTTMysYSEKGKRgIUay6M6ytIqBnDEFuwLKuSEaGXpJdSBLmaq3TYVzWi5S2NTYqcGw
L2VQVoyJuTfYf5xBhNFQgrxoOCWkOnnFZAN0Ru74w5WueQYMYmKVsnGlT6tC3dACfChFAa2TeNS1
uvZGXz3E4dDYiKT8Peh3w2nIlSIf2s/XQz+7JXXDpphokU+6sal7qhCjoHdk4J3s/Vr6Ymv74k1V
LnTOcmhNQFiSDiwdCPbmSNy4M9LU8odzUh/hjn4hjrxQyV6uDMrFTiqHoAXyjJWhKH6ALutHpuqH
PHgc1M0XG9+y51yuQeS1qDK+BMNQtWVn/IA8GBrwYbHYj2DRpsAro7FxIl++0wDSbcMCdXIy9oDD
I/h8kihhfTE1W48LYAIxQBlGhtwZSXiDqXQ95opp90r3TYiKcyEatynlG6cebHvy7Rg0o5u3DMXb
6DmP1QchTMuboEt6kp/Ddp1p3V6DukZh4U0SwDxKvHXeKsYDBorbcqY1p2i7Tmm3kSLDQpi2Wmmd
h4S2L9u2IST7RKZDS54InG9nLKWHrKzJuvC3QynZcTqaSA2yl1mcyOEagqdqtOoHOfBhLDRK8MW3
+nO/BY84G/3HL/VCQJvoah7V4J5P5vgczt8n84uI6K/+/YuNQxRSauQgmU6ReQuwECv2/RePxedP
hX7x/CExTsREDqaTJl9FqmTzNYnh9EdX8d+Vl7+8CA5USlJJM/WLR280mgEBDX+FBe+9fW2HjJrk
PhqNL+6G/PMz/t7+UvDZS2y1OPGpTH9+xqc4Aggzl/KJMuaVTc29S1eYMT3gNs6DndsPW93pD99v
kH98G72X1Ju+80Y3G2X7+bcqL322y5ft44Z/UQBafWSVFlOrU7siqMUByHTbrbPrcGV5CzZ5Ja35
nlfM4GygWx5BYhjBT/nr559ikfD+16f4+HReKK/Rc6amDHHw9DhuZY+4wZV1ZdjnRrVDd/2gOQfd
zdbWKVyNm/xW29zBN1mPG9Y9e14XBMK4tM5cyxUO3SZfN+eQCYkduN8KuzuJzrTWttYW9eKmvs9W
t59/9AXA8OlHv/gCBbmJ0lKIeC5tgnZWzQ8shHeSWzlEbbihCwV+le2K9dXrweu2xD+NTrwjemAX
n/B0OkSaJfbvvvPt80/17nK5vK0fvtBLenEUFX1t6HyqcGvZoTNvsrV/l4t2AkrTBrxkY3e107V5
qjbyM4007/PrL4/vf1/+n/foYrVhqSFur5zGkzgXnjEM+1lITn0nFl9sSsuq8tl1LlYdMzKVvp/T
6URNbffDqzhuBv37BGJPBH1SfrHl/vpW//1XXR4mhYzFX6vi7hRCVZv8mzK4/vxr++oCF2c+ZYQ8
q2OqPBHoIcf0AS3D/fwKX9wYY3kRP+ytQlaauTHxohXlCTLMqpQf58784q589WdcLG6NlCIMNOL2
NC53hWQxa/zT/PmvC/VXf8fFA9aBRevyJptOAzPrSD9lyegw1Pz8y/ri6TIuViXdD4SJ5hy7wYga
3sq9JG3PitI5BpEWMdq0npHt55f85d+1KGAk5izAEi4uSSCx4pdR253U7K2OV4kS0uRbf36NX96e
D9e4eGlSVFJCFarjSYuJIBGvs+yLrsJXF7hYEuckG5WYMLmTyKJNMzpR0i++posU9b/Kmb9fRf3i
OQ4JhYWTzXPM2cCGbbVDCX7kiIBjzAm94NzZ2R9Aon994hbjx6drzfJXf3h1wKnAVJRD9qhHGsM5
qyrzUhsl4ot0mLe9fUWsAT+wNS9zJNu8Fuyb1lt29aun6krZcWqH9uZNrb3JnXD91cf75UYOD/Xv
0uXyyYnqQZR8XjrpvGzkgt2sU3WbS46drFX3Ibd36Pj3b+J3Dmf1/bQf7OGL1UtelqfPVuOL+94L
jR5W1kQt4RLv4yKvlRH57lP3xjrpB2XduU9E19g5HdtVvS7XXyfdf/UR3uGxH26SMHaCmg9lexL2
BK1in7Dj37UVcQL77se4Kb3sYKyFtfAWPCnOuE7OgRv/+Pztej94ffItGBfPSdIraHVyHk1Cj1fk
Q9nRUtVtE+eu35ItGS1Fywm28YOIszFblWvjqrNrt/PC7WCHz6nzxedZCuP/+jz/vO7axUHRFCxm
QzlLSuVBQFiTpzWu5tV8iPaS/RpsQR065rbc0NQ7jI5x72G94Ba162R1G7lLkfBncfD/0b3KKvTJ
6D58adqX//alLb/118weFSQ8G53FS9bIRtPZ1v6e2StEISBBVPkJr/kHGqEq/QZ3GVUiThAOte9u
tj9VkGCZZbRCf87ylybv/4LI0S6ebY4twHH4VyTgYDAACdv7eQ2Ul4uXaZWSSWDg1lLpyUnq8K03
dPjslXAuQ7Fm/BodkxSyRT0BBSc7jnkgcI5+NOmZR0dCY+/UJE+dXMJ2DHy0hDMyk62nbMy0W+mt
jzha2uA18jKyArB6EuulSE+NBt6E4QgJW6HXjMhzjPg4td0PIw69wVK8VmAQOUnlkezQVzxV62Cy
MFs1ReIIUdZt4rLe1Ja1b+LAK2RtNcuAz+nTgkLpDzouaWPoT4NMi3+q1QjntvySQg2QRfExFHtt
Zfh+55SM89c13WoHdCQDIL3ZaSOTYZMgvVYWNpYSe0kY3/p9WzojkkSvJy45J3bSbsxyNeiZuMn4
cHsFb5MzmwPj0VzK4dAYZ0tJfwc1XK4nmS5rFKDDEib/jrC4t7TsRlfMB4Hma3xMcA+4ERxASL1l
isSfJG9jLCa6d6aXCNMu1FpsKkN6jzJOANaXox0qrkOg63ZuWjuJQSMRVe3RyuW7Chmc3I7XETMz
r5uJbZ1wIYiz+SYJsEkFOb8mtjSDaGQ9xbF0Q2EvYN6n6QpbNnMmXbmbs+gJn4w7pAjCIhNbnxJF
B0S0ZIaLb02DdwEpgOrKUTd5kKVpn/vKddeGD2HM5w/g4oNiWyKmShU5akHOQ66oHmmKP4qYHGic
a0NAfkDESJEsLcSjEdcRx4Yq3MpxFBLHO2U3xGmPTmGWzA6Vbk0efGJXeYuhg0mDO4BcZYrQWgiq
EnWdFd25KMwHTfK57w06Tgl+k5iVT1IXHdo4OtSRFW0FVBZk9zAxUGV63FYzEfVLZh+xwOXaVwq0
/9aBJrGxZYCL1qGJTmJcPJEpHK2qlD53F9XuqCKHH/igtAk576f9ppLEK1nGz6INCzAS2GXQbZu8
vO+Efl00+TEsihW+Iov+Y9RgjestHE0wbfSUmaYp9o9zFf1oeplAvHE9RCWJiDm+u1xfhoL8VZNx
VVQDUcBWf2sm6QpXRcWu0x99IVpNooUoIT9LWn4l90x8tfksdLrl9lO/loGN2l2HNrQIZ1SqjE/1
GJatkOE8AdLko/RdTJz8o7QDS4fheEYruOOELvZvYTIm7pgpDJjL5VVNmu9jDHepMN+MeOwYR1Yx
ElbLWku5tg0ldA2zryJYk/Ha2MCmkDiQr+lpo4LPxQgx0Akm4kbyJwO8obvCT+JV1qu/d1rL6AUT
YaH0jzAAX2djiGlwM4MJlOFq6lD5AsEkS6/VWwp3uUeL0+VyvZeDtN2z9izc9BJR3lhVZIdn7VbL
s1hfKR1T/ntyIkxzHaq1tMZKU/IuVTkgY2OsZ8/sSC/xzFxQIT/1yJs2KhFRiDUUbY5OQk4A/a0l
ZlJ7O1i1oOy7saP5oOVp+AiyXe7PSVtuigDpYBlPhHKqibqKIi2wKzDNUh3cNL5CqEcy7lQ171a1
UI9rU9D3mjGSImyqKpNv/bWCcm4nrY4TNVYfEwEEfEhcry2Js75TCh7mJDchbKjQ0ieteC599SWM
cVe0JrIdpvBvrRUy0Q8LEa3rQDSu2DMsadE1Tcl4nAi7GyOLI0gpHNW8vhb8bp+ZxTPi1bdZQPoy
4ppq0JyjayXsulHGXUgHVBxIbTDKlygh7ynyUfvIUJxR6NPUadF6yPHJb6yDEE9PaSi/zZLIvxJo
b0mffQPu5wrzTp7G2FW1GoJ4fZMs+noxFO1xdMd0n4bGUcQE5Fpj8UIHbRsqCq4egQNaFc2kXcvZ
STcSJEKaFXiiIFzjOpDdwdBmgIbdkWbr3tJwE/EtlBsjRzDcFGK7VtSetV0tXWYOhjczE8a+Kdy1
iTtrwYNcN0wC0Du4ocC82kysgYsv7p/E2igzQ8l5TE1XGcghHUwcz9lYDuQLDofSbJkmmxgkA8k4
R0N+RKaZ0Qz2z1YOjSZrNkHXvujWgIG1T26nVKg8aJAp1Ho2EC3u7v0OBH034LhOi10skHZpdPMj
A34UaR0+8KSdC6yBMr7rov3RWNY9C/RKxPaaZOESPqtsOI3dVz2pMJExOqhpttWgYHUqbyyt+B6x
0aEEEU8qmcyMon14V6q/9mepdjSx3gZCz5bQDoEta1Zsh0mytTBm4x7NHVJVq3WjRYMTqQ0KqO4K
VeEql9tvfSZtyqQK6X+jVpk6dfQSkZA3UTIrJG0+ZTg+Q8dAmevqCUIMQZDWOoLlbcsX6sA8PpO4
G9um0e5IQ63tSkfw24z3KNZED/HSEUavvhKiOVgLg7RPc0t3MJDii+BN2weSfKVL+I6Fhplhm4tk
u8ug+RneQDjHIIDRW2EMFV2FXfxNEAnVFXK8EixyLHDasJkzmVdCM69k2L3MvJSMkeL4CiXmgR7Q
ucmNVya6r6MurspGfyyS4BHKuU76a7T1s/JRLMyNota3gynvmQ06ijwlYNrCvVwPLwGU5M6Qf1gJ
2OUuup4JkQUcJ97m6rKIY51nrQ//OAj8v+zWOGH9e9n9DX5E9yv30fJrf9XdkgllUpZRpYgSvZeP
mSfIaDV4kIxy4OyKP6Usqr+RL4ZmAoEtyth3SsNf7iPlN/RTMhAJRWRSvvzof3Af/dwUWoYFxKdI
zCOYiGlLwvnPVfcowkit67w7zTxDFcsOU3jKrOyrpoq49Aj+OSq+X0hDkqtKi95EFi/JPFLK5E2P
1RJvumbdozQlySAjeGPemKap1Y7S5p26bRp/vkWwThWnS+pDbEKPKIsYoBIF914yMso3o9bGqxBs
gDIVcBr0KSDMoU/iRnnux0o3rwa/6nvGucyqe5VwAT0RUugxaSN5UVkWslcMacdsXQgQLpKHlT9G
yWR5GhZA0W3yVy1Vh5MB/+Ksdqx1jlQmKYNbf1SctO/wDS0qXCMaCuUs9os6t0/jc70IdrOSSWlo
XSmS+END0ptji/WR+BrIYXMkv9qi/ZWpBGkgk8ih+isrox7Jtj45sgguswjZmeSmU/VGmPHNjKpY
Ql3cKf1tuozGsYXGT0aCCWGZqxwFo6zxvGj6Lo2sY2llEIVn2IYseMqbGjf5RvVDMMctuZdZD7c4
SgX0ysOCg7JOTY5VaJbNHtP5LK+J+b6fJOGRMWblMrtHT9O2gWzYWIpRtiCm9WQICx7HRf4J/AgS
NMb7Wm2V0dXNPLxpSIJF4izVnjWK8MBTRgSk6zG4b5KudlWhppJEllMBJd+FgiT9kbv0r100eel+
XDxiywkWQBeYVdTZS7fiQ4OmmkgNC0azPmGBfaGglW7nW1i+9PDaTb5hccbr4KGf9WqPVtpOXSke
jhnnS9TPf3XzGL9xgLVgr4iiiqP258+BpmjogiYsTsAFdlMK9TxB/Ig2RGW/NhLLq3qfulPWMfD4
pngMjNrfSdwjPak49Bg0haHWIxSbn9uxsFaNjP2tbcuVb87PhoYsLPYhmvrz+FCllJlyXZEx3GAF
GxGiwF+gCNPC0eP8ux4kdlIyQisVDN6sWZtZYZMCBIkyDG5pSzBPZAHqzPJNzCmqYF8Bbll6wxAc
ZJ8QiSTHHdLjc86yGIdeX52G0VLWVYCIglHyfQC3lh3sCNyBEDGzXIsJD5phVZTQYnz7YXm9+uNe
flTe/7yI/NmaBbrHegnBRrlkQVmzPFhl5tcnkXDpNQsBdskadzEpTJ5WREi9q6+0cr9ufn645sXd
FMaeCIQkaE5VoJAOSkXYBYU7N8ZGzbojUdhUqTqaY6NCEpI2uN/UfDrMqEfxWZKlGJmPYoQYs2+E
N8KAMJRXyK/0a9GfX7Wges4G5EkVFPL/U+6ld4alyh349z35tkhf8l/AK5ff+mtLphW2KEMBMbEX
afAmP7TC5N9UemHYUPCN8BLzo38QTcv/uuDmTRHppMhW+deWbP4mKpSxsCtRgCyumP9lS5bMZdP9
aSFb1g/0KSKLGLGI4sUjp5oZ6I5Ons5mG9RX2GOzm0gqjcciVeXdNCTJE6gDY2UCIzzig/MZhPWh
S6sJkK41tLehWKTreZaiPVEUvmcILSteBBjBrMRTuiTv9YrkHzTottckM/D7PeWJCyVz0c2V40ag
kTPKMxEeLWJhZIrJa+SL+TrOCfWDsALpvmzG5ywMg11RQZ9QhTZ25ZxVqzHNkibX9M2SKydMlZfJ
z4xdR19y1RbCsM+TwvLqYkBR1Fo+0ATxnCgd0/QoSRxLrwh8igAVLbL4wlJatAHxvJxz4vhHOUmD
CnQyc0EMBRz6y6dwDHzsxr0TLZZNMjWdMc6TrTxbg9PiD7oKpOBRTKZd1Cn1Si3za61Aa0ssqLBu
9WDezUGn7MJQNLwUqzAMp2YbtarlElahYu7PVa+XZR/JZm/anKOxmmQlCeZFfz3XpEGWKVxa5PFA
azUiLRIT7kRgnWKFJls/8e0InRDeREMJbimSpHOD/8adjKHcVmGz6+T4uSoNOL3kJxPypccewlMy
wqq5dUg5CT2OH7WbCmAwfOJNY1UAwwiwedT6dfaegDqThdovqahjq/4QErDOlQixKdMAwgw0QhPC
VHUFr5yB7yYZx7VM3KocD611UC0yWGvCWAn6vCoIZxWDxqCNhcsP6zSRy8Q8EeTqL4mu+pLtmi4p
r01DY8bIs32jSD80jSTYRh9u+xCCfsMp00mWvFgSNs9GYG1ygmR7AmVjgmXLQVyHS9LsvGTO6r4O
Fhz7JWG02RxByiCe1lLRI88agbW0RUoCbLHtpy7dvT0OFn5CyG0m19+VQeKcR/wt+OM1POv7asnF
Hf2SOcOSldu+hzpWiQbVBbRP96pS2TlU4XW4Av10ALlR8lYQLnaQ9KXm7SaOv6XlKy7Vy3gIdDna
vq9B/z8gqRQ/nyzG7UseNelL1/xiNsFv/r0gi0tyPDBd8ub/BPH/PZsgF3Kh9qvMGpYgEsYC/yzI
IjonmTgk+tn6+4/+WpAN4ksYJyz6c50TDsOO/+GMRMLS5YIMoQFMBCcRSWUlFJeK70NlKZiCktRj
Wpw72snzkTwQLT5JULxkr20zkvOiqieiNtVOWlldYdl/VYNw8Go5u+slsAWZlB0quX5Kp2KXNvlN
RKHfCjJktdg/AhY7liOThNwY1qShBTBCk0MoDg9znP+womYEPyc3hDPqxbUWzCspU+mVIODu0EW7
sorTKG3jY4sacGSM49ZKn0vfIcnaYw8YhlA50DNb0VDqCOKT3hKvSubebIvvLJLsnUvivzNKFhOI
sWBLKsPa6e8kE+WdauK/E04sKwjVQx1HzVM8+DT+mUfKq77r49lpu3hvNLkeO6j1GjpUCKRdqzHr
eJPkRj97VU1KlAc8zgow/I/fOzKn7CHNH4xS64gJGkgYshjdRvpL6ZMyZQyQd2IzHWibFke2n8qR
G0KwiQj2qpmqK2QuU/j9vSz634R63raGcNPTAMv7YYtbze2F9jAOGsRNwEtmqTt1KjNhiF5KodjD
ZRVAsXdHZLoEHQnlxgwxKtWWdNPDOYSe6OU+CQNB+SYrNfkew0aK2h0zlk3gV4fAwvYhj6euqL+L
U3NjhelGjvV7euJuqBkcNoKzHiKypkC/TcuZKKWFQCSuB625qVv6eeOwjXX1ITPA1Vvmi2U22IGG
zjEzRYak+pZLhaem+kkZOo8W91otZ0cCsOBHzRWgwKe6mWnWmS54QQ9vxIko0LMJhwLjwylv1E0z
yg/zUBx7ObbVbEkdUOkJ0/MOw1PsF6dGsfazoq26tt3FWrzGtfYsa/HKjNpjqbTfgwKr2QK0CQxm
ajUp4Zm0NvXxgHS8tTtLPHVyCIUhPtW6fF1N7LezcK+FyjYlzRSfW8EKnm0bRNVIqWzLr35YakP/
L31gqHZfiOFNGworv9QOimqu5C5jutEzEJikw6CO33s+hGPlkpvk0sHv5x2jQ6cO20NgSLTmxv0w
htuiyUB6TfWP2pDRDI839ZRYth/02rWh1etIH8KT7qvkXcnZuU6RxGdJCoI5kgtiWtihJ1sbq7MI
H2KQeKS6JUCTQt2pFohECU1igioh/oe98+htJEnT8F9p7D2F9OawCyytvClJJakuCUpipfc+f/0+
IdMtw6rtHgoLLjCcQ2NKUjAZDPOZ16AugRPGsYXaRC9kJ3p8U9s4tmZg1n/U4cDyQ6Iiz91lL0Qr
JM39QW/jpBNyFnbSXGHnNdckDUVKIXkB9wLVqCcZDCGIIfmUxfNWSueqr5y4uv5NF/IZkp7QCer5
xtvQOQ/R2Kj0BIgkohs4XkiQ661wUfTKSY0yB/oVUwMKrUy3ac7q4NtSCaAwHD0vXJCsKQofqsYl
6A8V4pTBGUyIYw0tEIUmYmIWp7kQCemK5CEXsiHqKM2wYu5moZAUCdAWMWL7IBNiI6WQHUmFAAnp
J8bmYYOyI2ILqo8OZ4heCbRDGl4omCRqdlsLSZNBRdxESsZTjB1OelRPTCF/Itnk3jkstD7wkY4I
228mWim1Yx5KBpB+qYkXMa4ZtOO6ExAIw6QVUiuJEF1xhPyKKoRY6E4Vi7AZjjMh0mJqwVkUFdet
2Zjo4/VXnonFuw+rOkXhpbWjM1dIvsCahqiLCoxD1osYg/B3ExIxGNTGR75hRv8ujr4kYlyTv7n7
OTnW5YZ7n7/6897nckciQNVe7naqk2/ufYfeFsByQeXDa+Cve98ByIBUE3Ak8jNTFmY6r/e+vUf2
JeTZMR4QEYX6T+59ylcf7304ArBVUTLAwhERRVE9fXPvtyrthkJyhjNurWoBED2dV2hXRMDObLc4
suWwN+jTGZKErx52HV3XXMqJscQaBHqu8OoJfNk47oV/Dy5i8LcrrE2wR5jGg1YtVIUynCmcf/q2
yC9UnTIC3GyYLYNn4EKa3TrC20LC5CJF44TKzniRBLDQXeGEIcGemmiYYyDg2U5T4Zfh5ThnBFmH
HKBNvN8E9FHSRL2IhNNGm3TNLHGNuVziwiEJPw46MtWBAsmHA1r4dQQYd1DQWncYeWQYeuTC2aOU
TekgFG4fnhPHOH7hACI35g9VVb85whvExSSEsKmjj93MKqEr4mIkQgkYpD7OIr3XXshYjSRNfu1g
PYJj9g9ZgmgnPEmCsVOnKTYluoEeaYNxyZjbj6NwMsG+uZjaans0CJcTV/idSA3gJt/sFw5WKJHw
RDEwR3ExSbGk4gRtrNsw4EawhI9KIBxVOmO4HwP1VAmg2XR0pQLfi6cyKkL2eaXZ0rCUmnQgpuD9
XBnCVVGieEUJs8wp1Fr9QnY6Crb1UaM46B2M69G2g7lhtUdpT9HaKi17UlUckmmDQp6eQKQsbYhC
jsdp3Kn6Td7EJ42EQ3eh5/O2V41ZNaxd2FWoRtRT1fWEj+TPxqKkZEVGOqv1MVsoch0jZoOOfzmY
6E4WMpKbORiLcWUXuI8rwFHIrTNCGiRRRWf+oKUvFobZRSMneNmZ5Kg2mphjgSxmwrGvpctGMfG3
827qNHcmdVIdeWUdEyTROLPpkmHDY7iYl3vocQ1IcVpxGsyzBJg8MndoQxbOdzzRzqMEpaSiwuup
syFtFtBcaiNYURPwpnWbrayenimeGBSyJRfpyJoiPFbqUBw9nRqi2sgTWUH5uNdxLcCa9tJyLdYU
Ijn7apKc1ORn0yYVl3g/SpOgsGj06/pRLHUXpuLfpWBYJ2mf2HOjMo8TU93HZJ6z3XPO+hSBxlhS
gav4RLueXE2gIFOO61zAkXF/lvXSAW3MEi3Y6KEJm5sw0e7zAUULHQAM5fU1CchpqXr4YELXalHS
mOPlUEIbTdtjZ6jOtVx7DHWIY1Xuo6U83Hchfl1qehmgiz1NjPEuLmoZRzjDW9hGiPazaOTWLiIO
WXGhej7mTmG0DkfaAYPqLsemg0UXSyYGmsLfxgsuM99DbcwL4rmURzdpl90opT9MzFZfIUz4IzUh
pys1NfU8Q4oZcaETdLK/h6V0hCLAoe0k8lzujbnp54cuLuAgLZppSwMIqrF0hznq0gqz46xM4kkH
IWXie9ZtPRIqRJ7m7Le55cyqBAnkTmHhFZWjn6lRZkuzAvjB479T4qf6pEBB/vpavFr7q2T1+VoU
f/XmWqSQqBrUILnD3rUMVQHVo2qJAbCMALbwnXlJh8HjkT6TopKmkvmi3fDXtejsWdjuUKDEJow/
+mdudobyvgxPL083TYPWow1KzzbFLfvuWkxj8OUxj3HWOn5U4eOkXXuGvB+mqXTYxN5c4RSbGqK3
77bNQd8NyiTDZXKutM5hbUTmNAd0t/BC1AykDBGokOWYKkEMbzSZh03+4Kk9S3asmx51KTNrpJkm
Nd8rcphvA7rDS7M03WNfHxC+662ZWSCGk0O1PeEib1CHVSHzWMp97VY/Zbep9/MuZV+HSjCFuhvN
AWsgmN5fABAwL4o8ASUWdbiUxKhwl1ghT2IHUICHSCg8cg5L+GFzu48WoddI+0poufNQ2NHbTfCo
pGrPndei7lcTw+6blQscIx/dSa3RxIzcVDlzVUzO+ibl33wn3beQ10Dcur8YhRl6SdeYd8EgfRRW
6aUmIAy4p8e4qIe4qfe4qtcldxpFrVUNU/3IFNbrWd0aAA7Cb5lRibrAUSvJYK9NDWZuwi4fRdRb
4uaOWgNqLk8G77YkdFwvHZzfwVLaB0YxnpddNMzAeN5ohfWQ4RZfIHSAlr1/SJftHDfTK69FfKQj
DGhxmi9z/UDGeZ4Ev5qpwoxeSXULvbrsNuziQxO/+j7EuH7Awb4XVvZN7SwCvO2N1Fnnwuxe0REG
C9Pa5tZiWrBOQx3E9/zjIOjIjxD2wHU0O7eH8DvKgMmkSyAVxSmOftSkyVUykHJjVd2YbXVHNjrN
aDDOIyRRJoMXIBcZF98zhPQXiYw0XW+b3qyS+6uMrz5+wmkFLT7T2Km2U1z2sqmnN+e5AHbJAuJF
wPag5/Ut1czHxEv1haspj7mAhfkCIJbSXHMFZMyjoLEwBYwMJRKPt1cxqJMRB5Cf8GaBgJ7lunYg
CTCaRzV/qtkZGwGk2gBiTQe5pgkIm+N2KE2HFVK4ZvWTqqTJ0wpnRlvOp7mAwQWjhd2760ws0KXA
kNgjbp/Fk1YA6FylmFL50dCaaJdeC8jOt/szDdSdCvrOB4VnRvaBBCqvUQ9QOnS7E4cx0a66zAWA
zwTJFyXmjeUkZ0AsuRK0cJi5oP4iyMdIFa2rtL5FLkCeZT33ZhbmzryynHKa4QmLwlC6yKL8RFWb
ZYWkdgXOMCq84zrJE5S8Ydaqw7kKIlFvUAq3BEix7PuzJFZJ5uX4zgfQaJggKk25sw7CwjpWneQ0
APwYCxQkSqUolkfRSDgDRtLDOncKZDI4aABQqgApEa+7iwWy0ibrRWTfvdYt46YpqzNVoDB9Gg2z
XiAz4Yyj7yTQmlx36H429dKjJELIO/ZTieZKZ7o3o0B7IjpU4ZeIQpVAggKlgepHkJQDFHXHcl0I
5Kg6xkKRVN2nzj6SUIMvdZjWaQvkVAV6WndoUmsCjdqGlQ57vjT3I6CqEDaPdKCrge9bmAqDZo2B
tcrAW0dgri4gU1SXQL4WsM0n+KB/wz7+DtaFAB2mF6rAyyoAZ02nWVJpGYCf2i5s3vaiBGTrArZt
/epEfkLf5vYhLgnoXVjJRQxAt7cC6dAHshsI7K5c94cmYN7Wi8GvEpJOw4K43ky7aB4L9O8o+yej
wAMbRGOId8c/vdG9wiaZXF4RBuECR9z74WOZG2deBsJYFlhj2i2E8gJ/3GHZuV8DSbYEaGosxotB
oJUlgVuOHO+y14J5IwDNAJvRC2tpzJSHhm0QRiu+N8WVcVhqnYkyh5kZC5T/bxPA0jhmrYg3A1oT
4KhtANUEQ9cqAOvRyvhTNZjrrb4ogWC3mX0UAMkOKxftLhbRtBuRXTYAbuOa8TAC5DY8zmw62XMT
iHehlGtwuSc10G8UOOaAO2DEDjgoAQ7P7BSlefCOdNfnbkRoDIxc9uqF3rIIZM4jgTO3kNmZGQJ7
3g/WVQ4YHUfFdVRzUAaamc3b2Npnc/eTGgg7ZRdcPyvnrHTAmKnA3GPWLSE7hV1LwLNaFYY/3bkS
sQisqcdsKQ/eiruznGeBDwbFRyNR1jTsTmwkUiXK5MuyKgGyKJdG2sRI/TvXilXfhajvTErOBVp5
ALNjC3q42yMvr9r3GpztZemUC57vHuHzDAB39ggCh1A0RFYr9TVqiVFozFyq2tx5J53Oz7ocCTSH
Lk+NuIVGMXXuJM2jKzpEslU8an56FoZOhYCki8QlTvRKbmJa6w3+AhsX0Ca0qhBDa/CcrDnBXNuA
9Cizy/IArHqAEULj7Q84pc0tzkmJ6L2T0sshG/1lIIU/IgsRK+JmzU8gnrrRkjiC78BtLxXUyJGl
LazDUbIO8trnKk5RFI4JjRApHgcwxkp1hoTxzBuSn3C+M8qt3VmPtBVBu3csawFaWHX+E0cKEJ66
c9dhwDeXCrRU0H1dRT4ybjnieXLRuBelnZ5wmleOe6K3/tIPqCIhygTMUMZztDjNYlS/8FoNZM+j
NFZQA5cVp/CfGXH/bi0J/M5v4ugySHGH2hBI82d/BtJ08ykHKQCR8WkkFXxTX9L2zLd1p9coGpaM
SbCMNJKKIZNjE2C/FpecPf4d10eqUijYYHH5T4pLxHEfi0sgbBzboTrKf3gUAWd6U1wCzN2bRVEl
56mCsOJJpTacSEMTUECaaEOnOuCSacyLPfuAPPOPUeyAnq2AIwVZsXU/tJ0/z9ksJfigQuye2qZf
2ujWqSx2FsVZQuocBTlX7DtD7EBV7EU/904lsTvb1q+BB2Vn1VA/SmIHG073qIs97dM8bcQuz+zg
qBf7XnPCE4mDoJQzY5aJs8GvzXZWi/PCGspHPILxTW7K+zaoF0hjDUuZQ0bisPG7WplYvbdvWfVp
ikT0JBLHklF0dx1RaVwP8TTk5NKM+tazOcqwtbCpTXO8eQEHHWwPWg7i8EO1Y2WJ47ASB6PNCRng
RJcJaCtQY+T+ALv6oF57VT5MZGOt18lSAxVb6ViACJhsSamuBzeLmB+/7ewncnnb0PLOelgGqUDa
grh1QnrMyAQDwgXz/FCq1Vk5BjcGIN0IcMYMszpwu4Z5LvGwgIK7/cQPcDyo8XQZpcZboO19WQXa
aZNLp+MTIlgOVArhoISNwk4OQgRqJobAEHcy1tlGFx9R18EyUfKtKQyAo9CH9RQKFHLhxSc+1jNz
G4CyWUmHalfgnwh02c6A5MvEbjnaVQDrC/ugzFN1CZ6aVhrY5zJAQjEfYnsZWX45CwVG2mzdfm4I
3DTy32CkB3W/9LrvLtDqOGjOTbk5k7O0m+JfXyxLyCU9QqsTD2C2Cvph0gustt6NVCSAbycSNbBS
ldwlBV532mXtkQzY2xeobwLG+1Aqv5mtcd4BC/dC8OGmGi51AONJre87CgKe0Whe11huyIn3vQJi
TuYrTaORzqgh8OetQKLbQNKxboEooVLUsPIbtBWp9FTdtcRZPeVPgT0KbLsmQO4SSk2aaiJGr+BU
TVxKPTQ/0QfnLNLRyayHHjAJ6PmG3ui8F4B6CxU09kppz8IsUKcuuPuuRr4x0sp+Vbt5OJOrHCVo
AdTXohARRCS0gmuUoGJWIJB+9ho6q4D87dqql2kFlsPoyny/V1R3qmXy0YA2EIbW4ywJA202whzA
QBRxwbSghwerIEgpDQ+CaBA8UQ7gHhDlr6K+wMldky917VAauK8KNFHhLWRWNce9KZwRSQLHzNCo
tH7Kgu2QW/rPcpTvHGgQchef5sOAzjj8CCyc/LmJtQoELIx8mmoV62OC0+eBnY2HeuMICyjBt+jR
8bbRqC7t4adalT88qTnqsvoCHYoTjFiiBVqlM3zJTzQHdrwieB1IqqqTUDiNN4L1Udb1z1xKyKL7
Tp3FvbUKivIHdr0UxrA4mqiCP9J3tnlYN4LmYUg2ZgX6LaduQfePMKiFglJDSwQDjOgVB/JRJXgq
XtU0C39sD3F9wRUaMovp96tQsFtywXOpiyqmzEiHp9KRnUiwBvERPaz9/rI2ikYgg+Zx73ezAj20
eZoaJZsuY0vY5klcBjB8epdLWxO6Oi50Vcm7dF1kHXPn0nH1fa0fbIJkhyr1EGPjlZ96eOcusBaJ
b8sOqyS3a48loApCVIuNbYQ3lkkeY7YdPnpOh5G96t/3aWai0hks2i495ED/NugZnC05wXhNbS5y
YkpwRsashZK59GVIH22l6RPDzK5cOz30XZyqoiI+rvz2IgBpOFFJEFxU3BCEKukEezF/27aXhhna
+2Pa3OMTAJckL90JzQx/aoaFNPVG6aejE7fXfhksbUe6SIfs3tTY20Vs2dSxsRWK8WmBqDKmp3Lh
UFvIilvFTgS7BQJLMmBypWEkO/HReptlnNlGnsrowcr1Iq6z+8YJbgDjYKvlposBGNtE4SunpEg1
utOQq6t72Vs41JemZhuYB+QHFM11bGZ9IjYtA9nZ6O21P0QXHXfitA6BVgUGrA20BnEjkwaWG2Da
WRMKJkcsmhXS2M0iHeKmhMI9qTW+b3IHyzAyrw3scst0eDQy4zz08nWP4jpF1/BW5JaTrpRYek16
DHi9OIXPg7c7iqOWlSLwpxzUcV5O9UFt5pEtZ7dFHMYH1VhcayobP061G2nQz+qgfuyKeOG44TWX
vXyEKR4ppu0cVIF3BkDkyhmjfU2i6Gr5bS8a5NQs9G7fNTTQAQOywK0OcZ6If6Za1kPQZ3gglTgH
F1k+LobM/qa4STE3hAJaivjxPM/RxG3jxj2Qy2FlQk7n+2zVRRTZV31Komu70mHgeasSPUIvAjHc
h/kyKzL+3srPs6ilLOfI3hxF3Icc9C9YgOBOlylthYV5Tovne6abSzeP+/3R036GMtUKrVWwUFNR
ILR75PdMi25vbdIRk7OB5RdScFeCAY2mUbkzq/YUR49gDo6dmrrEqQ1sH1q8BVrAlMKVnKonEanW
tA7ckMg9PwramKmuy+Uw6shhaqKCLUf7IbLwUwRZuO9qEtBCddNphkPRHHbyo+8he1fYXrnATkOe
ZknbznAbpHYAaWuQzJvERiPV81xjmhTSlV921xRTSHYCZwoT4LipFML7hjaCR5kePI1/WZtWMadZ
fNB4DQq/snMNW+7ciztnioUCZahcasAIsJ+0tl70nhRjVZUeSERObMhQxtyuus+95LxHMMxjtrhC
wv2CQgcVo2DdYTkg5eZPU5auJM3mEkislsw4+mkJ9wI1Vh/aoTxyuMkng2U8VK21LGww9KmnHLqp
lmLD0urT3oxuvCSppsgaq1ObpncoJQvPvZdtchkn0eGVSdlEacLD3CihBDZheKoG2YFb4C+HScCd
Jxn4OXbhlUIyM8kb6ZuVOOZETbID3eluemIuyk8jFt95ls6LGjlfzCVQm44KPo6OsrXdlVg7Z/qR
XVC1swesJayCDlvX/QTZSl2tw7kBtvFCbpvbvGXr+qVyEXupwCJoJ5oZUI4zcENELfQSUh8qRnR2
CS97zukyPen1Ml2Upk49sn4IE8RRgOHcFD2tFFSTr8cY6c8hvlJ1mNwdotCZJd8j28Pi7zBHdGqr
m2HqepxX5SKVUUUDrAMuAiFxVm24doiN/dZE2bxP12NSHo4O1U4PMJGqwgoJwxmC4td5i1dDRZRn
RRx9OJc1cDw6C9+dgIdsrKXclz9Nn5DOyvo7LSHma0MgGHF4C7roAE2/mR+lK9eO7sO6OdP14jAJ
0JH0UAR0WziIlHVx2ba+9b4y7w0wkG6RXVIe2M91B0Ic7Rc5PEflcToEACEGzZ/7bjwPyva47LOD
JsinsSG36mEVKthTeZYaXcTpaN4OWWAiwyQZLf9g1Hk7G4SZg5FLzwpt/85BDVobv8lBG8yn0PD4
ZCPMX72moIq159gKpRhBSHnuyrxCHJ7oX5qMShtcERm5tj97OZq5R0Akkk3BIHlWZHjNQo09AUvH
6NwEPKMAj/gnWehniANv7IBU5BkAYpCNfoA4AGaTC2C6EMDwQAWM0/woB4pfUVRbAATj2VDGgsge
TIfMPQlobs8MpaumZdqe40ZwYDkucjCGiisuUqSVFBxBejwZLCDimRpcynL02BIkTqWs5VqRuoQw
ST3JRkJZVza9aVLlZxjq3VCf+6FW+i1GgoD1fIfae4x7qyONi1iXpDkudBjXl1TFPAmH+jz8btjp
j3zIrluf1Cqrab+7pvm9LPDQ7dOb2pFu3HQ48k0s/rTgpI384zoLflQZ3LbAsc5LzXiIHc+eJ3yw
CQY35lJVM6R0sjsM61B7DTWEI2rBiou7fXoP14OKxKJXdwtdHzHWCTVUGzsK8ripPhZ+a8xQ2Dqu
6viqI8Wd2p4xNyL7WxY4jzRSzwMDQ1EVyYqJ7IX13O26UztvwaanDzTJ79wC//EsfaCc4UybqPTm
Dfah+xXev17u7IOZQBDc+xGraNDnsY2qrYktcpdnD53iwFcd6lkylIhwA/NCMDyh7VJQnkMN6riu
QK3rLoKaYKmpihJLdAu57IBzOPueanwbxvZnoIdrnOqvtMBDe2C8TbwxmdEUOaWFMnXk0qAHZAHz
kknWVFh2FzRgTnyn/wnaDyNOAOOZ7MrTpgyrSSKrN7pnfNPrwUXIN7rSPfVno5rtwRCIPzeI43Wt
uU2kZr/KfDAvhknsgaI+zbqQhl98l+mkGmrenIIrk0ElgBEohB+sDAIeT8WFbKHPbNrysqh97Coi
pPubnG8NnxzE6Q2TIghV/GK0F2ZQVUu3IrQgejoUit2zEljbxOjGbxaSyF0KBpKrbKqPOAN7EZ04
CuSILI0VirENK86wcIS3RxbxUPEdJmruzbtyvMy8kndNbW7cduHKzeVoa4dBh7KGpdLZqwrXm3lx
CMywiR7qrL+1KWiB5sjvZSUrsVtzp2UHfKaTg31g6NI0k/x9OZXCmWRF6VSWM6SB5aUiBw0itZKz
D0Z2mGitvU7C4pjMtZ3AYs7nlDIOTG8YML1u0zmXynVWGIeusIdiNSYTkpD7imbmVC4VE0VxrKKo
PKlHeorfbA/nxTuIVcfXZlHU3ag2WvzzUqr84DvT4NZnam153dwMDG1huomcXlnkN9lMr/ORC7aM
hWCznVjnFKUCMP1F4J9rRe/dIfg+r2KW0ET3dfc0R3sflzJRuO8hP3v7vkUnwC9k0hFY8xdyLB3i
whVocxwkNcS27Xic0cCrioPGkl1Sh6CvMfOU8bAGQ6NhkRdj5WX2xRI4j3obdTTgTmJ8QjhnYl+Z
9ab1IHtNE9IfHUrUmjqqYCMFfN0osDpVLe9Krq24ulPd1uOG1kbwrCRipvsjMgLcdWW1TCR6wT3+
tU+3xP+D6/LlEWerejVPSUmGi2ZdDt/WFd/Zn6aF4qfnGYn8Vfav/dIr1n7zQC/X5dWQr//zP1aP
SZDOgqoug4daXJtPT3Xw+J//8YwxFFXTdxfw04M9PfVvx4lXfLrmkXfQ7D1BBaDWSIE1zlLv5d8l
fBb2LHpSDmJ4IAZhb739Fjc/+/NM/f7z/Z3f+e2zf5wDgb/Ycg70PdlQIa7phBriRajxbiogqWNo
xDwJFtuuTMXb1QAX7SPa9O+sBD7mXwvB2hOQGpNy+9NnFN/3+0lw9qiFQYSnnvz02tH1oGvbrgew
QoZgOMJzfJ4Kdt67qVBVCDnoRNrqM9nyzbnxq5Ph/3RToDn9rywH8THfrge4PKidQSR+erHNPk6C
CvHIEpwj9t+uzQFM96+YA4BhlMzklzn4eDCwEECSkWuII2MnJ0HeejdwQ4AzV5Hb+NVukPeIJR0V
aPmuTsJHzOHfORzf7wZkShzNMBW49U+vjyuBbBVasgUMnnt0J1eCsn2soAKURNWQxPr5XGRtvTsS
FGMPF2kDSKT59Au7GjLIz0fWs3bGn6HMPwqb0KaBmKED9ty8HgSJnutUgYqxo+vhU/Hmn28Kc0/T
ZALFlwhxU8igOoIWajyfQrt3R8jPu3W7laCKw4+j4ZfBAk04UKJC1GcnTwYhFcODbTMJBMgcfcig
Pu8G52OwwPFIJ9x2LKELsZOTIEp7W08C6jqOgzLGL84EVfCubUr0OxstPN/gW6wEJHEtITCkipkQ
r48rQdX30LfSCBt3NW6Ut08oIdoBqMJD7nkORDT+7qIUubUoLIOC2emLUhTdt9wUBjrIgChgKz4f
jx/TSqbCZBK4KHf1ZHh5sC02BSE0R5/4vl9y64+BE9GCLPoVoN2eX7t6SG6/Hujd0JchRnypInzc
GiKQtkEzEzTs6CQII5otN4W+J1wmFJvw6en1cT3QFlMd2k7CFXI3b8vnB9tmTxBBQxtWcMD8eDhy
TdIUtLSXCHX3okZl63ySEhPREsjbz5+etWGCxKDystNHgbJ9DmXuwdJjEVgvOdSno0BUHhwTYPKu
xkvKc16zzTYw9nCWEXnkcySwKYcSUaWC6v+OngXK9uchiSTlJRVVxT/vv3fxEpcC6kcOyfSuTsJL
7WublSByKEIEKKi/iJTUPUgVNiYUu1pne7myt5kEh88oxAJpOz29RBXuXVdK3QPeoWCFsauToG1/
MNr0Hyg3EjI/b4dPORTCII74HweHeO1qiUloj2wXKQnaNjVXmNRPHxQG+cf1QPrAj4UI2q4ej18R
M1OAJxyiEfH02pBDySbLhc7cjk6CsEncbiVoFkp36Ieixb15ErgjkMOxkOp+2TW7OhXPu3W7Q1IR
IRM0rM1TgQwCURUSraL6spP5w0vxZ5tJsPY02YS19lpzZJu9vyk4OmBF0LPf7UNSSCpvtzWouenO
E0bRfL4vPmVUNLTR/taJInd1PWxffTX3kMgUwdNLm/LTTaHsgZSjrb+zDesXNME2m4IYEkFPNMN+
0aGjYU1eSbph72r19SXN2WYS6DWAnkdl5eW63LASAAfgc+7sagz5idz7j3tzosBATgV24eVM+BRD
EkizDuDs7Gr0KIz2tjsYNY0yOymVbf6iS0udDeFcGXz5rk6CMALcchKIiyBt04x4qbh+WgkyK0HA
7LWdrbhuHzJp8AxkA070c8T0ucxCOAHAhQLDrobQn4Sz/pUzAWSGCdbxF7V3cTtoSE6i3/uaZ+xk
9KhtHTJBIYF8LiAcv6g40ZHRZVWmRLurd8TLbt3mogTPA1XGANPzIXbmXFTAP9KgeJmeHQ0bta0L
DKSV6EWhVgE44fn1YSrYE8ibYgElZM93cjfAcdr2iuDwA91Mze1lEj6uB3aDgPEQMu3sFfGc6W6z
G6CisRl0oWb79NoQNqoONWrHeY4rdzZkeF6o200FtRaLBfGy/T+FDFwUiA5TgtzVSdC3j5t0sfEF
tvcXt6VoSjg29yXYrqfXrp4P2xekTbR9iAsQk37+pJ/OB1oTwLsAAu7qbSmkQLeOo0HraPRln+tJ
m0rR/JAVQ4tGvHZ2a2xdaxEgL024Ir5yAzhx3tfeVFwdgQJTld7VTbH9fWHvvfin/Krg9BRemTpH
6a5OwvYZtkX7BW8Uw/xVvw5kE3q8wi1sVydh++vSAdeJnjtVt18cj5QeRW93hwtO22dUgskPaIkP
+XT6fcqwAfpxeCoKYm47uhKExtyWdwTgVm4ADQe8zSuBmAFGpSKbwiRpJ7MJY+vbAbQjdXhiQwGp
fn8tcG+gJom14K7ejcb2CSWHAS1rgG2/okvBDAG9YNOJ+PtL4G9g4P4kKE/9IH58oiYjQbyJwfyr
X3ilAHz++Rvi8RPV9N1vCqry85s/U3PF//+v98zlJ3bgm5++sgWf3unl718+4uc3f/dmr5/r9R/3
g3W5Kh/84ekHw8uDnq4SuM3/HfOfx9VboqygTYta8Ou/baZZ/3kI/H50NCPXrwO94WSTefz1UT9z
uP/e4MnqMStfB3ozOBtn68EnwnvmdZw3Y5MnbD32dBWvWr6S6nWsN+Oz3rcfHz2i6tNXSsDN2f0F
g6d1ufpjmlX1prfgONv6LWbr+I/TrNw4/5w9W48/j/+YZSWL53WsN/NPyLv1+IsSWfNNg3OfbT34
Ml6n6es4bx78K7brfpPcZ/Fj/Xl4gebd+tEPknxdBqv4dai/nl7wLrcfHonB12HeDP0VO/ZoXW6Y
c4EU2Pqpj4LU23AQCMDo1mMfr6INZ5hAIH7B0FW13jQnX7FBj7Pqj/9OvXW83jQzX7FFT1aPHMCv
8/BmtXzFFj1ZoSy9Yeyv2KJi7DzbdLoL+NjWX+vJOn3MHoJNp5cg6X7B+OXD+vF1oL/mXWCdth88
49lfx3kz9lds05Ns45x8xS5laGzu1sOGJ/+KnXq6yjcsdIGj2XrCT9ft6nPsiL/5V2zRs3LFEfD6
lG++zq/Youfx6mG9IXYUPLatp+U8bpJNwZ3AKWw9+LeA0LEKHjfMjPBr2nr8y9VDSUqQ1hvuUgHb
/oI3SP+YrBEq2/QGX7FVL1fiDcp0VT5uPMgEN+1LPsUsWHubPsRX7FrxIRbsgIegetj0Hl+xfcV7
HGarotl0W2lfsYfFOxw3QfXH2X1Q5Zs+x1dsZvEuJ6t6vWn8r9jPjF+v/pisyvvVpphBtNG+Yj3x
HlPUQDcc1qKD+FXvUDbj62B/nan6l2xsf7UxJxRiU9s/PTWMjVPzJZs5qCJcIJrX53wzMV+yl7N4
tSl6ELCZ7SeGwGSTG6D+Jfu3XqVBFa+a6vVJ30zNl2zd31n8Pgn5bVF9+q1R4taD/9Y9ZuvRf6cL
vP3gFIiSTXU5oUGz9Yr8zgjNpr0qegdbj36XxRvOeVGR337o5n7D4SvK3f/L0JvKsn+qvX0u1r7K
O276s/e1aPEbD/F6Vf7X/wAAAP//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10" Type="http://schemas.openxmlformats.org/officeDocument/2006/relationships/chart" Target="../charts/chart6.xml"/><Relationship Id="rId4" Type="http://schemas.microsoft.com/office/2014/relationships/chartEx" Target="../charts/chartEx1.xml"/><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59472</xdr:colOff>
      <xdr:row>0</xdr:row>
      <xdr:rowOff>46463</xdr:rowOff>
    </xdr:from>
    <xdr:to>
      <xdr:col>28</xdr:col>
      <xdr:colOff>18584</xdr:colOff>
      <xdr:row>40</xdr:row>
      <xdr:rowOff>55755</xdr:rowOff>
    </xdr:to>
    <xdr:sp macro="" textlink="">
      <xdr:nvSpPr>
        <xdr:cNvPr id="3" name="Rectangle 2">
          <a:extLst>
            <a:ext uri="{FF2B5EF4-FFF2-40B4-BE49-F238E27FC236}">
              <a16:creationId xmlns:a16="http://schemas.microsoft.com/office/drawing/2014/main" id="{6AAD09ED-AEA4-466F-9027-A581CD8D960C}"/>
            </a:ext>
          </a:extLst>
        </xdr:cNvPr>
        <xdr:cNvSpPr/>
      </xdr:nvSpPr>
      <xdr:spPr>
        <a:xfrm>
          <a:off x="1694984" y="46463"/>
          <a:ext cx="15375673" cy="7443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40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0</xdr:colOff>
      <xdr:row>0</xdr:row>
      <xdr:rowOff>0</xdr:rowOff>
    </xdr:from>
    <xdr:to>
      <xdr:col>4</xdr:col>
      <xdr:colOff>81064</xdr:colOff>
      <xdr:row>78</xdr:row>
      <xdr:rowOff>97277</xdr:rowOff>
    </xdr:to>
    <xdr:sp macro="" textlink="">
      <xdr:nvSpPr>
        <xdr:cNvPr id="2" name="Rectangle 1">
          <a:extLst>
            <a:ext uri="{FF2B5EF4-FFF2-40B4-BE49-F238E27FC236}">
              <a16:creationId xmlns:a16="http://schemas.microsoft.com/office/drawing/2014/main" id="{7BFDE19A-A7BD-378E-001B-60378A0552CA}"/>
            </a:ext>
          </a:extLst>
        </xdr:cNvPr>
        <xdr:cNvSpPr/>
      </xdr:nvSpPr>
      <xdr:spPr>
        <a:xfrm>
          <a:off x="0" y="0"/>
          <a:ext cx="2415702" cy="14007830"/>
        </a:xfrm>
        <a:prstGeom prst="rect">
          <a:avLst/>
        </a:prstGeom>
        <a:solidFill>
          <a:schemeClr val="accent3">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470170</xdr:colOff>
      <xdr:row>7</xdr:row>
      <xdr:rowOff>98243</xdr:rowOff>
    </xdr:from>
    <xdr:to>
      <xdr:col>1</xdr:col>
      <xdr:colOff>1426723</xdr:colOff>
      <xdr:row>9</xdr:row>
      <xdr:rowOff>147829</xdr:rowOff>
    </xdr:to>
    <xdr:sp macro="" textlink="Pivots!G4">
      <xdr:nvSpPr>
        <xdr:cNvPr id="4" name="TextBox 3">
          <a:extLst>
            <a:ext uri="{FF2B5EF4-FFF2-40B4-BE49-F238E27FC236}">
              <a16:creationId xmlns:a16="http://schemas.microsoft.com/office/drawing/2014/main" id="{F178FEE3-32D6-A250-5589-FE0442862452}"/>
            </a:ext>
          </a:extLst>
        </xdr:cNvPr>
        <xdr:cNvSpPr txBox="1"/>
      </xdr:nvSpPr>
      <xdr:spPr>
        <a:xfrm>
          <a:off x="551234" y="1346626"/>
          <a:ext cx="956553" cy="406267"/>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2B533-A354-4835-B2C1-7F7C7507AD43}" type="TxLink">
            <a:rPr lang="en-US" sz="2400" b="1" i="0" u="none" strike="noStrike">
              <a:ln>
                <a:noFill/>
              </a:ln>
              <a:gradFill>
                <a:gsLst>
                  <a:gs pos="0">
                    <a:schemeClr val="bg1">
                      <a:lumMod val="95000"/>
                    </a:schemeClr>
                  </a:gs>
                  <a:gs pos="85000">
                    <a:schemeClr val="bg1">
                      <a:lumMod val="75000"/>
                    </a:schemeClr>
                  </a:gs>
                </a:gsLst>
                <a:lin ang="5400000" scaled="1"/>
              </a:gradFill>
              <a:latin typeface="Aptos Narrow"/>
            </a:rPr>
            <a:pPr/>
            <a:t>2,400</a:t>
          </a:fld>
          <a:endParaRPr lang="en-US" sz="2400" b="1">
            <a:ln>
              <a:noFill/>
            </a:ln>
            <a:gradFill>
              <a:gsLst>
                <a:gs pos="0">
                  <a:schemeClr val="bg1">
                    <a:lumMod val="95000"/>
                  </a:schemeClr>
                </a:gs>
                <a:gs pos="85000">
                  <a:schemeClr val="bg1">
                    <a:lumMod val="75000"/>
                  </a:schemeClr>
                </a:gs>
              </a:gsLst>
              <a:lin ang="5400000" scaled="1"/>
            </a:gradFill>
          </a:endParaRPr>
        </a:p>
      </xdr:txBody>
    </xdr:sp>
    <xdr:clientData/>
  </xdr:twoCellAnchor>
  <xdr:twoCellAnchor>
    <xdr:from>
      <xdr:col>1</xdr:col>
      <xdr:colOff>567447</xdr:colOff>
      <xdr:row>16</xdr:row>
      <xdr:rowOff>167714</xdr:rowOff>
    </xdr:from>
    <xdr:to>
      <xdr:col>3</xdr:col>
      <xdr:colOff>228364</xdr:colOff>
      <xdr:row>20</xdr:row>
      <xdr:rowOff>102665</xdr:rowOff>
    </xdr:to>
    <xdr:sp macro="" textlink="Pivots!H4">
      <xdr:nvSpPr>
        <xdr:cNvPr id="5" name="TextBox 4">
          <a:extLst>
            <a:ext uri="{FF2B5EF4-FFF2-40B4-BE49-F238E27FC236}">
              <a16:creationId xmlns:a16="http://schemas.microsoft.com/office/drawing/2014/main" id="{19A770ED-E66B-4F0A-8005-899601757BBB}"/>
            </a:ext>
          </a:extLst>
        </xdr:cNvPr>
        <xdr:cNvSpPr txBox="1"/>
      </xdr:nvSpPr>
      <xdr:spPr>
        <a:xfrm>
          <a:off x="648511" y="3021161"/>
          <a:ext cx="1298406" cy="64831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3C1F0C-D186-4CB2-B5D4-A073630879E3}" type="TxLink">
            <a:rPr lang="en-US" sz="2400" b="1" i="0" u="none" strike="noStrike">
              <a:ln>
                <a:noFill/>
              </a:ln>
              <a:gradFill>
                <a:gsLst>
                  <a:gs pos="0">
                    <a:schemeClr val="bg1">
                      <a:lumMod val="95000"/>
                    </a:schemeClr>
                  </a:gs>
                  <a:gs pos="85000">
                    <a:schemeClr val="bg1">
                      <a:lumMod val="75000"/>
                    </a:schemeClr>
                  </a:gs>
                </a:gsLst>
                <a:lin ang="5400000" scaled="1"/>
              </a:gradFill>
              <a:latin typeface="Aptos Narrow"/>
              <a:ea typeface="+mn-ea"/>
              <a:cs typeface="+mn-cs"/>
            </a:rPr>
            <a:pPr marL="0" indent="0"/>
            <a:t>4.0</a:t>
          </a:fld>
          <a:endParaRPr lang="en-US" sz="2400" b="1" i="0" u="none" strike="noStrike">
            <a:ln>
              <a:noFill/>
            </a:ln>
            <a:gradFill>
              <a:gsLst>
                <a:gs pos="0">
                  <a:schemeClr val="bg1">
                    <a:lumMod val="95000"/>
                  </a:schemeClr>
                </a:gs>
                <a:gs pos="85000">
                  <a:schemeClr val="bg1">
                    <a:lumMod val="75000"/>
                  </a:schemeClr>
                </a:gs>
              </a:gsLst>
              <a:lin ang="5400000" scaled="1"/>
            </a:gradFill>
            <a:latin typeface="Aptos Narrow"/>
            <a:ea typeface="+mn-ea"/>
            <a:cs typeface="+mn-cs"/>
          </a:endParaRPr>
        </a:p>
      </xdr:txBody>
    </xdr:sp>
    <xdr:clientData/>
  </xdr:twoCellAnchor>
  <xdr:twoCellAnchor>
    <xdr:from>
      <xdr:col>1</xdr:col>
      <xdr:colOff>437744</xdr:colOff>
      <xdr:row>11</xdr:row>
      <xdr:rowOff>101125</xdr:rowOff>
    </xdr:from>
    <xdr:to>
      <xdr:col>3</xdr:col>
      <xdr:colOff>98661</xdr:colOff>
      <xdr:row>15</xdr:row>
      <xdr:rowOff>36078</xdr:rowOff>
    </xdr:to>
    <xdr:sp macro="" textlink="Pivots!I4">
      <xdr:nvSpPr>
        <xdr:cNvPr id="6" name="TextBox 5">
          <a:extLst>
            <a:ext uri="{FF2B5EF4-FFF2-40B4-BE49-F238E27FC236}">
              <a16:creationId xmlns:a16="http://schemas.microsoft.com/office/drawing/2014/main" id="{109E9665-DAE4-4462-B64B-A0786C9079E8}"/>
            </a:ext>
          </a:extLst>
        </xdr:cNvPr>
        <xdr:cNvSpPr txBox="1"/>
      </xdr:nvSpPr>
      <xdr:spPr>
        <a:xfrm>
          <a:off x="518808" y="2062870"/>
          <a:ext cx="1298406" cy="648314"/>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681146-68EB-4D7C-A050-2F19B83F21AC}" type="TxLink">
            <a:rPr lang="en-US" sz="2400" b="1" i="0" u="none" strike="noStrike">
              <a:ln>
                <a:noFill/>
              </a:ln>
              <a:gradFill>
                <a:gsLst>
                  <a:gs pos="0">
                    <a:schemeClr val="bg1">
                      <a:lumMod val="95000"/>
                    </a:schemeClr>
                  </a:gs>
                  <a:gs pos="85000">
                    <a:schemeClr val="bg1">
                      <a:lumMod val="75000"/>
                    </a:schemeClr>
                  </a:gs>
                </a:gsLst>
                <a:lin ang="5400000" scaled="1"/>
              </a:gradFill>
              <a:latin typeface="Aptos Narrow"/>
              <a:ea typeface="+mn-ea"/>
              <a:cs typeface="+mn-cs"/>
            </a:rPr>
            <a:pPr marL="0" indent="0"/>
            <a:t>11,997</a:t>
          </a:fld>
          <a:endParaRPr lang="en-US" sz="2400" b="1" i="0" u="none" strike="noStrike">
            <a:ln>
              <a:noFill/>
            </a:ln>
            <a:gradFill>
              <a:gsLst>
                <a:gs pos="0">
                  <a:schemeClr val="bg1">
                    <a:lumMod val="95000"/>
                  </a:schemeClr>
                </a:gs>
                <a:gs pos="85000">
                  <a:schemeClr val="bg1">
                    <a:lumMod val="75000"/>
                  </a:schemeClr>
                </a:gs>
              </a:gsLst>
              <a:lin ang="5400000" scaled="1"/>
            </a:gradFill>
            <a:latin typeface="Aptos Narrow"/>
            <a:ea typeface="+mn-ea"/>
            <a:cs typeface="+mn-cs"/>
          </a:endParaRPr>
        </a:p>
      </xdr:txBody>
    </xdr:sp>
    <xdr:clientData/>
  </xdr:twoCellAnchor>
  <xdr:twoCellAnchor>
    <xdr:from>
      <xdr:col>1</xdr:col>
      <xdr:colOff>599871</xdr:colOff>
      <xdr:row>27</xdr:row>
      <xdr:rowOff>25389</xdr:rowOff>
    </xdr:from>
    <xdr:to>
      <xdr:col>1</xdr:col>
      <xdr:colOff>1378084</xdr:colOff>
      <xdr:row>30</xdr:row>
      <xdr:rowOff>0</xdr:rowOff>
    </xdr:to>
    <xdr:sp macro="" textlink="Pivots!J4">
      <xdr:nvSpPr>
        <xdr:cNvPr id="7" name="TextBox 6">
          <a:extLst>
            <a:ext uri="{FF2B5EF4-FFF2-40B4-BE49-F238E27FC236}">
              <a16:creationId xmlns:a16="http://schemas.microsoft.com/office/drawing/2014/main" id="{A9CF7EE4-6EC5-4A5A-8AE1-BE7093B61900}"/>
            </a:ext>
          </a:extLst>
        </xdr:cNvPr>
        <xdr:cNvSpPr txBox="1"/>
      </xdr:nvSpPr>
      <xdr:spPr>
        <a:xfrm>
          <a:off x="680935" y="4840580"/>
          <a:ext cx="778213" cy="509633"/>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F7BD47-536B-4B69-A669-CE39061567F3}" type="TxLink">
            <a:rPr lang="en-US" sz="2400" b="1" i="0" u="none" strike="noStrike">
              <a:ln>
                <a:noFill/>
              </a:ln>
              <a:gradFill>
                <a:gsLst>
                  <a:gs pos="0">
                    <a:schemeClr val="bg1">
                      <a:lumMod val="95000"/>
                    </a:schemeClr>
                  </a:gs>
                  <a:gs pos="85000">
                    <a:schemeClr val="bg1">
                      <a:lumMod val="75000"/>
                    </a:schemeClr>
                  </a:gs>
                </a:gsLst>
                <a:lin ang="5400000" scaled="1"/>
              </a:gradFill>
              <a:latin typeface="Aptos Narrow"/>
              <a:ea typeface="+mn-ea"/>
              <a:cs typeface="+mn-cs"/>
            </a:rPr>
            <a:pPr marL="0" indent="0"/>
            <a:t>2.3</a:t>
          </a:fld>
          <a:endParaRPr lang="en-US" sz="2400" b="1" i="0" u="none" strike="noStrike">
            <a:ln>
              <a:noFill/>
            </a:ln>
            <a:gradFill>
              <a:gsLst>
                <a:gs pos="0">
                  <a:schemeClr val="bg1">
                    <a:lumMod val="95000"/>
                  </a:schemeClr>
                </a:gs>
                <a:gs pos="85000">
                  <a:schemeClr val="bg1">
                    <a:lumMod val="75000"/>
                  </a:schemeClr>
                </a:gs>
              </a:gsLst>
              <a:lin ang="5400000" scaled="1"/>
            </a:gradFill>
            <a:latin typeface="Aptos Narrow"/>
            <a:ea typeface="+mn-ea"/>
            <a:cs typeface="+mn-cs"/>
          </a:endParaRPr>
        </a:p>
      </xdr:txBody>
    </xdr:sp>
    <xdr:clientData/>
  </xdr:twoCellAnchor>
  <xdr:twoCellAnchor>
    <xdr:from>
      <xdr:col>1</xdr:col>
      <xdr:colOff>389107</xdr:colOff>
      <xdr:row>21</xdr:row>
      <xdr:rowOff>162847</xdr:rowOff>
    </xdr:from>
    <xdr:to>
      <xdr:col>3</xdr:col>
      <xdr:colOff>129702</xdr:colOff>
      <xdr:row>24</xdr:row>
      <xdr:rowOff>162127</xdr:rowOff>
    </xdr:to>
    <xdr:sp macro="" textlink="Pivots!K4">
      <xdr:nvSpPr>
        <xdr:cNvPr id="8" name="TextBox 7">
          <a:extLst>
            <a:ext uri="{FF2B5EF4-FFF2-40B4-BE49-F238E27FC236}">
              <a16:creationId xmlns:a16="http://schemas.microsoft.com/office/drawing/2014/main" id="{166A21BD-AA60-479E-8C4E-51FDFEC50A76}"/>
            </a:ext>
          </a:extLst>
        </xdr:cNvPr>
        <xdr:cNvSpPr txBox="1"/>
      </xdr:nvSpPr>
      <xdr:spPr>
        <a:xfrm>
          <a:off x="470171" y="3907996"/>
          <a:ext cx="1378084" cy="534301"/>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C260DE-4721-4B69-9EF6-0D7DD2C6D401}" type="TxLink">
            <a:rPr lang="en-US" sz="2800" b="1" i="0" u="none" strike="noStrike">
              <a:ln>
                <a:noFill/>
              </a:ln>
              <a:solidFill>
                <a:schemeClr val="accent6">
                  <a:lumMod val="40000"/>
                  <a:lumOff val="60000"/>
                </a:schemeClr>
              </a:solidFill>
              <a:latin typeface="Aptos Narrow"/>
              <a:ea typeface="+mn-ea"/>
              <a:cs typeface="+mn-cs"/>
            </a:rPr>
            <a:pPr marL="0" indent="0"/>
            <a:t>$649.0k</a:t>
          </a:fld>
          <a:endParaRPr lang="en-US" sz="2800" b="1" i="0" u="none" strike="noStrike">
            <a:ln>
              <a:noFill/>
            </a:ln>
            <a:solidFill>
              <a:schemeClr val="accent6">
                <a:lumMod val="40000"/>
                <a:lumOff val="60000"/>
              </a:schemeClr>
            </a:solidFill>
            <a:latin typeface="Aptos Narrow"/>
            <a:ea typeface="+mn-ea"/>
            <a:cs typeface="+mn-cs"/>
          </a:endParaRPr>
        </a:p>
      </xdr:txBody>
    </xdr:sp>
    <xdr:clientData/>
  </xdr:twoCellAnchor>
  <xdr:twoCellAnchor>
    <xdr:from>
      <xdr:col>0</xdr:col>
      <xdr:colOff>0</xdr:colOff>
      <xdr:row>5</xdr:row>
      <xdr:rowOff>16213</xdr:rowOff>
    </xdr:from>
    <xdr:to>
      <xdr:col>3</xdr:col>
      <xdr:colOff>567447</xdr:colOff>
      <xdr:row>7</xdr:row>
      <xdr:rowOff>162127</xdr:rowOff>
    </xdr:to>
    <xdr:sp macro="" textlink="">
      <xdr:nvSpPr>
        <xdr:cNvPr id="9" name="TextBox 8">
          <a:extLst>
            <a:ext uri="{FF2B5EF4-FFF2-40B4-BE49-F238E27FC236}">
              <a16:creationId xmlns:a16="http://schemas.microsoft.com/office/drawing/2014/main" id="{54D27BE5-FB01-474B-CCA0-4D68C53B0D1A}"/>
            </a:ext>
          </a:extLst>
        </xdr:cNvPr>
        <xdr:cNvSpPr txBox="1"/>
      </xdr:nvSpPr>
      <xdr:spPr>
        <a:xfrm>
          <a:off x="0" y="907915"/>
          <a:ext cx="2286000" cy="50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a:t>
          </a:r>
          <a:r>
            <a:rPr lang="en-IN" sz="1800" b="1">
              <a:solidFill>
                <a:schemeClr val="bg1"/>
              </a:solidFill>
              <a:latin typeface="Times New Roman" panose="02020603050405020304" pitchFamily="18" charset="0"/>
              <a:cs typeface="Times New Roman" panose="02020603050405020304" pitchFamily="18" charset="0"/>
            </a:rPr>
            <a:t>Orders</a:t>
          </a:r>
        </a:p>
      </xdr:txBody>
    </xdr:sp>
    <xdr:clientData/>
  </xdr:twoCellAnchor>
  <xdr:twoCellAnchor>
    <xdr:from>
      <xdr:col>0</xdr:col>
      <xdr:colOff>0</xdr:colOff>
      <xdr:row>14</xdr:row>
      <xdr:rowOff>150534</xdr:rowOff>
    </xdr:from>
    <xdr:to>
      <xdr:col>3</xdr:col>
      <xdr:colOff>567447</xdr:colOff>
      <xdr:row>17</xdr:row>
      <xdr:rowOff>53258</xdr:rowOff>
    </xdr:to>
    <xdr:sp macro="" textlink="">
      <xdr:nvSpPr>
        <xdr:cNvPr id="11" name="TextBox 10">
          <a:extLst>
            <a:ext uri="{FF2B5EF4-FFF2-40B4-BE49-F238E27FC236}">
              <a16:creationId xmlns:a16="http://schemas.microsoft.com/office/drawing/2014/main" id="{D92DCA71-9213-4D5D-A0A7-EAE986910B89}"/>
            </a:ext>
          </a:extLst>
        </xdr:cNvPr>
        <xdr:cNvSpPr txBox="1"/>
      </xdr:nvSpPr>
      <xdr:spPr>
        <a:xfrm>
          <a:off x="0" y="2647300"/>
          <a:ext cx="2286000" cy="43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Times New Roman" panose="02020603050405020304" pitchFamily="18" charset="0"/>
              <a:ea typeface="+mn-ea"/>
              <a:cs typeface="Times New Roman" panose="02020603050405020304" pitchFamily="18" charset="0"/>
            </a:rPr>
            <a:t>⭐ </a:t>
          </a:r>
          <a:r>
            <a:rPr lang="en-IN" sz="1800" b="1">
              <a:solidFill>
                <a:schemeClr val="bg1"/>
              </a:solidFill>
              <a:latin typeface="Times New Roman" panose="02020603050405020304" pitchFamily="18" charset="0"/>
              <a:ea typeface="+mn-ea"/>
              <a:cs typeface="Times New Roman" panose="02020603050405020304" pitchFamily="18" charset="0"/>
            </a:rPr>
            <a:t>Avg.Rating</a:t>
          </a:r>
        </a:p>
      </xdr:txBody>
    </xdr:sp>
    <xdr:clientData/>
  </xdr:twoCellAnchor>
  <xdr:twoCellAnchor>
    <xdr:from>
      <xdr:col>0</xdr:col>
      <xdr:colOff>0</xdr:colOff>
      <xdr:row>9</xdr:row>
      <xdr:rowOff>83945</xdr:rowOff>
    </xdr:from>
    <xdr:to>
      <xdr:col>3</xdr:col>
      <xdr:colOff>599873</xdr:colOff>
      <xdr:row>11</xdr:row>
      <xdr:rowOff>165009</xdr:rowOff>
    </xdr:to>
    <xdr:sp macro="" textlink="">
      <xdr:nvSpPr>
        <xdr:cNvPr id="12" name="TextBox 11">
          <a:extLst>
            <a:ext uri="{FF2B5EF4-FFF2-40B4-BE49-F238E27FC236}">
              <a16:creationId xmlns:a16="http://schemas.microsoft.com/office/drawing/2014/main" id="{9A691FCD-DF39-4E85-942C-A73C4C238BE8}"/>
            </a:ext>
          </a:extLst>
        </xdr:cNvPr>
        <xdr:cNvSpPr txBox="1"/>
      </xdr:nvSpPr>
      <xdr:spPr>
        <a:xfrm>
          <a:off x="0" y="1689009"/>
          <a:ext cx="2318426" cy="437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Times New Roman" panose="02020603050405020304" pitchFamily="18" charset="0"/>
              <a:ea typeface="+mn-ea"/>
              <a:cs typeface="Times New Roman" panose="02020603050405020304" pitchFamily="18" charset="0"/>
            </a:rPr>
            <a:t>👚 </a:t>
          </a:r>
          <a:r>
            <a:rPr lang="en-IN" sz="1800" b="1">
              <a:solidFill>
                <a:schemeClr val="bg1"/>
              </a:solidFill>
              <a:latin typeface="Times New Roman" panose="02020603050405020304" pitchFamily="18" charset="0"/>
              <a:ea typeface="+mn-ea"/>
              <a:cs typeface="Times New Roman" panose="02020603050405020304" pitchFamily="18" charset="0"/>
            </a:rPr>
            <a:t>QTY</a:t>
          </a:r>
        </a:p>
      </xdr:txBody>
    </xdr:sp>
    <xdr:clientData/>
  </xdr:twoCellAnchor>
  <xdr:twoCellAnchor>
    <xdr:from>
      <xdr:col>0</xdr:col>
      <xdr:colOff>0</xdr:colOff>
      <xdr:row>25</xdr:row>
      <xdr:rowOff>34230</xdr:rowOff>
    </xdr:from>
    <xdr:to>
      <xdr:col>3</xdr:col>
      <xdr:colOff>567448</xdr:colOff>
      <xdr:row>27</xdr:row>
      <xdr:rowOff>8210</xdr:rowOff>
    </xdr:to>
    <xdr:sp macro="" textlink="">
      <xdr:nvSpPr>
        <xdr:cNvPr id="13" name="TextBox 12">
          <a:extLst>
            <a:ext uri="{FF2B5EF4-FFF2-40B4-BE49-F238E27FC236}">
              <a16:creationId xmlns:a16="http://schemas.microsoft.com/office/drawing/2014/main" id="{7CFE6952-C464-4C71-9FD8-97C9D41480B5}"/>
            </a:ext>
          </a:extLst>
        </xdr:cNvPr>
        <xdr:cNvSpPr txBox="1"/>
      </xdr:nvSpPr>
      <xdr:spPr>
        <a:xfrm>
          <a:off x="0" y="4492741"/>
          <a:ext cx="2286001" cy="33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a:solidFill>
                <a:schemeClr val="dk1"/>
              </a:solidFill>
              <a:latin typeface="Times New Roman" panose="02020603050405020304" pitchFamily="18" charset="0"/>
              <a:ea typeface="+mn-ea"/>
              <a:cs typeface="Times New Roman" panose="02020603050405020304" pitchFamily="18" charset="0"/>
            </a:rPr>
            <a:t>📅  </a:t>
          </a:r>
          <a:r>
            <a:rPr lang="en-IN" sz="1800" b="1">
              <a:solidFill>
                <a:schemeClr val="bg1"/>
              </a:solidFill>
              <a:latin typeface="Times New Roman" panose="02020603050405020304" pitchFamily="18" charset="0"/>
              <a:ea typeface="+mn-ea"/>
              <a:cs typeface="Times New Roman" panose="02020603050405020304" pitchFamily="18" charset="0"/>
            </a:rPr>
            <a:t>Days to Deliver</a:t>
          </a:r>
        </a:p>
      </xdr:txBody>
    </xdr:sp>
    <xdr:clientData/>
  </xdr:twoCellAnchor>
  <xdr:twoCellAnchor>
    <xdr:from>
      <xdr:col>0</xdr:col>
      <xdr:colOff>0</xdr:colOff>
      <xdr:row>20</xdr:row>
      <xdr:rowOff>38781</xdr:rowOff>
    </xdr:from>
    <xdr:to>
      <xdr:col>3</xdr:col>
      <xdr:colOff>97276</xdr:colOff>
      <xdr:row>22</xdr:row>
      <xdr:rowOff>48392</xdr:rowOff>
    </xdr:to>
    <xdr:sp macro="" textlink="">
      <xdr:nvSpPr>
        <xdr:cNvPr id="14" name="TextBox 13">
          <a:extLst>
            <a:ext uri="{FF2B5EF4-FFF2-40B4-BE49-F238E27FC236}">
              <a16:creationId xmlns:a16="http://schemas.microsoft.com/office/drawing/2014/main" id="{0188F74C-248A-4201-AC17-44A06C23F179}"/>
            </a:ext>
          </a:extLst>
        </xdr:cNvPr>
        <xdr:cNvSpPr txBox="1"/>
      </xdr:nvSpPr>
      <xdr:spPr>
        <a:xfrm>
          <a:off x="0" y="3605590"/>
          <a:ext cx="1815829" cy="366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a:solidFill>
                <a:schemeClr val="dk1"/>
              </a:solidFill>
              <a:latin typeface="Times New Roman" panose="02020603050405020304" pitchFamily="18" charset="0"/>
              <a:ea typeface="+mn-ea"/>
              <a:cs typeface="Times New Roman" panose="02020603050405020304" pitchFamily="18" charset="0"/>
            </a:rPr>
            <a:t>💰  </a:t>
          </a:r>
          <a:r>
            <a:rPr lang="en-IN" sz="1800" b="1">
              <a:solidFill>
                <a:schemeClr val="bg1"/>
              </a:solidFill>
              <a:latin typeface="Times New Roman" panose="02020603050405020304" pitchFamily="18" charset="0"/>
              <a:ea typeface="+mn-ea"/>
              <a:cs typeface="Times New Roman" panose="02020603050405020304" pitchFamily="18" charset="0"/>
            </a:rPr>
            <a:t>Amount</a:t>
          </a:r>
        </a:p>
      </xdr:txBody>
    </xdr:sp>
    <xdr:clientData/>
  </xdr:twoCellAnchor>
  <xdr:twoCellAnchor>
    <xdr:from>
      <xdr:col>4</xdr:col>
      <xdr:colOff>52353</xdr:colOff>
      <xdr:row>0</xdr:row>
      <xdr:rowOff>0</xdr:rowOff>
    </xdr:from>
    <xdr:to>
      <xdr:col>36</xdr:col>
      <xdr:colOff>405319</xdr:colOff>
      <xdr:row>78</xdr:row>
      <xdr:rowOff>64851</xdr:rowOff>
    </xdr:to>
    <xdr:sp macro="" textlink="">
      <xdr:nvSpPr>
        <xdr:cNvPr id="15" name="Rectangle 14">
          <a:extLst>
            <a:ext uri="{FF2B5EF4-FFF2-40B4-BE49-F238E27FC236}">
              <a16:creationId xmlns:a16="http://schemas.microsoft.com/office/drawing/2014/main" id="{55C78DBF-169A-48C4-9DF6-97711B5169F2}"/>
            </a:ext>
          </a:extLst>
        </xdr:cNvPr>
        <xdr:cNvSpPr/>
      </xdr:nvSpPr>
      <xdr:spPr>
        <a:xfrm>
          <a:off x="2386991" y="0"/>
          <a:ext cx="20067690" cy="13975404"/>
        </a:xfrm>
        <a:prstGeom prst="rect">
          <a:avLst/>
        </a:prstGeom>
        <a:solidFill>
          <a:schemeClr val="accent3">
            <a:lumMod val="20000"/>
            <a:lumOff val="80000"/>
          </a:schemeClr>
        </a:solidFill>
        <a:ln w="9525">
          <a:solidFill>
            <a:schemeClr val="accent2">
              <a:lumMod val="20000"/>
              <a:lumOff val="8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233465</xdr:colOff>
      <xdr:row>3</xdr:row>
      <xdr:rowOff>0</xdr:rowOff>
    </xdr:from>
    <xdr:to>
      <xdr:col>15</xdr:col>
      <xdr:colOff>178341</xdr:colOff>
      <xdr:row>29</xdr:row>
      <xdr:rowOff>48639</xdr:rowOff>
    </xdr:to>
    <xdr:graphicFrame macro="">
      <xdr:nvGraphicFramePr>
        <xdr:cNvPr id="16" name="Chart 15">
          <a:extLst>
            <a:ext uri="{FF2B5EF4-FFF2-40B4-BE49-F238E27FC236}">
              <a16:creationId xmlns:a16="http://schemas.microsoft.com/office/drawing/2014/main" id="{C8A49F7B-5FBA-41F1-AB20-A6F59E169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324454</xdr:colOff>
      <xdr:row>53</xdr:row>
      <xdr:rowOff>81062</xdr:rowOff>
    </xdr:from>
    <xdr:to>
      <xdr:col>36</xdr:col>
      <xdr:colOff>145914</xdr:colOff>
      <xdr:row>75</xdr:row>
      <xdr:rowOff>16212</xdr:rowOff>
    </xdr:to>
    <xdr:graphicFrame macro="">
      <xdr:nvGraphicFramePr>
        <xdr:cNvPr id="24" name="Chart 23">
          <a:extLst>
            <a:ext uri="{FF2B5EF4-FFF2-40B4-BE49-F238E27FC236}">
              <a16:creationId xmlns:a16="http://schemas.microsoft.com/office/drawing/2014/main" id="{1A3EADAC-5081-4913-9A67-E64649985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151055</xdr:colOff>
      <xdr:row>33</xdr:row>
      <xdr:rowOff>64851</xdr:rowOff>
    </xdr:from>
    <xdr:to>
      <xdr:col>16</xdr:col>
      <xdr:colOff>421531</xdr:colOff>
      <xdr:row>75</xdr:row>
      <xdr:rowOff>32425</xdr:rowOff>
    </xdr:to>
    <xdr:graphicFrame macro="">
      <xdr:nvGraphicFramePr>
        <xdr:cNvPr id="19" name="Chart 18">
          <a:extLst>
            <a:ext uri="{FF2B5EF4-FFF2-40B4-BE49-F238E27FC236}">
              <a16:creationId xmlns:a16="http://schemas.microsoft.com/office/drawing/2014/main" id="{8CCA680C-3B2A-48C0-AB58-4CEE2F370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470168</xdr:colOff>
      <xdr:row>33</xdr:row>
      <xdr:rowOff>64850</xdr:rowOff>
    </xdr:from>
    <xdr:to>
      <xdr:col>27</xdr:col>
      <xdr:colOff>129701</xdr:colOff>
      <xdr:row>75</xdr:row>
      <xdr:rowOff>-1</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0ECBCCC4-D7AA-4753-B196-B5F50A9F78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117088" y="6099890"/>
              <a:ext cx="6365133" cy="76161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xdr:colOff>
      <xdr:row>38</xdr:row>
      <xdr:rowOff>81064</xdr:rowOff>
    </xdr:from>
    <xdr:to>
      <xdr:col>27</xdr:col>
      <xdr:colOff>32424</xdr:colOff>
      <xdr:row>51</xdr:row>
      <xdr:rowOff>97278</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78333A5F-6948-4D66-92D1-0C11B3CB78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914121" y="7030504"/>
              <a:ext cx="2470823" cy="23936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356682</xdr:colOff>
      <xdr:row>2</xdr:row>
      <xdr:rowOff>113489</xdr:rowOff>
    </xdr:from>
    <xdr:to>
      <xdr:col>26</xdr:col>
      <xdr:colOff>16213</xdr:colOff>
      <xdr:row>29</xdr:row>
      <xdr:rowOff>129702</xdr:rowOff>
    </xdr:to>
    <xdr:graphicFrame macro="">
      <xdr:nvGraphicFramePr>
        <xdr:cNvPr id="26" name="Chart 25">
          <a:extLst>
            <a:ext uri="{FF2B5EF4-FFF2-40B4-BE49-F238E27FC236}">
              <a16:creationId xmlns:a16="http://schemas.microsoft.com/office/drawing/2014/main" id="{EABB9707-3401-4B86-8EF6-F74B8385D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129701</xdr:colOff>
      <xdr:row>2</xdr:row>
      <xdr:rowOff>48636</xdr:rowOff>
    </xdr:from>
    <xdr:to>
      <xdr:col>36</xdr:col>
      <xdr:colOff>291829</xdr:colOff>
      <xdr:row>29</xdr:row>
      <xdr:rowOff>129702</xdr:rowOff>
    </xdr:to>
    <xdr:graphicFrame macro="">
      <xdr:nvGraphicFramePr>
        <xdr:cNvPr id="28" name="Chart 27">
          <a:extLst>
            <a:ext uri="{FF2B5EF4-FFF2-40B4-BE49-F238E27FC236}">
              <a16:creationId xmlns:a16="http://schemas.microsoft.com/office/drawing/2014/main" id="{CF80E649-62EA-4481-A624-30191134A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129702</xdr:rowOff>
    </xdr:from>
    <xdr:to>
      <xdr:col>4</xdr:col>
      <xdr:colOff>19742</xdr:colOff>
      <xdr:row>4</xdr:row>
      <xdr:rowOff>97276</xdr:rowOff>
    </xdr:to>
    <xdr:pic>
      <xdr:nvPicPr>
        <xdr:cNvPr id="18" name="Picture 17">
          <a:extLst>
            <a:ext uri="{FF2B5EF4-FFF2-40B4-BE49-F238E27FC236}">
              <a16:creationId xmlns:a16="http://schemas.microsoft.com/office/drawing/2014/main" id="{1EEA0F8C-D3A7-4A3A-AC80-62FA5A042BB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0" y="129702"/>
          <a:ext cx="2354380" cy="680936"/>
        </a:xfrm>
        <a:prstGeom prst="rect">
          <a:avLst/>
        </a:prstGeom>
        <a:effectLst>
          <a:outerShdw blurRad="63500" sx="102000" sy="102000" algn="ctr" rotWithShape="0">
            <a:prstClr val="black">
              <a:alpha val="40000"/>
            </a:prstClr>
          </a:outerShdw>
        </a:effectLst>
      </xdr:spPr>
    </xdr:pic>
    <xdr:clientData/>
  </xdr:twoCellAnchor>
  <xdr:twoCellAnchor editAs="oneCell">
    <xdr:from>
      <xdr:col>0</xdr:col>
      <xdr:colOff>64852</xdr:colOff>
      <xdr:row>35</xdr:row>
      <xdr:rowOff>97278</xdr:rowOff>
    </xdr:from>
    <xdr:to>
      <xdr:col>3</xdr:col>
      <xdr:colOff>583661</xdr:colOff>
      <xdr:row>53</xdr:row>
      <xdr:rowOff>129702</xdr:rowOff>
    </xdr:to>
    <mc:AlternateContent xmlns:mc="http://schemas.openxmlformats.org/markup-compatibility/2006" xmlns:a14="http://schemas.microsoft.com/office/drawing/2010/main">
      <mc:Choice Requires="a14">
        <xdr:graphicFrame macro="">
          <xdr:nvGraphicFramePr>
            <xdr:cNvPr id="10" name="Order Mode">
              <a:extLst>
                <a:ext uri="{FF2B5EF4-FFF2-40B4-BE49-F238E27FC236}">
                  <a16:creationId xmlns:a16="http://schemas.microsoft.com/office/drawing/2014/main" id="{AAAF37A2-4189-4CFB-A466-5C548C98903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4852" y="6339193"/>
              <a:ext cx="2237362" cy="3242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32425</xdr:colOff>
      <xdr:row>55</xdr:row>
      <xdr:rowOff>48641</xdr:rowOff>
    </xdr:from>
    <xdr:to>
      <xdr:col>3</xdr:col>
      <xdr:colOff>583661</xdr:colOff>
      <xdr:row>74</xdr:row>
      <xdr:rowOff>81064</xdr:rowOff>
    </xdr:to>
    <mc:AlternateContent xmlns:mc="http://schemas.openxmlformats.org/markup-compatibility/2006" xmlns:a14="http://schemas.microsoft.com/office/drawing/2010/main">
      <mc:Choice Requires="a14">
        <xdr:graphicFrame macro="">
          <xdr:nvGraphicFramePr>
            <xdr:cNvPr id="17" name="Gender ">
              <a:extLst>
                <a:ext uri="{FF2B5EF4-FFF2-40B4-BE49-F238E27FC236}">
                  <a16:creationId xmlns:a16="http://schemas.microsoft.com/office/drawing/2014/main" id="{8B8141AE-CA3C-49F2-A54E-C635324BA256}"/>
                </a:ext>
              </a:extLst>
            </xdr:cNvPr>
            <xdr:cNvGraphicFramePr/>
          </xdr:nvGraphicFramePr>
          <xdr:xfrm>
            <a:off x="0" y="0"/>
            <a:ext cx="0" cy="0"/>
          </xdr:xfrm>
          <a:graphic>
            <a:graphicData uri="http://schemas.microsoft.com/office/drawing/2010/slicer">
              <sle:slicer xmlns:sle="http://schemas.microsoft.com/office/drawing/2010/slicer" name="Gender "/>
            </a:graphicData>
          </a:graphic>
        </xdr:graphicFrame>
      </mc:Choice>
      <mc:Fallback xmlns="">
        <xdr:sp macro="" textlink="">
          <xdr:nvSpPr>
            <xdr:cNvPr id="0" name=""/>
            <xdr:cNvSpPr>
              <a:spLocks noTextEdit="1"/>
            </xdr:cNvSpPr>
          </xdr:nvSpPr>
          <xdr:spPr>
            <a:xfrm>
              <a:off x="113489" y="9857364"/>
              <a:ext cx="2188725" cy="3420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324255</xdr:colOff>
      <xdr:row>33</xdr:row>
      <xdr:rowOff>81064</xdr:rowOff>
    </xdr:from>
    <xdr:to>
      <xdr:col>36</xdr:col>
      <xdr:colOff>194553</xdr:colOff>
      <xdr:row>52</xdr:row>
      <xdr:rowOff>81064</xdr:rowOff>
    </xdr:to>
    <xdr:grpSp>
      <xdr:nvGrpSpPr>
        <xdr:cNvPr id="32" name="Group 31">
          <a:extLst>
            <a:ext uri="{FF2B5EF4-FFF2-40B4-BE49-F238E27FC236}">
              <a16:creationId xmlns:a16="http://schemas.microsoft.com/office/drawing/2014/main" id="{6DBA26B1-B212-BB62-D869-E45233D20667}"/>
            </a:ext>
          </a:extLst>
        </xdr:cNvPr>
        <xdr:cNvGrpSpPr/>
      </xdr:nvGrpSpPr>
      <xdr:grpSpPr>
        <a:xfrm>
          <a:off x="16828851" y="5966298"/>
          <a:ext cx="5415064" cy="3388468"/>
          <a:chOff x="10376171" y="453958"/>
          <a:chExt cx="5252936" cy="4166682"/>
        </a:xfrm>
      </xdr:grpSpPr>
      <xdr:sp macro="" textlink="">
        <xdr:nvSpPr>
          <xdr:cNvPr id="23" name="Rectangle 22" descr="&#10;">
            <a:extLst>
              <a:ext uri="{FF2B5EF4-FFF2-40B4-BE49-F238E27FC236}">
                <a16:creationId xmlns:a16="http://schemas.microsoft.com/office/drawing/2014/main" id="{1735940C-C9F8-F742-0C29-25192FAE19C0}"/>
              </a:ext>
            </a:extLst>
          </xdr:cNvPr>
          <xdr:cNvSpPr/>
        </xdr:nvSpPr>
        <xdr:spPr>
          <a:xfrm>
            <a:off x="10376171" y="453958"/>
            <a:ext cx="5252936" cy="4166682"/>
          </a:xfrm>
          <a:prstGeom prst="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55A44E64-CA07-8DFC-46E0-311ECDB7CAEF}"/>
              </a:ext>
            </a:extLst>
          </xdr:cNvPr>
          <xdr:cNvGrpSpPr/>
        </xdr:nvGrpSpPr>
        <xdr:grpSpPr>
          <a:xfrm>
            <a:off x="10473447" y="599872"/>
            <a:ext cx="4758933" cy="3728937"/>
            <a:chOff x="10473447" y="599872"/>
            <a:chExt cx="4758933" cy="3728937"/>
          </a:xfrm>
        </xdr:grpSpPr>
        <xdr:pic>
          <xdr:nvPicPr>
            <xdr:cNvPr id="22" name="Picture 21">
              <a:extLst>
                <a:ext uri="{FF2B5EF4-FFF2-40B4-BE49-F238E27FC236}">
                  <a16:creationId xmlns:a16="http://schemas.microsoft.com/office/drawing/2014/main" id="{852DB65A-AE21-9D85-3F79-384B58CAB27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473447" y="1167319"/>
              <a:ext cx="4758933" cy="316149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TextBox 28">
              <a:extLst>
                <a:ext uri="{FF2B5EF4-FFF2-40B4-BE49-F238E27FC236}">
                  <a16:creationId xmlns:a16="http://schemas.microsoft.com/office/drawing/2014/main" id="{310FF7B7-64D2-23C4-A74B-CD14EF3559A2}"/>
                </a:ext>
              </a:extLst>
            </xdr:cNvPr>
            <xdr:cNvSpPr txBox="1"/>
          </xdr:nvSpPr>
          <xdr:spPr>
            <a:xfrm>
              <a:off x="11705617" y="599872"/>
              <a:ext cx="2707532" cy="372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Times New Roman" panose="02020603050405020304" pitchFamily="18" charset="0"/>
                  <a:cs typeface="Times New Roman" panose="02020603050405020304" pitchFamily="18" charset="0"/>
                </a:rPr>
                <a:t>How they</a:t>
              </a:r>
              <a:r>
                <a:rPr lang="en-IN" sz="1600" b="1" baseline="0">
                  <a:latin typeface="Times New Roman" panose="02020603050405020304" pitchFamily="18" charset="0"/>
                  <a:cs typeface="Times New Roman" panose="02020603050405020304" pitchFamily="18" charset="0"/>
                </a:rPr>
                <a:t> like to Buy</a:t>
              </a:r>
              <a:endParaRPr lang="en-IN" sz="1600" b="1">
                <a:latin typeface="Times New Roman" panose="02020603050405020304" pitchFamily="18" charset="0"/>
                <a:cs typeface="Times New Roman" panose="02020603050405020304" pitchFamily="18" charset="0"/>
              </a:endParaRPr>
            </a:p>
          </xdr:txBody>
        </xdr:sp>
      </xdr:grpSp>
    </xdr:grpSp>
    <xdr:clientData/>
  </xdr:twoCellAnchor>
  <xdr:twoCellAnchor>
    <xdr:from>
      <xdr:col>10</xdr:col>
      <xdr:colOff>583660</xdr:colOff>
      <xdr:row>56</xdr:row>
      <xdr:rowOff>32424</xdr:rowOff>
    </xdr:from>
    <xdr:to>
      <xdr:col>16</xdr:col>
      <xdr:colOff>32425</xdr:colOff>
      <xdr:row>73</xdr:row>
      <xdr:rowOff>16212</xdr:rowOff>
    </xdr:to>
    <xdr:graphicFrame macro="">
      <xdr:nvGraphicFramePr>
        <xdr:cNvPr id="30" name="Chart 29">
          <a:extLst>
            <a:ext uri="{FF2B5EF4-FFF2-40B4-BE49-F238E27FC236}">
              <a16:creationId xmlns:a16="http://schemas.microsoft.com/office/drawing/2014/main" id="{5BA485BD-7F34-BD76-B480-4C10B1A8D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A MISHRA" refreshedDate="46306.756470023145" createdVersion="8" refreshedVersion="8" minRefreshableVersion="3" recordCount="2401" xr:uid="{4F3C7855-72DA-42C5-A8EA-4024A49BEF61}">
  <cacheSource type="worksheet">
    <worksheetSource ref="A1:O1048576" sheet="Data"/>
  </cacheSource>
  <cacheFields count="18">
    <cacheField name="TX ID" numFmtId="0">
      <sharedItems containsBlank="1"/>
    </cacheField>
    <cacheField name="Product" numFmtId="0">
      <sharedItems containsBlank="1" count="21">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m/>
      </sharedItems>
    </cacheField>
    <cacheField name="Quantity" numFmtId="0">
      <sharedItems containsString="0" containsBlank="1" containsNumber="1" containsInteger="1" minValue="1" maxValue="87" count="49">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m/>
      </sharedItems>
      <fieldGroup par="15"/>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ount="89">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m/>
      </sharedItems>
      <fieldGroup par="17"/>
    </cacheField>
    <cacheField name="Ship Date" numFmtId="0">
      <sharedItems containsNonDate="0" containsDate="1" containsString="0" containsBlank="1" minDate="2025-01-02T00:00:00" maxDate="2025-04-11T00:00:00"/>
    </cacheField>
    <cacheField name="Customer Gender" numFmtId="0">
      <sharedItems containsBlank="1" count="5">
        <s v=""/>
        <s v="M"/>
        <s v="F"/>
        <s v="O"/>
        <m/>
      </sharedItems>
    </cacheField>
    <cacheField name="Order Mode" numFmtId="0">
      <sharedItems containsBlank="1" count="6">
        <s v="App"/>
        <s v="Website"/>
        <s v="Target.com"/>
        <s v="Instagram"/>
        <s v="Partner App"/>
        <m/>
      </sharedItems>
    </cacheField>
    <cacheField name="Rating C" numFmtId="0">
      <sharedItems containsString="0" containsBlank="1" containsNumber="1" containsInteger="1" minValue="1" maxValue="5" count="6">
        <n v="4"/>
        <n v="3"/>
        <n v="5"/>
        <n v="1"/>
        <n v="2"/>
        <m/>
      </sharedItems>
    </cacheField>
    <cacheField name="State" numFmtId="0">
      <sharedItems containsBlank="1" count="2">
        <s v="California"/>
        <m/>
      </sharedItems>
    </cacheField>
    <cacheField name="County" numFmtId="0">
      <sharedItems containsBlank="1" count="59">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m/>
      </sharedItems>
    </cacheField>
    <cacheField name="Days to Deliver" numFmtId="0">
      <sharedItems containsString="0" containsBlank="1" containsNumber="1" containsInteger="1" minValue="0" maxValue="14" count="16">
        <n v="5"/>
        <n v="2"/>
        <n v="3"/>
        <n v="1"/>
        <n v="6"/>
        <n v="4"/>
        <n v="7"/>
        <n v="0"/>
        <n v="9"/>
        <n v="8"/>
        <n v="13"/>
        <n v="11"/>
        <n v="14"/>
        <n v="12"/>
        <n v="10"/>
        <m/>
      </sharedItems>
    </cacheField>
    <cacheField name="Weeknum" numFmtId="0">
      <sharedItems containsString="0" containsBlank="1" containsNumber="1" containsInteger="1" minValue="1" maxValue="13" count="14">
        <n v="1"/>
        <n v="2"/>
        <n v="3"/>
        <n v="4"/>
        <n v="5"/>
        <n v="6"/>
        <n v="7"/>
        <n v="8"/>
        <n v="9"/>
        <n v="10"/>
        <n v="11"/>
        <n v="12"/>
        <n v="13"/>
        <m/>
      </sharedItems>
    </cacheField>
    <cacheField name="Gender Value" numFmtId="0">
      <sharedItems containsBlank="1" count="5">
        <s v="Unknown"/>
        <s v="Male"/>
        <s v="Female"/>
        <s v="Other"/>
        <m/>
      </sharedItems>
    </cacheField>
    <cacheField name="Quantity2" numFmtId="0" databaseField="0">
      <fieldGroup base="2">
        <discretePr count="49">
          <x v="0"/>
          <x v="1"/>
          <x v="2"/>
          <x v="6"/>
          <x v="7"/>
          <x v="7"/>
          <x v="7"/>
          <x v="6"/>
          <x v="6"/>
          <x v="3"/>
          <x v="7"/>
          <x v="6"/>
          <x v="4"/>
          <x v="6"/>
          <x v="7"/>
          <x v="7"/>
          <x v="7"/>
          <x v="7"/>
          <x v="7"/>
          <x v="7"/>
          <x v="7"/>
          <x v="7"/>
          <x v="7"/>
          <x v="7"/>
          <x v="7"/>
          <x v="7"/>
          <x v="7"/>
          <x v="7"/>
          <x v="7"/>
          <x v="7"/>
          <x v="7"/>
          <x v="7"/>
          <x v="7"/>
          <x v="7"/>
          <x v="7"/>
          <x v="7"/>
          <x v="7"/>
          <x v="7"/>
          <x v="7"/>
          <x v="7"/>
          <x v="7"/>
          <x v="7"/>
          <x v="7"/>
          <x v="7"/>
          <x v="7"/>
          <x v="7"/>
          <x v="7"/>
          <x v="7"/>
          <x v="5"/>
        </discretePr>
        <groupItems count="8">
          <n v="1"/>
          <n v="2"/>
          <n v="3"/>
          <n v="5"/>
          <n v="4"/>
          <m/>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71260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r>
    <m/>
    <x v="20"/>
    <x v="48"/>
    <m/>
    <m/>
    <x v="88"/>
    <m/>
    <x v="4"/>
    <x v="5"/>
    <x v="5"/>
    <x v="1"/>
    <x v="58"/>
    <x v="15"/>
    <x v="1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1B5973-022A-453E-94C3-72006AB7E02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S56:S63" firstHeaderRow="1" firstDataRow="1" firstDataCol="1"/>
  <pivotFields count="18">
    <pivotField showAll="0"/>
    <pivotField showAll="0">
      <items count="22">
        <item x="14"/>
        <item x="10"/>
        <item x="12"/>
        <item x="15"/>
        <item x="4"/>
        <item x="7"/>
        <item x="6"/>
        <item x="19"/>
        <item x="18"/>
        <item x="11"/>
        <item x="17"/>
        <item x="5"/>
        <item x="0"/>
        <item x="2"/>
        <item x="9"/>
        <item x="16"/>
        <item x="1"/>
        <item x="13"/>
        <item x="8"/>
        <item x="3"/>
        <item x="20"/>
        <item t="default"/>
      </items>
    </pivotField>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axis="axisRow" showAll="0">
      <items count="7">
        <item x="0"/>
        <item x="3"/>
        <item x="4"/>
        <item x="2"/>
        <item x="1"/>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EB2A9-3634-4176-A6D1-7672E82E1E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P56:P62" firstHeaderRow="1" firstDataRow="1" firstDataCol="1"/>
  <pivotFields count="18">
    <pivotField showAll="0"/>
    <pivotField showAll="0">
      <items count="22">
        <item x="14"/>
        <item x="10"/>
        <item x="12"/>
        <item x="15"/>
        <item x="4"/>
        <item x="7"/>
        <item x="6"/>
        <item x="19"/>
        <item x="18"/>
        <item x="11"/>
        <item x="17"/>
        <item x="5"/>
        <item x="0"/>
        <item x="2"/>
        <item x="9"/>
        <item x="16"/>
        <item x="1"/>
        <item x="13"/>
        <item x="8"/>
        <item x="3"/>
        <item x="20"/>
        <item t="default"/>
      </items>
    </pivotField>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CFDCFE-3BCE-4278-A4B4-7FFF46410711}" name="Customer satisfac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3">
  <location ref="P28:U38" firstHeaderRow="1" firstDataRow="4" firstDataCol="1"/>
  <pivotFields count="18">
    <pivotField dataField="1" showAll="0"/>
    <pivotField showAll="0">
      <items count="22">
        <item x="14"/>
        <item x="10"/>
        <item x="12"/>
        <item x="15"/>
        <item x="4"/>
        <item x="7"/>
        <item x="6"/>
        <item x="19"/>
        <item x="18"/>
        <item x="11"/>
        <item x="17"/>
        <item x="5"/>
        <item x="0"/>
        <item x="2"/>
        <item x="9"/>
        <item x="16"/>
        <item x="1"/>
        <item x="13"/>
        <item x="8"/>
        <item x="3"/>
        <item x="20"/>
        <item t="default"/>
      </items>
    </pivotField>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axis="axisCol"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showAll="0">
      <items count="7">
        <item x="0"/>
        <item x="3"/>
        <item x="4"/>
        <item x="2"/>
        <item x="1"/>
        <item x="5"/>
        <item t="default"/>
      </items>
    </pivotField>
    <pivotField axis="axisRow" showAll="0">
      <items count="7">
        <item x="3"/>
        <item x="4"/>
        <item x="1"/>
        <item x="0"/>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9">
        <item x="0"/>
        <item x="1"/>
        <item x="2"/>
        <item x="4"/>
        <item x="3"/>
        <item x="6"/>
        <item x="7"/>
        <item x="5"/>
        <item t="default"/>
      </items>
    </pivotField>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7">
    <i>
      <x/>
    </i>
    <i>
      <x v="1"/>
    </i>
    <i>
      <x v="2"/>
    </i>
    <i>
      <x v="3"/>
    </i>
    <i>
      <x v="4"/>
    </i>
    <i>
      <x v="5"/>
    </i>
    <i t="grand">
      <x/>
    </i>
  </rowItems>
  <colFields count="3">
    <field x="17"/>
    <field x="16"/>
    <field x="5"/>
  </colFields>
  <colItems count="5">
    <i>
      <x/>
    </i>
    <i>
      <x v="1"/>
    </i>
    <i>
      <x v="2"/>
    </i>
    <i>
      <x v="3"/>
    </i>
    <i t="grand">
      <x/>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39D670-2466-4924-9168-9C23C1F539BF}" name="Days to 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M28:N45" firstHeaderRow="1" firstDataRow="1" firstDataCol="1"/>
  <pivotFields count="18">
    <pivotField dataField="1" showAll="0"/>
    <pivotField showAll="0">
      <items count="22">
        <item x="14"/>
        <item x="10"/>
        <item x="12"/>
        <item x="15"/>
        <item x="4"/>
        <item x="7"/>
        <item x="6"/>
        <item x="19"/>
        <item x="18"/>
        <item x="11"/>
        <item x="17"/>
        <item x="5"/>
        <item x="0"/>
        <item x="2"/>
        <item x="9"/>
        <item x="16"/>
        <item x="1"/>
        <item x="13"/>
        <item x="8"/>
        <item x="3"/>
        <item x="20"/>
        <item t="default"/>
      </items>
    </pivotField>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items count="6">
        <item x="0"/>
        <item x="2"/>
        <item x="1"/>
        <item x="3"/>
        <item x="4"/>
        <item t="default"/>
      </items>
    </pivotField>
    <pivotField showAll="0">
      <items count="7">
        <item x="0"/>
        <item x="3"/>
        <item x="4"/>
        <item x="2"/>
        <item x="1"/>
        <item x="5"/>
        <item t="default"/>
      </items>
    </pivotField>
    <pivotField showAll="0"/>
    <pivotField showAll="0"/>
    <pivotField showAll="0"/>
    <pivotField axis="axisRow" showAll="0">
      <items count="17">
        <item x="7"/>
        <item x="3"/>
        <item x="1"/>
        <item x="2"/>
        <item x="5"/>
        <item x="0"/>
        <item x="4"/>
        <item x="6"/>
        <item x="9"/>
        <item x="8"/>
        <item x="14"/>
        <item x="11"/>
        <item x="13"/>
        <item x="10"/>
        <item x="12"/>
        <item x="15"/>
        <item t="default"/>
      </items>
    </pivotField>
    <pivotField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7">
    <i>
      <x/>
    </i>
    <i>
      <x v="1"/>
    </i>
    <i>
      <x v="2"/>
    </i>
    <i>
      <x v="3"/>
    </i>
    <i>
      <x v="4"/>
    </i>
    <i>
      <x v="5"/>
    </i>
    <i>
      <x v="6"/>
    </i>
    <i>
      <x v="7"/>
    </i>
    <i>
      <x v="8"/>
    </i>
    <i>
      <x v="9"/>
    </i>
    <i>
      <x v="10"/>
    </i>
    <i>
      <x v="11"/>
    </i>
    <i>
      <x v="12"/>
    </i>
    <i>
      <x v="13"/>
    </i>
    <i>
      <x v="14"/>
    </i>
    <i>
      <x v="15"/>
    </i>
    <i t="grand">
      <x/>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AA3AA5-FA69-41BC-BAE0-9A0435CE5516}" name="Gender Spl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location ref="J28:K34" firstHeaderRow="1" firstDataRow="1" firstDataCol="1"/>
  <pivotFields count="18">
    <pivotField showAll="0"/>
    <pivotField showAll="0" sortType="descending">
      <items count="22">
        <item x="14"/>
        <item x="10"/>
        <item x="12"/>
        <item x="15"/>
        <item x="4"/>
        <item x="7"/>
        <item x="6"/>
        <item x="19"/>
        <item x="18"/>
        <item x="11"/>
        <item x="17"/>
        <item x="5"/>
        <item x="0"/>
        <item x="2"/>
        <item x="9"/>
        <item x="16"/>
        <item x="1"/>
        <item x="13"/>
        <item x="8"/>
        <item x="3"/>
        <item x="20"/>
        <item t="default"/>
      </items>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axis="axisRow" showAll="0">
      <items count="6">
        <item x="0"/>
        <item x="2"/>
        <item x="1"/>
        <item x="3"/>
        <item x="4"/>
        <item t="default"/>
      </items>
    </pivotField>
    <pivotField showAll="0">
      <items count="7">
        <item x="0"/>
        <item x="3"/>
        <item x="4"/>
        <item x="2"/>
        <item x="1"/>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Quantity" fld="2" baseField="0" baseItem="0"/>
  </dataFields>
  <chartFormats count="58">
    <chartFormat chart="11" format="4" series="1">
      <pivotArea type="data" outline="0" fieldPosition="0">
        <references count="1">
          <reference field="4294967294" count="1" selected="0">
            <x v="0"/>
          </reference>
        </references>
      </pivotArea>
    </chartFormat>
    <chartFormat chart="33" format="0" series="1">
      <pivotArea type="data" outline="0" fieldPosition="0">
        <references count="2">
          <reference field="4294967294" count="1" selected="0">
            <x v="0"/>
          </reference>
          <reference field="7" count="1" selected="0">
            <x v="0"/>
          </reference>
        </references>
      </pivotArea>
    </chartFormat>
    <chartFormat chart="33" format="1" series="1">
      <pivotArea type="data" outline="0" fieldPosition="0">
        <references count="2">
          <reference field="4294967294" count="1" selected="0">
            <x v="0"/>
          </reference>
          <reference field="7" count="1" selected="0">
            <x v="1"/>
          </reference>
        </references>
      </pivotArea>
    </chartFormat>
    <chartFormat chart="33" format="2" series="1">
      <pivotArea type="data" outline="0" fieldPosition="0">
        <references count="2">
          <reference field="4294967294" count="1" selected="0">
            <x v="0"/>
          </reference>
          <reference field="7" count="1" selected="0">
            <x v="2"/>
          </reference>
        </references>
      </pivotArea>
    </chartFormat>
    <chartFormat chart="33" format="3" series="1">
      <pivotArea type="data" outline="0" fieldPosition="0">
        <references count="2">
          <reference field="4294967294" count="1" selected="0">
            <x v="0"/>
          </reference>
          <reference field="7" count="1" selected="0">
            <x v="3"/>
          </reference>
        </references>
      </pivotArea>
    </chartFormat>
    <chartFormat chart="33" format="4" series="1">
      <pivotArea type="data" outline="0" fieldPosition="0">
        <references count="2">
          <reference field="4294967294" count="1" selected="0">
            <x v="0"/>
          </reference>
          <reference field="7" count="1" selected="0">
            <x v="4"/>
          </reference>
        </references>
      </pivotArea>
    </chartFormat>
    <chartFormat chart="35" format="10" series="1">
      <pivotArea type="data" outline="0" fieldPosition="0">
        <references count="2">
          <reference field="4294967294" count="1" selected="0">
            <x v="0"/>
          </reference>
          <reference field="7" count="1" selected="0">
            <x v="0"/>
          </reference>
        </references>
      </pivotArea>
    </chartFormat>
    <chartFormat chart="35" format="11" series="1">
      <pivotArea type="data" outline="0" fieldPosition="0">
        <references count="2">
          <reference field="4294967294" count="1" selected="0">
            <x v="0"/>
          </reference>
          <reference field="7" count="1" selected="0">
            <x v="1"/>
          </reference>
        </references>
      </pivotArea>
    </chartFormat>
    <chartFormat chart="35" format="12" series="1">
      <pivotArea type="data" outline="0" fieldPosition="0">
        <references count="2">
          <reference field="4294967294" count="1" selected="0">
            <x v="0"/>
          </reference>
          <reference field="7" count="1" selected="0">
            <x v="2"/>
          </reference>
        </references>
      </pivotArea>
    </chartFormat>
    <chartFormat chart="35" format="13" series="1">
      <pivotArea type="data" outline="0" fieldPosition="0">
        <references count="2">
          <reference field="4294967294" count="1" selected="0">
            <x v="0"/>
          </reference>
          <reference field="7" count="1" selected="0">
            <x v="3"/>
          </reference>
        </references>
      </pivotArea>
    </chartFormat>
    <chartFormat chart="35" format="14" series="1">
      <pivotArea type="data" outline="0" fieldPosition="0">
        <references count="2">
          <reference field="4294967294" count="1" selected="0">
            <x v="0"/>
          </reference>
          <reference field="7" count="1" selected="0">
            <x v="4"/>
          </reference>
        </references>
      </pivotArea>
    </chartFormat>
    <chartFormat chart="38" format="0" series="1">
      <pivotArea type="data" outline="0" fieldPosition="0">
        <references count="2">
          <reference field="4294967294" count="1" selected="0">
            <x v="0"/>
          </reference>
          <reference field="7" count="1" selected="0">
            <x v="0"/>
          </reference>
        </references>
      </pivotArea>
    </chartFormat>
    <chartFormat chart="38" format="1" series="1">
      <pivotArea type="data" outline="0" fieldPosition="0">
        <references count="2">
          <reference field="4294967294" count="1" selected="0">
            <x v="0"/>
          </reference>
          <reference field="7" count="1" selected="0">
            <x v="1"/>
          </reference>
        </references>
      </pivotArea>
    </chartFormat>
    <chartFormat chart="38" format="2" series="1">
      <pivotArea type="data" outline="0" fieldPosition="0">
        <references count="2">
          <reference field="4294967294" count="1" selected="0">
            <x v="0"/>
          </reference>
          <reference field="7" count="1" selected="0">
            <x v="2"/>
          </reference>
        </references>
      </pivotArea>
    </chartFormat>
    <chartFormat chart="38" format="3" series="1">
      <pivotArea type="data" outline="0" fieldPosition="0">
        <references count="2">
          <reference field="4294967294" count="1" selected="0">
            <x v="0"/>
          </reference>
          <reference field="7" count="1" selected="0">
            <x v="3"/>
          </reference>
        </references>
      </pivotArea>
    </chartFormat>
    <chartFormat chart="38" format="4" series="1">
      <pivotArea type="data" outline="0" fieldPosition="0">
        <references count="2">
          <reference field="4294967294" count="1" selected="0">
            <x v="0"/>
          </reference>
          <reference field="7" count="1" selected="0">
            <x v="4"/>
          </reference>
        </references>
      </pivotArea>
    </chartFormat>
    <chartFormat chart="40" format="10" series="1">
      <pivotArea type="data" outline="0" fieldPosition="0">
        <references count="2">
          <reference field="4294967294" count="1" selected="0">
            <x v="0"/>
          </reference>
          <reference field="7" count="1" selected="0">
            <x v="0"/>
          </reference>
        </references>
      </pivotArea>
    </chartFormat>
    <chartFormat chart="40" format="11" series="1">
      <pivotArea type="data" outline="0" fieldPosition="0">
        <references count="2">
          <reference field="4294967294" count="1" selected="0">
            <x v="0"/>
          </reference>
          <reference field="7" count="1" selected="0">
            <x v="1"/>
          </reference>
        </references>
      </pivotArea>
    </chartFormat>
    <chartFormat chart="40" format="12" series="1">
      <pivotArea type="data" outline="0" fieldPosition="0">
        <references count="2">
          <reference field="4294967294" count="1" selected="0">
            <x v="0"/>
          </reference>
          <reference field="7" count="1" selected="0">
            <x v="2"/>
          </reference>
        </references>
      </pivotArea>
    </chartFormat>
    <chartFormat chart="40" format="13" series="1">
      <pivotArea type="data" outline="0" fieldPosition="0">
        <references count="2">
          <reference field="4294967294" count="1" selected="0">
            <x v="0"/>
          </reference>
          <reference field="7" count="1" selected="0">
            <x v="3"/>
          </reference>
        </references>
      </pivotArea>
    </chartFormat>
    <chartFormat chart="40" format="14" series="1">
      <pivotArea type="data" outline="0" fieldPosition="0">
        <references count="2">
          <reference field="4294967294" count="1" selected="0">
            <x v="0"/>
          </reference>
          <reference field="7" count="1" selected="0">
            <x v="4"/>
          </reference>
        </references>
      </pivotArea>
    </chartFormat>
    <chartFormat chart="53" format="0" series="1">
      <pivotArea type="data" outline="0" fieldPosition="0">
        <references count="2">
          <reference field="4294967294" count="1" selected="0">
            <x v="0"/>
          </reference>
          <reference field="7" count="1" selected="0">
            <x v="0"/>
          </reference>
        </references>
      </pivotArea>
    </chartFormat>
    <chartFormat chart="53" format="1" series="1">
      <pivotArea type="data" outline="0" fieldPosition="0">
        <references count="2">
          <reference field="4294967294" count="1" selected="0">
            <x v="0"/>
          </reference>
          <reference field="7" count="1" selected="0">
            <x v="1"/>
          </reference>
        </references>
      </pivotArea>
    </chartFormat>
    <chartFormat chart="53" format="2" series="1">
      <pivotArea type="data" outline="0" fieldPosition="0">
        <references count="2">
          <reference field="4294967294" count="1" selected="0">
            <x v="0"/>
          </reference>
          <reference field="7" count="1" selected="0">
            <x v="2"/>
          </reference>
        </references>
      </pivotArea>
    </chartFormat>
    <chartFormat chart="53" format="3" series="1">
      <pivotArea type="data" outline="0" fieldPosition="0">
        <references count="2">
          <reference field="4294967294" count="1" selected="0">
            <x v="0"/>
          </reference>
          <reference field="7" count="1" selected="0">
            <x v="3"/>
          </reference>
        </references>
      </pivotArea>
    </chartFormat>
    <chartFormat chart="53" format="4" series="1">
      <pivotArea type="data" outline="0" fieldPosition="0">
        <references count="2">
          <reference field="4294967294" count="1" selected="0">
            <x v="0"/>
          </reference>
          <reference field="7" count="1" selected="0">
            <x v="4"/>
          </reference>
        </references>
      </pivotArea>
    </chartFormat>
    <chartFormat chart="55" format="20" series="1">
      <pivotArea type="data" outline="0" fieldPosition="0">
        <references count="2">
          <reference field="4294967294" count="1" selected="0">
            <x v="0"/>
          </reference>
          <reference field="7" count="1" selected="0">
            <x v="0"/>
          </reference>
        </references>
      </pivotArea>
    </chartFormat>
    <chartFormat chart="55" format="21" series="1">
      <pivotArea type="data" outline="0" fieldPosition="0">
        <references count="2">
          <reference field="4294967294" count="1" selected="0">
            <x v="0"/>
          </reference>
          <reference field="7" count="1" selected="0">
            <x v="1"/>
          </reference>
        </references>
      </pivotArea>
    </chartFormat>
    <chartFormat chart="55" format="22" series="1">
      <pivotArea type="data" outline="0" fieldPosition="0">
        <references count="2">
          <reference field="4294967294" count="1" selected="0">
            <x v="0"/>
          </reference>
          <reference field="7" count="1" selected="0">
            <x v="2"/>
          </reference>
        </references>
      </pivotArea>
    </chartFormat>
    <chartFormat chart="55" format="23" series="1">
      <pivotArea type="data" outline="0" fieldPosition="0">
        <references count="2">
          <reference field="4294967294" count="1" selected="0">
            <x v="0"/>
          </reference>
          <reference field="7" count="1" selected="0">
            <x v="3"/>
          </reference>
        </references>
      </pivotArea>
    </chartFormat>
    <chartFormat chart="55" format="24" series="1">
      <pivotArea type="data" outline="0" fieldPosition="0">
        <references count="2">
          <reference field="4294967294" count="1" selected="0">
            <x v="0"/>
          </reference>
          <reference field="7" count="1" selected="0">
            <x v="4"/>
          </reference>
        </references>
      </pivotArea>
    </chartFormat>
    <chartFormat chart="57" format="10" series="1">
      <pivotArea type="data" outline="0" fieldPosition="0">
        <references count="2">
          <reference field="4294967294" count="1" selected="0">
            <x v="0"/>
          </reference>
          <reference field="7" count="1" selected="0">
            <x v="0"/>
          </reference>
        </references>
      </pivotArea>
    </chartFormat>
    <chartFormat chart="57" format="11" series="1">
      <pivotArea type="data" outline="0" fieldPosition="0">
        <references count="2">
          <reference field="4294967294" count="1" selected="0">
            <x v="0"/>
          </reference>
          <reference field="7" count="1" selected="0">
            <x v="1"/>
          </reference>
        </references>
      </pivotArea>
    </chartFormat>
    <chartFormat chart="57" format="12" series="1">
      <pivotArea type="data" outline="0" fieldPosition="0">
        <references count="2">
          <reference field="4294967294" count="1" selected="0">
            <x v="0"/>
          </reference>
          <reference field="7" count="1" selected="0">
            <x v="2"/>
          </reference>
        </references>
      </pivotArea>
    </chartFormat>
    <chartFormat chart="57" format="13" series="1">
      <pivotArea type="data" outline="0" fieldPosition="0">
        <references count="2">
          <reference field="4294967294" count="1" selected="0">
            <x v="0"/>
          </reference>
          <reference field="7" count="1" selected="0">
            <x v="3"/>
          </reference>
        </references>
      </pivotArea>
    </chartFormat>
    <chartFormat chart="57" format="14" series="1">
      <pivotArea type="data" outline="0" fieldPosition="0">
        <references count="2">
          <reference field="4294967294" count="1" selected="0">
            <x v="0"/>
          </reference>
          <reference field="7" count="1" selected="0">
            <x v="4"/>
          </reference>
        </references>
      </pivotArea>
    </chartFormat>
    <chartFormat chart="61" format="0" series="1">
      <pivotArea type="data" outline="0" fieldPosition="0">
        <references count="2">
          <reference field="4294967294" count="1" selected="0">
            <x v="0"/>
          </reference>
          <reference field="7" count="1" selected="0">
            <x v="0"/>
          </reference>
        </references>
      </pivotArea>
    </chartFormat>
    <chartFormat chart="61" format="1" series="1">
      <pivotArea type="data" outline="0" fieldPosition="0">
        <references count="2">
          <reference field="4294967294" count="1" selected="0">
            <x v="0"/>
          </reference>
          <reference field="7" count="1" selected="0">
            <x v="1"/>
          </reference>
        </references>
      </pivotArea>
    </chartFormat>
    <chartFormat chart="61" format="2" series="1">
      <pivotArea type="data" outline="0" fieldPosition="0">
        <references count="2">
          <reference field="4294967294" count="1" selected="0">
            <x v="0"/>
          </reference>
          <reference field="7" count="1" selected="0">
            <x v="2"/>
          </reference>
        </references>
      </pivotArea>
    </chartFormat>
    <chartFormat chart="61" format="3" series="1">
      <pivotArea type="data" outline="0" fieldPosition="0">
        <references count="2">
          <reference field="4294967294" count="1" selected="0">
            <x v="0"/>
          </reference>
          <reference field="7" count="1" selected="0">
            <x v="3"/>
          </reference>
        </references>
      </pivotArea>
    </chartFormat>
    <chartFormat chart="61" format="4" series="1">
      <pivotArea type="data" outline="0" fieldPosition="0">
        <references count="2">
          <reference field="4294967294" count="1" selected="0">
            <x v="0"/>
          </reference>
          <reference field="7" count="1" selected="0">
            <x v="4"/>
          </reference>
        </references>
      </pivotArea>
    </chartFormat>
    <chartFormat chart="63" format="10" series="1">
      <pivotArea type="data" outline="0" fieldPosition="0">
        <references count="2">
          <reference field="4294967294" count="1" selected="0">
            <x v="0"/>
          </reference>
          <reference field="7" count="1" selected="0">
            <x v="0"/>
          </reference>
        </references>
      </pivotArea>
    </chartFormat>
    <chartFormat chart="63" format="11" series="1">
      <pivotArea type="data" outline="0" fieldPosition="0">
        <references count="2">
          <reference field="4294967294" count="1" selected="0">
            <x v="0"/>
          </reference>
          <reference field="7" count="1" selected="0">
            <x v="1"/>
          </reference>
        </references>
      </pivotArea>
    </chartFormat>
    <chartFormat chart="63" format="12" series="1">
      <pivotArea type="data" outline="0" fieldPosition="0">
        <references count="2">
          <reference field="4294967294" count="1" selected="0">
            <x v="0"/>
          </reference>
          <reference field="7" count="1" selected="0">
            <x v="2"/>
          </reference>
        </references>
      </pivotArea>
    </chartFormat>
    <chartFormat chart="63" format="13" series="1">
      <pivotArea type="data" outline="0" fieldPosition="0">
        <references count="2">
          <reference field="4294967294" count="1" selected="0">
            <x v="0"/>
          </reference>
          <reference field="7" count="1" selected="0">
            <x v="3"/>
          </reference>
        </references>
      </pivotArea>
    </chartFormat>
    <chartFormat chart="63" format="14" series="1">
      <pivotArea type="data" outline="0" fieldPosition="0">
        <references count="2">
          <reference field="4294967294" count="1" selected="0">
            <x v="0"/>
          </reference>
          <reference field="7" count="1" selected="0">
            <x v="4"/>
          </reference>
        </references>
      </pivotArea>
    </chartFormat>
    <chartFormat chart="81" format="7" series="1">
      <pivotArea type="data" outline="0" fieldPosition="0">
        <references count="1">
          <reference field="4294967294" count="1" selected="0">
            <x v="0"/>
          </reference>
        </references>
      </pivotArea>
    </chartFormat>
    <chartFormat chart="81" format="8">
      <pivotArea type="data" outline="0" fieldPosition="0">
        <references count="2">
          <reference field="4294967294" count="1" selected="0">
            <x v="0"/>
          </reference>
          <reference field="7" count="1" selected="0">
            <x v="0"/>
          </reference>
        </references>
      </pivotArea>
    </chartFormat>
    <chartFormat chart="81" format="9">
      <pivotArea type="data" outline="0" fieldPosition="0">
        <references count="2">
          <reference field="4294967294" count="1" selected="0">
            <x v="0"/>
          </reference>
          <reference field="7" count="1" selected="0">
            <x v="1"/>
          </reference>
        </references>
      </pivotArea>
    </chartFormat>
    <chartFormat chart="81" format="10">
      <pivotArea type="data" outline="0" fieldPosition="0">
        <references count="2">
          <reference field="4294967294" count="1" selected="0">
            <x v="0"/>
          </reference>
          <reference field="7" count="1" selected="0">
            <x v="2"/>
          </reference>
        </references>
      </pivotArea>
    </chartFormat>
    <chartFormat chart="81" format="11">
      <pivotArea type="data" outline="0" fieldPosition="0">
        <references count="2">
          <reference field="4294967294" count="1" selected="0">
            <x v="0"/>
          </reference>
          <reference field="7" count="1" selected="0">
            <x v="3"/>
          </reference>
        </references>
      </pivotArea>
    </chartFormat>
    <chartFormat chart="81" format="12">
      <pivotArea type="data" outline="0" fieldPosition="0">
        <references count="2">
          <reference field="4294967294" count="1" selected="0">
            <x v="0"/>
          </reference>
          <reference field="7" count="1" selected="0">
            <x v="4"/>
          </reference>
        </references>
      </pivotArea>
    </chartFormat>
    <chartFormat chart="87" format="13" series="1">
      <pivotArea type="data" outline="0" fieldPosition="0">
        <references count="1">
          <reference field="4294967294" count="1" selected="0">
            <x v="0"/>
          </reference>
        </references>
      </pivotArea>
    </chartFormat>
    <chartFormat chart="87" format="14">
      <pivotArea type="data" outline="0" fieldPosition="0">
        <references count="2">
          <reference field="4294967294" count="1" selected="0">
            <x v="0"/>
          </reference>
          <reference field="7" count="1" selected="0">
            <x v="0"/>
          </reference>
        </references>
      </pivotArea>
    </chartFormat>
    <chartFormat chart="87" format="15">
      <pivotArea type="data" outline="0" fieldPosition="0">
        <references count="2">
          <reference field="4294967294" count="1" selected="0">
            <x v="0"/>
          </reference>
          <reference field="7" count="1" selected="0">
            <x v="1"/>
          </reference>
        </references>
      </pivotArea>
    </chartFormat>
    <chartFormat chart="87" format="16">
      <pivotArea type="data" outline="0" fieldPosition="0">
        <references count="2">
          <reference field="4294967294" count="1" selected="0">
            <x v="0"/>
          </reference>
          <reference field="7" count="1" selected="0">
            <x v="2"/>
          </reference>
        </references>
      </pivotArea>
    </chartFormat>
    <chartFormat chart="87" format="17">
      <pivotArea type="data" outline="0" fieldPosition="0">
        <references count="2">
          <reference field="4294967294" count="1" selected="0">
            <x v="0"/>
          </reference>
          <reference field="7" count="1" selected="0">
            <x v="3"/>
          </reference>
        </references>
      </pivotArea>
    </chartFormat>
    <chartFormat chart="87" format="18">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798CE-562D-46AD-8468-2BC80A5C10E4}" name="Geographical analy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5">
  <location ref="A56:D115"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1">
        <item x="14"/>
        <item x="10"/>
        <item x="12"/>
        <item x="15"/>
        <item x="4"/>
        <item x="7"/>
        <item x="6"/>
        <item x="19"/>
        <item x="18"/>
        <item x="11"/>
        <item x="17"/>
        <item x="5"/>
        <item x="0"/>
        <item x="2"/>
        <item x="9"/>
        <item x="16"/>
        <item x="1"/>
        <item x="13"/>
        <item x="8"/>
        <item x="3"/>
        <item x="20"/>
      </items>
      <extLst>
        <ext xmlns:x14="http://schemas.microsoft.com/office/spreadsheetml/2009/9/main" uri="{2946ED86-A175-432a-8AC1-64E0C546D7DE}">
          <x14:pivotField fillDownLabels="1"/>
        </ext>
      </extLst>
    </pivotField>
    <pivotField dataField="1" compact="0" outline="0" showAll="0" defaultSubtota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2"/>
        <item x="1"/>
        <item x="3"/>
        <item x="4"/>
      </items>
      <extLst>
        <ext xmlns:x14="http://schemas.microsoft.com/office/spreadsheetml/2009/9/main" uri="{2946ED86-A175-432a-8AC1-64E0C546D7DE}">
          <x14:pivotField fillDownLabels="1"/>
        </ext>
      </extLst>
    </pivotField>
    <pivotField compact="0" outline="0" showAll="0" defaultSubtotal="0">
      <items count="6">
        <item x="0"/>
        <item x="3"/>
        <item x="4"/>
        <item x="2"/>
        <item x="1"/>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x="5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5">
        <item x="2"/>
        <item x="1"/>
        <item x="3"/>
        <item x="0"/>
        <item x="4"/>
      </items>
      <extLst>
        <ext xmlns:x14="http://schemas.microsoft.com/office/spreadsheetml/2009/9/main" uri="{2946ED86-A175-432a-8AC1-64E0C546D7DE}">
          <x14:pivotField fillDownLabels="1"/>
        </ext>
      </extLst>
    </pivotField>
    <pivotField compact="0" outline="0" showAll="0" defaultSubtotal="0">
      <items count="8">
        <item x="0"/>
        <item x="1"/>
        <item x="2"/>
        <item x="4"/>
        <item x="3"/>
        <item x="6"/>
        <item x="7"/>
        <item x="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x v="1"/>
      <x v="58"/>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6438AC-A457-4EC4-A02F-26A89E478B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dataField="1" showAll="0"/>
    <pivotField showAll="0"/>
    <pivotField showAll="0"/>
    <pivotField dataField="1" showAll="0"/>
    <pivotField showAll="0"/>
    <pivotField showAll="0"/>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Rating C" fld="9" subtotal="average" baseField="0" baseItem="0" numFmtId="1"/>
    <dataField name="Sum of Quantity" fld="2" baseField="0" baseItem="0"/>
    <dataField name="Average of Days to Deliver" fld="12" subtotal="average" baseField="0" baseItem="0" numFmtId="164"/>
    <dataField name="Sum of Amount" fld="4" baseField="0" baseItem="0"/>
  </dataFields>
  <formats count="2">
    <format dxfId="33">
      <pivotArea outline="0" collapsedLevelsAreSubtotals="1" fieldPosition="0">
        <references count="1">
          <reference field="4294967294" count="1" selected="0">
            <x v="1"/>
          </reference>
        </references>
      </pivotArea>
    </format>
    <format dxfId="3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1AF560-02F3-4307-A910-397BE69CDD32}" name="Order qty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8:F17" firstHeaderRow="1" firstDataRow="1" firstDataCol="1"/>
  <pivotFields count="18">
    <pivotField dataField="1"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axis="axisRow" showAll="0">
      <items count="9">
        <item x="0"/>
        <item x="1"/>
        <item x="2"/>
        <item x="4"/>
        <item x="3"/>
        <item n="6 TO 10" x="6"/>
        <item n="More than 10"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9">
    <i>
      <x/>
    </i>
    <i>
      <x v="1"/>
    </i>
    <i>
      <x v="2"/>
    </i>
    <i>
      <x v="3"/>
    </i>
    <i>
      <x v="4"/>
    </i>
    <i>
      <x v="5"/>
    </i>
    <i>
      <x v="6"/>
    </i>
    <i>
      <x v="7"/>
    </i>
    <i t="grand">
      <x/>
    </i>
  </rowItems>
  <colItems count="1">
    <i/>
  </colItems>
  <dataFields count="1">
    <dataField name="Count of TX ID" fld="0" subtotal="count" baseField="0" baseItem="0"/>
  </dataFields>
  <chartFormats count="3">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47EF17-5F3A-4668-87BB-E8C207DAA6C3}" name="Products By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28:G51" firstHeaderRow="1" firstDataRow="2" firstDataCol="1"/>
  <pivotFields count="18">
    <pivotField showAll="0"/>
    <pivotField axis="axisRow" showAll="0" sortType="descending">
      <items count="22">
        <item x="14"/>
        <item x="10"/>
        <item x="12"/>
        <item x="15"/>
        <item x="4"/>
        <item x="7"/>
        <item x="6"/>
        <item x="19"/>
        <item x="18"/>
        <item x="11"/>
        <item x="17"/>
        <item x="5"/>
        <item x="0"/>
        <item x="2"/>
        <item x="9"/>
        <item x="16"/>
        <item x="1"/>
        <item x="13"/>
        <item x="8"/>
        <item x="3"/>
        <item x="20"/>
        <item t="default"/>
      </items>
      <autoSortScope>
        <pivotArea dataOnly="0" outline="0" fieldPosition="0">
          <references count="1">
            <reference field="4294967294" count="1" selected="0">
              <x v="0"/>
            </reference>
          </references>
        </pivotArea>
      </autoSortScope>
    </pivotField>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axis="axisCol" showAll="0">
      <items count="6">
        <item x="0"/>
        <item x="2"/>
        <item x="1"/>
        <item x="3"/>
        <item x="4"/>
        <item t="default"/>
      </items>
    </pivotField>
    <pivotField showAll="0">
      <items count="7">
        <item x="0"/>
        <item x="3"/>
        <item x="4"/>
        <item x="2"/>
        <item x="1"/>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2">
    <i>
      <x v="18"/>
    </i>
    <i>
      <x v="6"/>
    </i>
    <i>
      <x v="13"/>
    </i>
    <i>
      <x v="16"/>
    </i>
    <i>
      <x v="1"/>
    </i>
    <i>
      <x v="12"/>
    </i>
    <i>
      <x v="14"/>
    </i>
    <i>
      <x v="4"/>
    </i>
    <i>
      <x v="5"/>
    </i>
    <i>
      <x v="11"/>
    </i>
    <i>
      <x v="3"/>
    </i>
    <i>
      <x v="8"/>
    </i>
    <i>
      <x v="2"/>
    </i>
    <i>
      <x v="19"/>
    </i>
    <i>
      <x v="10"/>
    </i>
    <i>
      <x v="9"/>
    </i>
    <i>
      <x v="15"/>
    </i>
    <i>
      <x v="17"/>
    </i>
    <i>
      <x/>
    </i>
    <i>
      <x v="7"/>
    </i>
    <i>
      <x v="20"/>
    </i>
    <i t="grand">
      <x/>
    </i>
  </rowItems>
  <colFields count="1">
    <field x="7"/>
  </colFields>
  <colItems count="6">
    <i>
      <x/>
    </i>
    <i>
      <x v="1"/>
    </i>
    <i>
      <x v="2"/>
    </i>
    <i>
      <x v="3"/>
    </i>
    <i>
      <x v="4"/>
    </i>
    <i t="grand">
      <x/>
    </i>
  </colItems>
  <dataFields count="1">
    <dataField name="Sum of Quantity" fld="2" baseField="0" baseItem="0"/>
  </dataFields>
  <chartFormats count="6">
    <chartFormat chart="11" format="4" series="1">
      <pivotArea type="data" outline="0" fieldPosition="0">
        <references count="1">
          <reference field="4294967294" count="1" selected="0">
            <x v="0"/>
          </reference>
        </references>
      </pivotArea>
    </chartFormat>
    <chartFormat chart="63" format="10" series="1">
      <pivotArea type="data" outline="0" fieldPosition="0">
        <references count="2">
          <reference field="4294967294" count="1" selected="0">
            <x v="0"/>
          </reference>
          <reference field="7" count="1" selected="0">
            <x v="0"/>
          </reference>
        </references>
      </pivotArea>
    </chartFormat>
    <chartFormat chart="63" format="11" series="1">
      <pivotArea type="data" outline="0" fieldPosition="0">
        <references count="2">
          <reference field="4294967294" count="1" selected="0">
            <x v="0"/>
          </reference>
          <reference field="7" count="1" selected="0">
            <x v="1"/>
          </reference>
        </references>
      </pivotArea>
    </chartFormat>
    <chartFormat chart="63" format="12" series="1">
      <pivotArea type="data" outline="0" fieldPosition="0">
        <references count="2">
          <reference field="4294967294" count="1" selected="0">
            <x v="0"/>
          </reference>
          <reference field="7" count="1" selected="0">
            <x v="2"/>
          </reference>
        </references>
      </pivotArea>
    </chartFormat>
    <chartFormat chart="63" format="13" series="1">
      <pivotArea type="data" outline="0" fieldPosition="0">
        <references count="2">
          <reference field="4294967294" count="1" selected="0">
            <x v="0"/>
          </reference>
          <reference field="7" count="1" selected="0">
            <x v="3"/>
          </reference>
        </references>
      </pivotArea>
    </chartFormat>
    <chartFormat chart="63"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5D8F68-75CD-4EDD-831C-2BCB020AC7AF}" name="For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C23" firstHeaderRow="0" firstDataRow="1" firstDataCol="1"/>
  <pivotFields count="18">
    <pivotField showAll="0"/>
    <pivotField showAll="0"/>
    <pivotField dataField="1"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items count="7">
        <item x="0"/>
        <item x="3"/>
        <item x="4"/>
        <item x="2"/>
        <item x="1"/>
        <item x="5"/>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Quantity" fld="2" baseField="0" baseItem="0"/>
    <dataField name="Sum of Amount" fld="4" baseField="13" baseItem="4" numFmtId="168"/>
  </dataFields>
  <formats count="8">
    <format dxfId="41">
      <pivotArea collapsedLevelsAreSubtotals="1" fieldPosition="0">
        <references count="2">
          <reference field="4294967294" count="1" selected="0">
            <x v="1"/>
          </reference>
          <reference field="13" count="1">
            <x v="0"/>
          </reference>
        </references>
      </pivotArea>
    </format>
    <format dxfId="40">
      <pivotArea dataOnly="0" labelOnly="1" outline="0" fieldPosition="0">
        <references count="1">
          <reference field="4294967294" count="1">
            <x v="1"/>
          </reference>
        </references>
      </pivotArea>
    </format>
    <format dxfId="39">
      <pivotArea collapsedLevelsAreSubtotals="1" fieldPosition="0">
        <references count="2">
          <reference field="4294967294" count="1" selected="0">
            <x v="1"/>
          </reference>
          <reference field="13" count="1">
            <x v="1"/>
          </reference>
        </references>
      </pivotArea>
    </format>
    <format dxfId="38">
      <pivotArea collapsedLevelsAreSubtotals="1" fieldPosition="0">
        <references count="2">
          <reference field="4294967294" count="1" selected="0">
            <x v="1"/>
          </reference>
          <reference field="13" count="1">
            <x v="2"/>
          </reference>
        </references>
      </pivotArea>
    </format>
    <format dxfId="37">
      <pivotArea collapsedLevelsAreSubtotals="1" fieldPosition="0">
        <references count="2">
          <reference field="4294967294" count="1" selected="0">
            <x v="1"/>
          </reference>
          <reference field="13" count="1">
            <x v="3"/>
          </reference>
        </references>
      </pivotArea>
    </format>
    <format dxfId="36">
      <pivotArea collapsedLevelsAreSubtotals="1" fieldPosition="0">
        <references count="2">
          <reference field="4294967294" count="1" selected="0">
            <x v="1"/>
          </reference>
          <reference field="13" count="1">
            <x v="5"/>
          </reference>
        </references>
      </pivotArea>
    </format>
    <format dxfId="35">
      <pivotArea collapsedLevelsAreSubtotals="1" fieldPosition="0">
        <references count="2">
          <reference field="4294967294" count="1" selected="0">
            <x v="1"/>
          </reference>
          <reference field="13" count="1">
            <x v="4"/>
          </reference>
        </references>
      </pivotArea>
    </format>
    <format dxfId="34">
      <pivotArea outline="0" fieldPosition="0">
        <references count="1">
          <reference field="4294967294" count="1">
            <x v="1"/>
          </reference>
        </references>
      </pivotArea>
    </format>
  </formats>
  <chartFormats count="4">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371549-C422-4C66-A2F3-4C9EA43325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Order Mode">
  <location ref="A1:G9" firstHeaderRow="1" firstDataRow="2" firstDataCol="1"/>
  <pivotFields count="18">
    <pivotField showAll="0"/>
    <pivotField showAll="0"/>
    <pivotField showAll="0">
      <items count="50">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x="48"/>
        <item t="default"/>
      </items>
    </pivotField>
    <pivotField showAll="0"/>
    <pivotField dataField="1" showAll="0"/>
    <pivotField showAll="0">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axis="axisRow" showAll="0">
      <items count="7">
        <item x="0"/>
        <item x="3"/>
        <item x="4"/>
        <item x="2"/>
        <item x="1"/>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Col" showAll="0">
      <items count="6">
        <item x="2"/>
        <item x="1"/>
        <item x="3"/>
        <item x="0"/>
        <item x="4"/>
        <item t="default"/>
      </items>
    </pivotField>
    <pivotField showAll="0">
      <items count="9">
        <item x="0"/>
        <item x="1"/>
        <item x="2"/>
        <item x="4"/>
        <item x="3"/>
        <item x="6"/>
        <item x="7"/>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Fields count="1">
    <field x="14"/>
  </colFields>
  <colItems count="6">
    <i>
      <x/>
    </i>
    <i>
      <x v="1"/>
    </i>
    <i>
      <x v="2"/>
    </i>
    <i>
      <x v="3"/>
    </i>
    <i>
      <x v="4"/>
    </i>
    <i t="grand">
      <x/>
    </i>
  </colItems>
  <dataFields count="1">
    <dataField name="Sum of Amount" fld="4" showDataAs="percentOfTotal" baseField="0" baseItem="0" numFmtId="10"/>
  </dataFields>
  <formats count="15">
    <format dxfId="31">
      <pivotArea collapsedLevelsAreSubtotals="1" fieldPosition="0">
        <references count="1">
          <reference field="8" count="1">
            <x v="0"/>
          </reference>
        </references>
      </pivotArea>
    </format>
    <format dxfId="30">
      <pivotArea dataOnly="0" labelOnly="1" fieldPosition="0">
        <references count="1">
          <reference field="8" count="1">
            <x v="0"/>
          </reference>
        </references>
      </pivotArea>
    </format>
    <format dxfId="29">
      <pivotArea collapsedLevelsAreSubtotals="1" fieldPosition="0">
        <references count="1">
          <reference field="8" count="1">
            <x v="0"/>
          </reference>
        </references>
      </pivotArea>
    </format>
    <format dxfId="28">
      <pivotArea dataOnly="0" labelOnly="1" fieldPosition="0">
        <references count="1">
          <reference field="8" count="1">
            <x v="0"/>
          </reference>
        </references>
      </pivotArea>
    </format>
    <format dxfId="27">
      <pivotArea field="8" type="button" dataOnly="0" labelOnly="1" outline="0" axis="axisRow" fieldPosition="0"/>
    </format>
    <format dxfId="26">
      <pivotArea dataOnly="0" labelOnly="1" fieldPosition="0">
        <references count="1">
          <reference field="14" count="0"/>
        </references>
      </pivotArea>
    </format>
    <format dxfId="25">
      <pivotArea dataOnly="0" labelOnly="1" grandCol="1" outline="0" fieldPosition="0"/>
    </format>
    <format dxfId="24">
      <pivotArea collapsedLevelsAreSubtotals="1" fieldPosition="0">
        <references count="1">
          <reference field="8" count="1">
            <x v="1"/>
          </reference>
        </references>
      </pivotArea>
    </format>
    <format dxfId="23">
      <pivotArea dataOnly="0" labelOnly="1" fieldPosition="0">
        <references count="1">
          <reference field="8" count="1">
            <x v="1"/>
          </reference>
        </references>
      </pivotArea>
    </format>
    <format dxfId="22">
      <pivotArea collapsedLevelsAreSubtotals="1" fieldPosition="0">
        <references count="1">
          <reference field="8" count="1">
            <x v="2"/>
          </reference>
        </references>
      </pivotArea>
    </format>
    <format dxfId="21">
      <pivotArea dataOnly="0" labelOnly="1" fieldPosition="0">
        <references count="1">
          <reference field="8" count="1">
            <x v="2"/>
          </reference>
        </references>
      </pivotArea>
    </format>
    <format dxfId="20">
      <pivotArea collapsedLevelsAreSubtotals="1" fieldPosition="0">
        <references count="1">
          <reference field="8" count="1">
            <x v="3"/>
          </reference>
        </references>
      </pivotArea>
    </format>
    <format dxfId="19">
      <pivotArea dataOnly="0" labelOnly="1" fieldPosition="0">
        <references count="1">
          <reference field="8" count="1">
            <x v="3"/>
          </reference>
        </references>
      </pivotArea>
    </format>
    <format dxfId="18">
      <pivotArea collapsedLevelsAreSubtotals="1" fieldPosition="0">
        <references count="1">
          <reference field="8" count="1">
            <x v="4"/>
          </reference>
        </references>
      </pivotArea>
    </format>
    <format dxfId="17">
      <pivotArea dataOnly="0" labelOnly="1" fieldPosition="0">
        <references count="1">
          <reference field="8"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4071082-BA9C-400F-A1C5-9A14B78C0883}" sourceName="Order Mode">
  <pivotTables>
    <pivotTable tabId="5" name="PivotTable10"/>
    <pivotTable tabId="5" name="Customer satisfaction"/>
    <pivotTable tabId="5" name="Days to deliver"/>
    <pivotTable tabId="5" name="For Trends"/>
    <pivotTable tabId="5" name="Gender Split"/>
    <pivotTable tabId="5" name="Geographical analysis"/>
    <pivotTable tabId="5" name="Order qty "/>
    <pivotTable tabId="5" name="PivotTable1"/>
    <pivotTable tabId="5" name="Products By qty"/>
  </pivotTables>
  <data>
    <tabular pivotCacheId="871260462">
      <items count="6">
        <i x="0" s="1"/>
        <i x="3" s="1"/>
        <i x="4"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9B7AD46-6BE4-4FCE-A894-742FCAA39F5A}" sourceName="Gender Value">
  <pivotTables>
    <pivotTable tabId="5" name="PivotTable3"/>
    <pivotTable tabId="5" name="Customer satisfaction"/>
    <pivotTable tabId="5" name="Days to deliver"/>
    <pivotTable tabId="5" name="For Trends"/>
    <pivotTable tabId="5" name="Geographical analysis"/>
    <pivotTable tabId="5" name="Order qty "/>
    <pivotTable tabId="5" name="PivotTable10"/>
    <pivotTable tabId="5" name="Products By qty"/>
  </pivotTables>
  <data>
    <tabular pivotCacheId="871260462">
      <items count="5">
        <i x="2"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D5F7402-6380-446D-86D1-FEA56A4575ED}" cache="Slicer_Order_Mode" caption="Order Mode" style="SlicerStyleOther2" rowHeight="432000"/>
  <slicer name="Gender " xr10:uid="{F992A481-D3CE-4AF6-AFDE-C13BCBA1EF2B}" cache="Slicer_Gender_Value" caption="Gender " style="SlicerStyleOther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16" dataDxfId="15">
  <tableColumns count="15">
    <tableColumn id="1" xr3:uid="{835BDA26-C722-4E6F-9298-258C54C0B701}" name="TX ID" dataDxfId="14"/>
    <tableColumn id="2" xr3:uid="{D1EF005A-5696-4529-BA61-93E2EAA2107A}" name="Product" dataDxfId="13"/>
    <tableColumn id="3" xr3:uid="{D49C5075-88A8-4A63-A107-04CDE748DF73}" name="Quantity" dataDxfId="12"/>
    <tableColumn id="4" xr3:uid="{165FB9D7-E05A-4AF9-8E1E-85C779E2F26A}" name="Unit Price" dataDxfId="11"/>
    <tableColumn id="5" xr3:uid="{ADAB0B65-CB79-438E-8639-84ED9A249D6D}" name="Amount" dataDxfId="10"/>
    <tableColumn id="6" xr3:uid="{F1CF05F9-0D26-457F-8C26-9F73C63CDAC6}" name="Order Date" dataDxfId="9"/>
    <tableColumn id="7" xr3:uid="{43BB5DBF-46E1-4185-80C0-4361F55A385C}" name="Ship Date" dataDxfId="8"/>
    <tableColumn id="8" xr3:uid="{414130C9-4E38-42D6-9A5C-4680F86C86A0}" name="Customer Gender" dataDxfId="7"/>
    <tableColumn id="9" xr3:uid="{8BBEC465-D535-4FE0-8A17-D6D08BC95D63}" name="Order Mode" dataDxfId="6"/>
    <tableColumn id="10" xr3:uid="{9F8B8E2F-389A-43C1-A866-C7B34C836FA7}" name="Rating C" dataDxfId="5"/>
    <tableColumn id="15" xr3:uid="{6AB4A82F-B440-4251-B6F1-F7FEC368BCB0}" name="State" dataDxfId="4"/>
    <tableColumn id="14" xr3:uid="{7677905C-5061-4DD9-BB0A-9B3AD4D72582}" name="County" dataDxfId="3"/>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795A-1A34-469F-B87E-F91D72AB1A81}">
  <dimension ref="A2:Z115"/>
  <sheetViews>
    <sheetView topLeftCell="A102" zoomScale="83" zoomScaleNormal="83" workbookViewId="0">
      <selection activeCell="A56" sqref="A56"/>
    </sheetView>
  </sheetViews>
  <sheetFormatPr defaultRowHeight="14.4"/>
  <cols>
    <col min="1" max="1" width="19.5546875" bestFit="1" customWidth="1"/>
    <col min="2" max="2" width="16.33203125" bestFit="1" customWidth="1"/>
    <col min="3" max="4" width="5" bestFit="1" customWidth="1"/>
    <col min="5" max="5" width="4" bestFit="1" customWidth="1"/>
    <col min="6" max="6" width="7" bestFit="1" customWidth="1"/>
    <col min="7" max="7" width="10.5546875" bestFit="1" customWidth="1"/>
    <col min="8" max="8" width="19.6640625" bestFit="1" customWidth="1"/>
    <col min="10" max="10" width="13.109375" bestFit="1" customWidth="1"/>
    <col min="11" max="11" width="14.5546875" bestFit="1" customWidth="1"/>
    <col min="12" max="12" width="19.6640625" bestFit="1" customWidth="1"/>
    <col min="13" max="14" width="13.109375" bestFit="1" customWidth="1"/>
    <col min="15" max="15" width="7" bestFit="1" customWidth="1"/>
    <col min="16" max="16" width="13.109375" bestFit="1" customWidth="1"/>
    <col min="17" max="17" width="13.109375" hidden="1" customWidth="1"/>
    <col min="19" max="19" width="13.109375" bestFit="1" customWidth="1"/>
  </cols>
  <sheetData>
    <row r="2" spans="1:11">
      <c r="G2" t="s">
        <v>2524</v>
      </c>
    </row>
    <row r="3" spans="1:11">
      <c r="A3" t="s">
        <v>2519</v>
      </c>
      <c r="B3" t="s">
        <v>2522</v>
      </c>
      <c r="C3" t="s">
        <v>2520</v>
      </c>
      <c r="D3" t="s">
        <v>2523</v>
      </c>
      <c r="E3" t="s">
        <v>2521</v>
      </c>
      <c r="G3" t="s">
        <v>2518</v>
      </c>
      <c r="H3" t="s">
        <v>2507</v>
      </c>
      <c r="I3" t="s">
        <v>2525</v>
      </c>
      <c r="J3" t="s">
        <v>2526</v>
      </c>
      <c r="K3" t="s">
        <v>4</v>
      </c>
    </row>
    <row r="4" spans="1:11">
      <c r="A4">
        <v>2400</v>
      </c>
      <c r="B4" s="8">
        <v>3.9620833333333332</v>
      </c>
      <c r="C4">
        <v>11997</v>
      </c>
      <c r="D4" s="7">
        <v>2.3424999999999998</v>
      </c>
      <c r="E4">
        <v>649019.80000000144</v>
      </c>
      <c r="G4" t="str">
        <f>TEXT(A4,"#,##")</f>
        <v>2,400</v>
      </c>
      <c r="H4" t="str">
        <f>TEXT(B4,"0.0")</f>
        <v>4.0</v>
      </c>
      <c r="I4" t="str">
        <f t="shared" ref="I4" si="0">TEXT(C4,"#,##")</f>
        <v>11,997</v>
      </c>
      <c r="J4" t="str">
        <f>TEXT(D4,"0.0")</f>
        <v>2.3</v>
      </c>
      <c r="K4" t="str">
        <f>TEXT(E4,"$#,##,.0k")</f>
        <v>$649.0k</v>
      </c>
    </row>
    <row r="7" spans="1:11">
      <c r="A7" t="s">
        <v>2527</v>
      </c>
      <c r="E7" t="s">
        <v>2539</v>
      </c>
    </row>
    <row r="8" spans="1:11">
      <c r="A8" s="9" t="s">
        <v>2528</v>
      </c>
      <c r="B8" t="s">
        <v>2520</v>
      </c>
      <c r="C8" s="13" t="s">
        <v>2521</v>
      </c>
      <c r="E8" s="9" t="s">
        <v>2528</v>
      </c>
      <c r="F8" t="s">
        <v>2519</v>
      </c>
    </row>
    <row r="9" spans="1:11">
      <c r="A9" s="10">
        <v>1</v>
      </c>
      <c r="B9">
        <v>546</v>
      </c>
      <c r="C9" s="14">
        <v>32413.300000000003</v>
      </c>
      <c r="E9" s="10">
        <v>1</v>
      </c>
      <c r="F9">
        <v>397</v>
      </c>
    </row>
    <row r="10" spans="1:11">
      <c r="A10" s="10">
        <v>2</v>
      </c>
      <c r="B10">
        <v>905</v>
      </c>
      <c r="C10" s="14">
        <v>49562.999999999993</v>
      </c>
      <c r="E10" s="10">
        <v>2</v>
      </c>
      <c r="F10">
        <v>540</v>
      </c>
    </row>
    <row r="11" spans="1:11">
      <c r="A11" s="10">
        <v>3</v>
      </c>
      <c r="B11">
        <v>796</v>
      </c>
      <c r="C11" s="14">
        <v>41700.400000000016</v>
      </c>
      <c r="E11" s="10">
        <v>3</v>
      </c>
      <c r="F11">
        <v>375</v>
      </c>
    </row>
    <row r="12" spans="1:11">
      <c r="A12" s="10">
        <v>4</v>
      </c>
      <c r="B12">
        <v>913</v>
      </c>
      <c r="C12" s="14">
        <v>46782.599999999984</v>
      </c>
      <c r="E12" s="10">
        <v>4</v>
      </c>
      <c r="F12">
        <v>246</v>
      </c>
    </row>
    <row r="13" spans="1:11">
      <c r="A13" s="10">
        <v>5</v>
      </c>
      <c r="B13">
        <v>844</v>
      </c>
      <c r="C13" s="14">
        <v>42676.100000000006</v>
      </c>
      <c r="E13" s="10">
        <v>5</v>
      </c>
      <c r="F13">
        <v>195</v>
      </c>
    </row>
    <row r="14" spans="1:11">
      <c r="A14" s="10">
        <v>6</v>
      </c>
      <c r="B14">
        <v>1202</v>
      </c>
      <c r="C14" s="14">
        <v>62910.7</v>
      </c>
      <c r="E14" s="10" t="s">
        <v>2537</v>
      </c>
      <c r="F14">
        <v>414</v>
      </c>
    </row>
    <row r="15" spans="1:11">
      <c r="A15" s="10">
        <v>7</v>
      </c>
      <c r="B15">
        <v>935</v>
      </c>
      <c r="C15" s="14">
        <v>50332.200000000004</v>
      </c>
      <c r="E15" s="10" t="s">
        <v>2538</v>
      </c>
      <c r="F15">
        <v>233</v>
      </c>
    </row>
    <row r="16" spans="1:11">
      <c r="A16" s="10">
        <v>8</v>
      </c>
      <c r="B16">
        <v>1128</v>
      </c>
      <c r="C16" s="14">
        <v>58760.599999999977</v>
      </c>
      <c r="E16" s="10" t="s">
        <v>2529</v>
      </c>
    </row>
    <row r="17" spans="1:26">
      <c r="A17" s="10">
        <v>9</v>
      </c>
      <c r="B17">
        <v>1007</v>
      </c>
      <c r="C17" s="14">
        <v>52017.299999999996</v>
      </c>
      <c r="E17" s="10" t="s">
        <v>2530</v>
      </c>
      <c r="F17">
        <v>2400</v>
      </c>
    </row>
    <row r="18" spans="1:26">
      <c r="A18" s="10">
        <v>10</v>
      </c>
      <c r="B18">
        <v>1128</v>
      </c>
      <c r="C18" s="14">
        <v>64915.700000000033</v>
      </c>
    </row>
    <row r="19" spans="1:26">
      <c r="A19" s="10">
        <v>11</v>
      </c>
      <c r="B19">
        <v>861</v>
      </c>
      <c r="C19" s="14">
        <v>45943.80000000001</v>
      </c>
    </row>
    <row r="20" spans="1:26">
      <c r="A20" s="10">
        <v>12</v>
      </c>
      <c r="B20">
        <v>944</v>
      </c>
      <c r="C20" s="14">
        <v>55077.900000000031</v>
      </c>
    </row>
    <row r="21" spans="1:26">
      <c r="A21" s="10">
        <v>13</v>
      </c>
      <c r="B21">
        <v>788</v>
      </c>
      <c r="C21" s="14">
        <v>45926.19999999999</v>
      </c>
    </row>
    <row r="22" spans="1:26">
      <c r="A22" s="10" t="s">
        <v>2529</v>
      </c>
      <c r="C22" s="14"/>
    </row>
    <row r="23" spans="1:26">
      <c r="A23" s="10" t="s">
        <v>2530</v>
      </c>
      <c r="B23">
        <v>11997</v>
      </c>
      <c r="C23" s="14">
        <v>649019.79999999993</v>
      </c>
    </row>
    <row r="26" spans="1:26">
      <c r="A26" t="s">
        <v>2540</v>
      </c>
      <c r="J26" t="s">
        <v>2541</v>
      </c>
      <c r="M26" t="s">
        <v>2547</v>
      </c>
      <c r="P26" t="s">
        <v>2548</v>
      </c>
    </row>
    <row r="27" spans="1:26">
      <c r="Y27" s="23" t="s">
        <v>2528</v>
      </c>
      <c r="Z27" s="23" t="s">
        <v>2519</v>
      </c>
    </row>
    <row r="28" spans="1:26">
      <c r="A28" s="9" t="s">
        <v>2520</v>
      </c>
      <c r="B28" s="9" t="s">
        <v>2531</v>
      </c>
      <c r="J28" s="9" t="s">
        <v>2528</v>
      </c>
      <c r="K28" t="s">
        <v>2520</v>
      </c>
      <c r="M28" s="9" t="s">
        <v>2528</v>
      </c>
      <c r="N28" t="s">
        <v>2519</v>
      </c>
      <c r="P28" s="9" t="s">
        <v>2519</v>
      </c>
      <c r="Q28" s="9" t="s">
        <v>2531</v>
      </c>
      <c r="X28" s="23"/>
      <c r="Y28" s="10">
        <v>0</v>
      </c>
      <c r="Z28">
        <v>175</v>
      </c>
    </row>
    <row r="29" spans="1:26">
      <c r="A29" s="9" t="s">
        <v>2528</v>
      </c>
      <c r="C29" t="s">
        <v>27</v>
      </c>
      <c r="D29" t="s">
        <v>23</v>
      </c>
      <c r="E29" t="s">
        <v>89</v>
      </c>
      <c r="F29" t="s">
        <v>2529</v>
      </c>
      <c r="G29" t="s">
        <v>2530</v>
      </c>
      <c r="J29" s="10"/>
      <c r="K29">
        <v>736</v>
      </c>
      <c r="M29" s="10">
        <v>0</v>
      </c>
      <c r="N29">
        <v>175</v>
      </c>
      <c r="Q29" t="s">
        <v>2549</v>
      </c>
      <c r="R29" t="s">
        <v>2550</v>
      </c>
      <c r="S29" t="s">
        <v>2551</v>
      </c>
      <c r="T29" t="s">
        <v>2552</v>
      </c>
      <c r="U29" t="s">
        <v>2530</v>
      </c>
      <c r="X29" s="10"/>
      <c r="Y29" s="10">
        <v>1</v>
      </c>
      <c r="Z29">
        <v>888</v>
      </c>
    </row>
    <row r="30" spans="1:26">
      <c r="A30" s="10" t="s">
        <v>44</v>
      </c>
      <c r="B30">
        <v>98</v>
      </c>
      <c r="C30">
        <v>744</v>
      </c>
      <c r="D30">
        <v>713</v>
      </c>
      <c r="E30">
        <v>90</v>
      </c>
      <c r="G30">
        <v>1645</v>
      </c>
      <c r="J30" s="10" t="s">
        <v>27</v>
      </c>
      <c r="K30">
        <v>6272</v>
      </c>
      <c r="M30" s="10">
        <v>1</v>
      </c>
      <c r="N30">
        <v>888</v>
      </c>
      <c r="X30" s="10"/>
      <c r="Y30" s="10">
        <v>2</v>
      </c>
      <c r="Z30">
        <v>538</v>
      </c>
    </row>
    <row r="31" spans="1:26">
      <c r="A31" s="10" t="s">
        <v>39</v>
      </c>
      <c r="B31">
        <v>214</v>
      </c>
      <c r="C31">
        <v>716</v>
      </c>
      <c r="D31">
        <v>598</v>
      </c>
      <c r="E31">
        <v>18</v>
      </c>
      <c r="G31">
        <v>1546</v>
      </c>
      <c r="J31" s="10" t="s">
        <v>23</v>
      </c>
      <c r="K31">
        <v>4672</v>
      </c>
      <c r="M31" s="10">
        <v>2</v>
      </c>
      <c r="N31">
        <v>538</v>
      </c>
      <c r="P31" s="9" t="s">
        <v>2528</v>
      </c>
      <c r="X31" s="10"/>
      <c r="Y31" s="10">
        <v>3</v>
      </c>
      <c r="Z31">
        <v>344</v>
      </c>
    </row>
    <row r="32" spans="1:26">
      <c r="A32" s="10" t="s">
        <v>26</v>
      </c>
      <c r="B32">
        <v>137</v>
      </c>
      <c r="C32">
        <v>627</v>
      </c>
      <c r="D32">
        <v>393</v>
      </c>
      <c r="E32">
        <v>29</v>
      </c>
      <c r="G32">
        <v>1186</v>
      </c>
      <c r="J32" s="10" t="s">
        <v>89</v>
      </c>
      <c r="K32">
        <v>317</v>
      </c>
      <c r="M32" s="10">
        <v>3</v>
      </c>
      <c r="N32">
        <v>344</v>
      </c>
      <c r="P32" s="10">
        <v>1</v>
      </c>
      <c r="R32">
        <v>7</v>
      </c>
      <c r="S32">
        <v>8</v>
      </c>
      <c r="T32">
        <v>6</v>
      </c>
      <c r="U32">
        <v>21</v>
      </c>
      <c r="X32" s="10"/>
      <c r="Y32" s="10">
        <v>4</v>
      </c>
      <c r="Z32">
        <v>200</v>
      </c>
    </row>
    <row r="33" spans="1:26">
      <c r="A33" s="10" t="s">
        <v>22</v>
      </c>
      <c r="B33">
        <v>16</v>
      </c>
      <c r="C33">
        <v>568</v>
      </c>
      <c r="D33">
        <v>306</v>
      </c>
      <c r="E33">
        <v>22</v>
      </c>
      <c r="G33">
        <v>912</v>
      </c>
      <c r="J33" s="10" t="s">
        <v>2529</v>
      </c>
      <c r="M33" s="10">
        <v>4</v>
      </c>
      <c r="N33">
        <v>200</v>
      </c>
      <c r="P33" s="10">
        <v>2</v>
      </c>
      <c r="R33">
        <v>37</v>
      </c>
      <c r="S33">
        <v>51</v>
      </c>
      <c r="T33">
        <v>39</v>
      </c>
      <c r="U33">
        <v>127</v>
      </c>
      <c r="X33" s="10"/>
      <c r="Y33" s="10">
        <v>5</v>
      </c>
      <c r="Z33">
        <v>94</v>
      </c>
    </row>
    <row r="34" spans="1:26">
      <c r="A34" s="10" t="s">
        <v>54</v>
      </c>
      <c r="B34">
        <v>22</v>
      </c>
      <c r="C34">
        <v>482</v>
      </c>
      <c r="D34">
        <v>295</v>
      </c>
      <c r="E34">
        <v>8</v>
      </c>
      <c r="G34">
        <v>807</v>
      </c>
      <c r="J34" s="10" t="s">
        <v>2530</v>
      </c>
      <c r="K34">
        <v>11997</v>
      </c>
      <c r="M34" s="10">
        <v>5</v>
      </c>
      <c r="N34">
        <v>94</v>
      </c>
      <c r="P34" s="10">
        <v>3</v>
      </c>
      <c r="R34">
        <v>150</v>
      </c>
      <c r="S34">
        <v>182</v>
      </c>
      <c r="T34">
        <v>163</v>
      </c>
      <c r="U34">
        <v>495</v>
      </c>
      <c r="Y34" s="10">
        <v>6</v>
      </c>
      <c r="Z34">
        <v>51</v>
      </c>
    </row>
    <row r="35" spans="1:26">
      <c r="A35" s="10" t="s">
        <v>16</v>
      </c>
      <c r="B35">
        <v>24</v>
      </c>
      <c r="C35">
        <v>428</v>
      </c>
      <c r="D35">
        <v>293</v>
      </c>
      <c r="G35">
        <v>745</v>
      </c>
      <c r="M35" s="10">
        <v>6</v>
      </c>
      <c r="N35">
        <v>51</v>
      </c>
      <c r="P35" s="10">
        <v>4</v>
      </c>
      <c r="R35">
        <v>312</v>
      </c>
      <c r="S35">
        <v>373</v>
      </c>
      <c r="T35">
        <v>351</v>
      </c>
      <c r="U35">
        <v>1036</v>
      </c>
      <c r="Y35" s="10">
        <v>7</v>
      </c>
      <c r="Z35">
        <v>32</v>
      </c>
    </row>
    <row r="36" spans="1:26">
      <c r="A36" s="10" t="s">
        <v>46</v>
      </c>
      <c r="B36">
        <v>39</v>
      </c>
      <c r="C36">
        <v>445</v>
      </c>
      <c r="D36">
        <v>202</v>
      </c>
      <c r="E36">
        <v>14</v>
      </c>
      <c r="G36">
        <v>700</v>
      </c>
      <c r="M36" s="10">
        <v>7</v>
      </c>
      <c r="N36">
        <v>32</v>
      </c>
      <c r="P36" s="10">
        <v>5</v>
      </c>
      <c r="R36">
        <v>224</v>
      </c>
      <c r="S36">
        <v>247</v>
      </c>
      <c r="T36">
        <v>250</v>
      </c>
      <c r="U36">
        <v>721</v>
      </c>
      <c r="Y36" s="10">
        <v>8</v>
      </c>
      <c r="Z36">
        <v>23</v>
      </c>
    </row>
    <row r="37" spans="1:26">
      <c r="A37" s="10" t="s">
        <v>32</v>
      </c>
      <c r="B37">
        <v>15</v>
      </c>
      <c r="C37">
        <v>431</v>
      </c>
      <c r="D37">
        <v>187</v>
      </c>
      <c r="E37">
        <v>14</v>
      </c>
      <c r="G37">
        <v>647</v>
      </c>
      <c r="M37" s="10">
        <v>8</v>
      </c>
      <c r="N37">
        <v>23</v>
      </c>
      <c r="P37" s="10" t="s">
        <v>2529</v>
      </c>
      <c r="Y37" s="10">
        <v>9</v>
      </c>
      <c r="Z37">
        <v>9</v>
      </c>
    </row>
    <row r="38" spans="1:26">
      <c r="A38" s="10" t="s">
        <v>42</v>
      </c>
      <c r="B38">
        <v>9</v>
      </c>
      <c r="C38">
        <v>264</v>
      </c>
      <c r="D38">
        <v>318</v>
      </c>
      <c r="E38">
        <v>15</v>
      </c>
      <c r="G38">
        <v>606</v>
      </c>
      <c r="M38" s="10">
        <v>9</v>
      </c>
      <c r="N38">
        <v>9</v>
      </c>
      <c r="P38" s="10" t="s">
        <v>2530</v>
      </c>
      <c r="R38">
        <v>730</v>
      </c>
      <c r="S38">
        <v>861</v>
      </c>
      <c r="T38">
        <v>809</v>
      </c>
      <c r="U38">
        <v>2400</v>
      </c>
      <c r="Y38" s="10">
        <v>10</v>
      </c>
      <c r="Z38">
        <v>8</v>
      </c>
    </row>
    <row r="39" spans="1:26">
      <c r="A39" s="10" t="s">
        <v>37</v>
      </c>
      <c r="B39">
        <v>23</v>
      </c>
      <c r="C39">
        <v>296</v>
      </c>
      <c r="D39">
        <v>275</v>
      </c>
      <c r="E39">
        <v>9</v>
      </c>
      <c r="G39">
        <v>603</v>
      </c>
      <c r="M39" s="10">
        <v>10</v>
      </c>
      <c r="N39">
        <v>8</v>
      </c>
      <c r="Y39" s="10">
        <v>11</v>
      </c>
      <c r="Z39">
        <v>11</v>
      </c>
    </row>
    <row r="40" spans="1:26">
      <c r="A40" s="10" t="s">
        <v>123</v>
      </c>
      <c r="B40">
        <v>8</v>
      </c>
      <c r="C40">
        <v>153</v>
      </c>
      <c r="D40">
        <v>246</v>
      </c>
      <c r="E40">
        <v>30</v>
      </c>
      <c r="G40">
        <v>437</v>
      </c>
      <c r="M40" s="10">
        <v>11</v>
      </c>
      <c r="N40">
        <v>11</v>
      </c>
      <c r="Y40" s="10">
        <v>12</v>
      </c>
      <c r="Z40">
        <v>4</v>
      </c>
    </row>
    <row r="41" spans="1:26">
      <c r="A41" s="10" t="s">
        <v>146</v>
      </c>
      <c r="B41">
        <v>31</v>
      </c>
      <c r="C41">
        <v>189</v>
      </c>
      <c r="D41">
        <v>168</v>
      </c>
      <c r="E41">
        <v>10</v>
      </c>
      <c r="G41">
        <v>398</v>
      </c>
      <c r="M41" s="10">
        <v>12</v>
      </c>
      <c r="N41">
        <v>4</v>
      </c>
      <c r="P41" s="23" t="s">
        <v>2528</v>
      </c>
      <c r="Q41" s="23"/>
      <c r="R41" s="23" t="s">
        <v>2550</v>
      </c>
      <c r="S41" s="23" t="s">
        <v>2551</v>
      </c>
      <c r="T41" s="23" t="s">
        <v>2553</v>
      </c>
      <c r="Y41" s="10">
        <v>13</v>
      </c>
      <c r="Z41">
        <v>10</v>
      </c>
    </row>
    <row r="42" spans="1:26">
      <c r="A42" s="10" t="s">
        <v>69</v>
      </c>
      <c r="B42">
        <v>24</v>
      </c>
      <c r="C42">
        <v>234</v>
      </c>
      <c r="D42">
        <v>93</v>
      </c>
      <c r="E42">
        <v>19</v>
      </c>
      <c r="G42">
        <v>370</v>
      </c>
      <c r="M42" s="10">
        <v>13</v>
      </c>
      <c r="N42">
        <v>10</v>
      </c>
      <c r="P42" s="10">
        <v>1</v>
      </c>
      <c r="R42">
        <v>7</v>
      </c>
      <c r="S42">
        <v>8</v>
      </c>
      <c r="T42">
        <v>6</v>
      </c>
      <c r="Y42" s="10">
        <v>14</v>
      </c>
      <c r="Z42">
        <v>13</v>
      </c>
    </row>
    <row r="43" spans="1:26">
      <c r="A43" s="10" t="s">
        <v>30</v>
      </c>
      <c r="B43">
        <v>28</v>
      </c>
      <c r="C43">
        <v>146</v>
      </c>
      <c r="D43">
        <v>94</v>
      </c>
      <c r="E43">
        <v>4</v>
      </c>
      <c r="G43">
        <v>272</v>
      </c>
      <c r="M43" s="10">
        <v>14</v>
      </c>
      <c r="N43">
        <v>13</v>
      </c>
      <c r="P43" s="10">
        <v>2</v>
      </c>
      <c r="R43">
        <v>37</v>
      </c>
      <c r="S43">
        <v>51</v>
      </c>
      <c r="T43">
        <v>39</v>
      </c>
    </row>
    <row r="44" spans="1:26">
      <c r="A44" s="10" t="s">
        <v>135</v>
      </c>
      <c r="B44">
        <v>12</v>
      </c>
      <c r="C44">
        <v>127</v>
      </c>
      <c r="D44">
        <v>118</v>
      </c>
      <c r="E44">
        <v>13</v>
      </c>
      <c r="G44">
        <v>270</v>
      </c>
      <c r="M44" s="10" t="s">
        <v>2529</v>
      </c>
      <c r="P44" s="10">
        <v>3</v>
      </c>
      <c r="R44">
        <v>150</v>
      </c>
      <c r="S44">
        <v>182</v>
      </c>
      <c r="T44">
        <v>163</v>
      </c>
    </row>
    <row r="45" spans="1:26">
      <c r="A45" s="10" t="s">
        <v>67</v>
      </c>
      <c r="C45">
        <v>179</v>
      </c>
      <c r="D45">
        <v>76</v>
      </c>
      <c r="E45">
        <v>3</v>
      </c>
      <c r="G45">
        <v>258</v>
      </c>
      <c r="M45" s="10" t="s">
        <v>2530</v>
      </c>
      <c r="N45">
        <v>2400</v>
      </c>
      <c r="P45" s="10">
        <v>4</v>
      </c>
      <c r="R45">
        <v>312</v>
      </c>
      <c r="S45">
        <v>373</v>
      </c>
      <c r="T45">
        <v>351</v>
      </c>
    </row>
    <row r="46" spans="1:26">
      <c r="A46" s="10" t="s">
        <v>128</v>
      </c>
      <c r="B46">
        <v>24</v>
      </c>
      <c r="C46">
        <v>99</v>
      </c>
      <c r="D46">
        <v>69</v>
      </c>
      <c r="E46">
        <v>3</v>
      </c>
      <c r="G46">
        <v>195</v>
      </c>
      <c r="P46" s="10">
        <v>5</v>
      </c>
      <c r="R46">
        <v>224</v>
      </c>
      <c r="S46">
        <v>247</v>
      </c>
      <c r="T46">
        <v>250</v>
      </c>
    </row>
    <row r="47" spans="1:26">
      <c r="A47" s="10" t="s">
        <v>76</v>
      </c>
      <c r="B47">
        <v>6</v>
      </c>
      <c r="C47">
        <v>75</v>
      </c>
      <c r="D47">
        <v>103</v>
      </c>
      <c r="E47">
        <v>4</v>
      </c>
      <c r="G47">
        <v>188</v>
      </c>
    </row>
    <row r="48" spans="1:26">
      <c r="A48" s="10" t="s">
        <v>81</v>
      </c>
      <c r="B48">
        <v>6</v>
      </c>
      <c r="C48">
        <v>43</v>
      </c>
      <c r="D48">
        <v>90</v>
      </c>
      <c r="E48">
        <v>8</v>
      </c>
      <c r="G48">
        <v>147</v>
      </c>
    </row>
    <row r="49" spans="1:19">
      <c r="A49" s="10" t="s">
        <v>171</v>
      </c>
      <c r="C49">
        <v>26</v>
      </c>
      <c r="D49">
        <v>35</v>
      </c>
      <c r="E49">
        <v>4</v>
      </c>
      <c r="G49">
        <v>65</v>
      </c>
    </row>
    <row r="50" spans="1:19">
      <c r="A50" s="10" t="s">
        <v>2529</v>
      </c>
    </row>
    <row r="51" spans="1:19">
      <c r="A51" s="10" t="s">
        <v>2530</v>
      </c>
      <c r="B51">
        <v>736</v>
      </c>
      <c r="C51">
        <v>6272</v>
      </c>
      <c r="D51">
        <v>4672</v>
      </c>
      <c r="E51">
        <v>317</v>
      </c>
      <c r="G51">
        <v>11997</v>
      </c>
    </row>
    <row r="54" spans="1:19">
      <c r="A54" s="10" t="s">
        <v>2542</v>
      </c>
      <c r="G54" t="s">
        <v>2545</v>
      </c>
      <c r="K54" t="s">
        <v>2546</v>
      </c>
    </row>
    <row r="56" spans="1:19">
      <c r="A56" s="9" t="s">
        <v>10</v>
      </c>
      <c r="B56" s="9" t="s">
        <v>11</v>
      </c>
      <c r="C56" t="s">
        <v>2520</v>
      </c>
      <c r="D56" t="s">
        <v>2521</v>
      </c>
      <c r="G56" t="s">
        <v>2543</v>
      </c>
      <c r="H56" t="s">
        <v>2544</v>
      </c>
      <c r="I56" t="s">
        <v>2525</v>
      </c>
      <c r="K56" t="s">
        <v>10</v>
      </c>
      <c r="L56" t="s">
        <v>11</v>
      </c>
      <c r="M56" t="s">
        <v>4</v>
      </c>
      <c r="P56" s="9" t="s">
        <v>2528</v>
      </c>
      <c r="S56" s="9" t="s">
        <v>2528</v>
      </c>
    </row>
    <row r="57" spans="1:19">
      <c r="A57" t="s">
        <v>19</v>
      </c>
      <c r="B57" t="s">
        <v>115</v>
      </c>
      <c r="C57">
        <v>579</v>
      </c>
      <c r="D57">
        <v>31884.999999999996</v>
      </c>
      <c r="G57" s="24" t="s">
        <v>19</v>
      </c>
      <c r="H57" t="s">
        <v>115</v>
      </c>
      <c r="I57">
        <v>579</v>
      </c>
      <c r="K57" s="24" t="s">
        <v>19</v>
      </c>
      <c r="L57" t="s">
        <v>115</v>
      </c>
      <c r="M57" s="26">
        <v>31884.999999999996</v>
      </c>
      <c r="P57" s="10" t="s">
        <v>2532</v>
      </c>
      <c r="S57" s="10" t="s">
        <v>18</v>
      </c>
    </row>
    <row r="58" spans="1:19">
      <c r="A58" t="s">
        <v>19</v>
      </c>
      <c r="B58" t="s">
        <v>20</v>
      </c>
      <c r="C58">
        <v>1</v>
      </c>
      <c r="D58">
        <v>10.9</v>
      </c>
      <c r="G58" s="24" t="s">
        <v>19</v>
      </c>
      <c r="H58" t="s">
        <v>20</v>
      </c>
      <c r="I58">
        <v>1</v>
      </c>
      <c r="K58" s="24" t="s">
        <v>19</v>
      </c>
      <c r="L58" t="s">
        <v>20</v>
      </c>
      <c r="M58" s="26">
        <v>10.9</v>
      </c>
      <c r="P58" s="10" t="s">
        <v>2533</v>
      </c>
      <c r="S58" s="10" t="s">
        <v>51</v>
      </c>
    </row>
    <row r="59" spans="1:19">
      <c r="A59" t="s">
        <v>19</v>
      </c>
      <c r="B59" t="s">
        <v>641</v>
      </c>
      <c r="C59">
        <v>9</v>
      </c>
      <c r="D59">
        <v>800.3</v>
      </c>
      <c r="G59" s="24" t="s">
        <v>19</v>
      </c>
      <c r="H59" t="s">
        <v>641</v>
      </c>
      <c r="I59">
        <v>9</v>
      </c>
      <c r="K59" s="24" t="s">
        <v>19</v>
      </c>
      <c r="L59" t="s">
        <v>641</v>
      </c>
      <c r="M59" s="26">
        <v>800.3</v>
      </c>
      <c r="P59" s="10" t="s">
        <v>2534</v>
      </c>
      <c r="S59" s="10" t="s">
        <v>70</v>
      </c>
    </row>
    <row r="60" spans="1:19">
      <c r="A60" t="s">
        <v>19</v>
      </c>
      <c r="B60" t="s">
        <v>967</v>
      </c>
      <c r="C60">
        <v>35</v>
      </c>
      <c r="D60">
        <v>1062.5999999999999</v>
      </c>
      <c r="G60" s="24" t="s">
        <v>19</v>
      </c>
      <c r="H60" t="s">
        <v>967</v>
      </c>
      <c r="I60">
        <v>35</v>
      </c>
      <c r="K60" s="24" t="s">
        <v>19</v>
      </c>
      <c r="L60" t="s">
        <v>967</v>
      </c>
      <c r="M60" s="26">
        <v>1062.5999999999999</v>
      </c>
      <c r="P60" s="10" t="s">
        <v>2535</v>
      </c>
      <c r="S60" s="10" t="s">
        <v>40</v>
      </c>
    </row>
    <row r="61" spans="1:19">
      <c r="A61" t="s">
        <v>19</v>
      </c>
      <c r="B61" t="s">
        <v>84</v>
      </c>
      <c r="C61">
        <v>12</v>
      </c>
      <c r="D61">
        <v>326.20000000000005</v>
      </c>
      <c r="G61" s="24" t="s">
        <v>19</v>
      </c>
      <c r="H61" t="s">
        <v>84</v>
      </c>
      <c r="I61">
        <v>12</v>
      </c>
      <c r="K61" s="24" t="s">
        <v>19</v>
      </c>
      <c r="L61" t="s">
        <v>84</v>
      </c>
      <c r="M61" s="26">
        <v>326.20000000000005</v>
      </c>
      <c r="P61" s="10" t="s">
        <v>2529</v>
      </c>
      <c r="S61" s="10" t="s">
        <v>35</v>
      </c>
    </row>
    <row r="62" spans="1:19">
      <c r="A62" t="s">
        <v>19</v>
      </c>
      <c r="B62" t="s">
        <v>1383</v>
      </c>
      <c r="C62">
        <v>4</v>
      </c>
      <c r="D62">
        <v>167.5</v>
      </c>
      <c r="G62" s="24" t="s">
        <v>19</v>
      </c>
      <c r="H62" t="s">
        <v>1383</v>
      </c>
      <c r="I62">
        <v>4</v>
      </c>
      <c r="K62" s="24" t="s">
        <v>19</v>
      </c>
      <c r="L62" t="s">
        <v>1383</v>
      </c>
      <c r="M62" s="26">
        <v>167.5</v>
      </c>
      <c r="P62" s="10" t="s">
        <v>2530</v>
      </c>
      <c r="S62" s="10" t="s">
        <v>2529</v>
      </c>
    </row>
    <row r="63" spans="1:19">
      <c r="A63" t="s">
        <v>19</v>
      </c>
      <c r="B63" t="s">
        <v>24</v>
      </c>
      <c r="C63">
        <v>341</v>
      </c>
      <c r="D63">
        <v>16168.7</v>
      </c>
      <c r="G63" s="24" t="s">
        <v>19</v>
      </c>
      <c r="H63" t="s">
        <v>24</v>
      </c>
      <c r="I63">
        <v>341</v>
      </c>
      <c r="K63" s="24" t="s">
        <v>19</v>
      </c>
      <c r="L63" t="s">
        <v>24</v>
      </c>
      <c r="M63" s="26">
        <v>16168.7</v>
      </c>
      <c r="S63" s="10" t="s">
        <v>2530</v>
      </c>
    </row>
    <row r="64" spans="1:19">
      <c r="A64" t="s">
        <v>19</v>
      </c>
      <c r="B64" t="s">
        <v>2204</v>
      </c>
      <c r="C64">
        <v>13</v>
      </c>
      <c r="D64">
        <v>322.40000000000003</v>
      </c>
      <c r="G64" s="24" t="s">
        <v>19</v>
      </c>
      <c r="H64" t="s">
        <v>2204</v>
      </c>
      <c r="I64">
        <v>13</v>
      </c>
      <c r="K64" s="24" t="s">
        <v>19</v>
      </c>
      <c r="L64" t="s">
        <v>2204</v>
      </c>
      <c r="M64" s="26">
        <v>322.40000000000003</v>
      </c>
    </row>
    <row r="65" spans="1:13">
      <c r="A65" t="s">
        <v>19</v>
      </c>
      <c r="B65" t="s">
        <v>437</v>
      </c>
      <c r="C65">
        <v>31</v>
      </c>
      <c r="D65">
        <v>2092.8000000000002</v>
      </c>
      <c r="G65" s="24" t="s">
        <v>19</v>
      </c>
      <c r="H65" t="s">
        <v>437</v>
      </c>
      <c r="I65">
        <v>31</v>
      </c>
      <c r="K65" s="24" t="s">
        <v>19</v>
      </c>
      <c r="L65" t="s">
        <v>437</v>
      </c>
      <c r="M65" s="26">
        <v>2092.8000000000002</v>
      </c>
    </row>
    <row r="66" spans="1:13">
      <c r="A66" t="s">
        <v>19</v>
      </c>
      <c r="B66" t="s">
        <v>28</v>
      </c>
      <c r="C66">
        <v>279</v>
      </c>
      <c r="D66">
        <v>12662.500000000002</v>
      </c>
      <c r="G66" s="24" t="s">
        <v>19</v>
      </c>
      <c r="H66" t="s">
        <v>28</v>
      </c>
      <c r="I66">
        <v>279</v>
      </c>
      <c r="K66" s="24" t="s">
        <v>19</v>
      </c>
      <c r="L66" t="s">
        <v>28</v>
      </c>
      <c r="M66" s="26">
        <v>12662.500000000002</v>
      </c>
    </row>
    <row r="67" spans="1:13">
      <c r="A67" t="s">
        <v>19</v>
      </c>
      <c r="B67" t="s">
        <v>208</v>
      </c>
      <c r="C67">
        <v>9</v>
      </c>
      <c r="D67">
        <v>343.2</v>
      </c>
      <c r="G67" s="24" t="s">
        <v>19</v>
      </c>
      <c r="H67" t="s">
        <v>208</v>
      </c>
      <c r="I67">
        <v>9</v>
      </c>
      <c r="K67" s="24" t="s">
        <v>19</v>
      </c>
      <c r="L67" t="s">
        <v>208</v>
      </c>
      <c r="M67" s="26">
        <v>343.2</v>
      </c>
    </row>
    <row r="68" spans="1:13">
      <c r="A68" t="s">
        <v>19</v>
      </c>
      <c r="B68" t="s">
        <v>587</v>
      </c>
      <c r="C68">
        <v>49</v>
      </c>
      <c r="D68">
        <v>2188.2999999999997</v>
      </c>
      <c r="G68" s="24" t="s">
        <v>19</v>
      </c>
      <c r="H68" t="s">
        <v>587</v>
      </c>
      <c r="I68">
        <v>49</v>
      </c>
      <c r="K68" s="24" t="s">
        <v>19</v>
      </c>
      <c r="L68" t="s">
        <v>587</v>
      </c>
      <c r="M68" s="26">
        <v>2188.2999999999997</v>
      </c>
    </row>
    <row r="69" spans="1:13">
      <c r="A69" t="s">
        <v>19</v>
      </c>
      <c r="B69" t="s">
        <v>331</v>
      </c>
      <c r="C69">
        <v>59</v>
      </c>
      <c r="D69">
        <v>2661.5999999999995</v>
      </c>
      <c r="G69" s="24" t="s">
        <v>19</v>
      </c>
      <c r="H69" t="s">
        <v>331</v>
      </c>
      <c r="I69">
        <v>59</v>
      </c>
      <c r="K69" s="24" t="s">
        <v>19</v>
      </c>
      <c r="L69" t="s">
        <v>331</v>
      </c>
      <c r="M69" s="26">
        <v>2661.5999999999995</v>
      </c>
    </row>
    <row r="70" spans="1:13">
      <c r="A70" t="s">
        <v>19</v>
      </c>
      <c r="B70" t="s">
        <v>86</v>
      </c>
      <c r="C70">
        <v>8</v>
      </c>
      <c r="D70">
        <v>887.5</v>
      </c>
      <c r="G70" s="24" t="s">
        <v>19</v>
      </c>
      <c r="H70" t="s">
        <v>86</v>
      </c>
      <c r="I70">
        <v>8</v>
      </c>
      <c r="K70" s="24" t="s">
        <v>19</v>
      </c>
      <c r="L70" t="s">
        <v>86</v>
      </c>
      <c r="M70" s="26">
        <v>887.5</v>
      </c>
    </row>
    <row r="71" spans="1:13">
      <c r="A71" t="s">
        <v>19</v>
      </c>
      <c r="B71" t="s">
        <v>147</v>
      </c>
      <c r="C71">
        <v>222</v>
      </c>
      <c r="D71">
        <v>11354.199999999993</v>
      </c>
      <c r="G71" s="24" t="s">
        <v>19</v>
      </c>
      <c r="H71" t="s">
        <v>147</v>
      </c>
      <c r="I71">
        <v>222</v>
      </c>
      <c r="K71" s="24" t="s">
        <v>19</v>
      </c>
      <c r="L71" t="s">
        <v>147</v>
      </c>
      <c r="M71" s="26">
        <v>11354.199999999993</v>
      </c>
    </row>
    <row r="72" spans="1:13">
      <c r="A72" t="s">
        <v>19</v>
      </c>
      <c r="B72" t="s">
        <v>334</v>
      </c>
      <c r="C72">
        <v>36</v>
      </c>
      <c r="D72">
        <v>1558.4</v>
      </c>
      <c r="G72" s="24" t="s">
        <v>19</v>
      </c>
      <c r="H72" t="s">
        <v>334</v>
      </c>
      <c r="I72">
        <v>36</v>
      </c>
      <c r="K72" s="24" t="s">
        <v>19</v>
      </c>
      <c r="L72" t="s">
        <v>334</v>
      </c>
      <c r="M72" s="26">
        <v>1558.4</v>
      </c>
    </row>
    <row r="73" spans="1:13">
      <c r="A73" t="s">
        <v>19</v>
      </c>
      <c r="B73" t="s">
        <v>949</v>
      </c>
      <c r="C73">
        <v>30</v>
      </c>
      <c r="D73">
        <v>2223.9</v>
      </c>
      <c r="G73" s="24" t="s">
        <v>19</v>
      </c>
      <c r="H73" t="s">
        <v>949</v>
      </c>
      <c r="I73">
        <v>30</v>
      </c>
      <c r="K73" s="24" t="s">
        <v>19</v>
      </c>
      <c r="L73" t="s">
        <v>949</v>
      </c>
      <c r="M73" s="26">
        <v>2223.9</v>
      </c>
    </row>
    <row r="74" spans="1:13">
      <c r="A74" t="s">
        <v>19</v>
      </c>
      <c r="B74" t="s">
        <v>1426</v>
      </c>
      <c r="C74">
        <v>1</v>
      </c>
      <c r="D74">
        <v>26.2</v>
      </c>
      <c r="G74" s="24" t="s">
        <v>19</v>
      </c>
      <c r="H74" t="s">
        <v>1426</v>
      </c>
      <c r="I74">
        <v>1</v>
      </c>
      <c r="K74" s="24" t="s">
        <v>19</v>
      </c>
      <c r="L74" t="s">
        <v>1426</v>
      </c>
      <c r="M74" s="26">
        <v>26.2</v>
      </c>
    </row>
    <row r="75" spans="1:13">
      <c r="A75" t="s">
        <v>19</v>
      </c>
      <c r="B75" t="s">
        <v>33</v>
      </c>
      <c r="C75">
        <v>3991</v>
      </c>
      <c r="D75">
        <v>215551.19999999981</v>
      </c>
      <c r="G75" s="24" t="s">
        <v>19</v>
      </c>
      <c r="H75" t="s">
        <v>33</v>
      </c>
      <c r="I75">
        <v>3991</v>
      </c>
      <c r="K75" s="24" t="s">
        <v>19</v>
      </c>
      <c r="L75" t="s">
        <v>33</v>
      </c>
      <c r="M75" s="26">
        <v>215551.19999999981</v>
      </c>
    </row>
    <row r="76" spans="1:13">
      <c r="A76" t="s">
        <v>19</v>
      </c>
      <c r="B76" t="s">
        <v>364</v>
      </c>
      <c r="C76">
        <v>45</v>
      </c>
      <c r="D76">
        <v>2687.3999999999996</v>
      </c>
      <c r="G76" s="24" t="s">
        <v>19</v>
      </c>
      <c r="H76" t="s">
        <v>364</v>
      </c>
      <c r="I76">
        <v>45</v>
      </c>
      <c r="K76" s="24" t="s">
        <v>19</v>
      </c>
      <c r="L76" t="s">
        <v>364</v>
      </c>
      <c r="M76" s="26">
        <v>2687.3999999999996</v>
      </c>
    </row>
    <row r="77" spans="1:13">
      <c r="A77" t="s">
        <v>19</v>
      </c>
      <c r="B77" t="s">
        <v>545</v>
      </c>
      <c r="C77">
        <v>39</v>
      </c>
      <c r="D77">
        <v>1463.3000000000002</v>
      </c>
      <c r="G77" s="24" t="s">
        <v>19</v>
      </c>
      <c r="H77" t="s">
        <v>545</v>
      </c>
      <c r="I77">
        <v>39</v>
      </c>
      <c r="K77" s="24" t="s">
        <v>19</v>
      </c>
      <c r="L77" t="s">
        <v>545</v>
      </c>
      <c r="M77" s="26">
        <v>1463.3000000000002</v>
      </c>
    </row>
    <row r="78" spans="1:13">
      <c r="A78" t="s">
        <v>19</v>
      </c>
      <c r="B78" t="s">
        <v>416</v>
      </c>
      <c r="C78">
        <v>6</v>
      </c>
      <c r="D78">
        <v>445.79999999999995</v>
      </c>
      <c r="G78" s="24" t="s">
        <v>19</v>
      </c>
      <c r="H78" t="s">
        <v>416</v>
      </c>
      <c r="I78">
        <v>6</v>
      </c>
      <c r="K78" s="24" t="s">
        <v>19</v>
      </c>
      <c r="L78" t="s">
        <v>416</v>
      </c>
      <c r="M78" s="26">
        <v>445.79999999999995</v>
      </c>
    </row>
    <row r="79" spans="1:13">
      <c r="A79" t="s">
        <v>19</v>
      </c>
      <c r="B79" t="s">
        <v>258</v>
      </c>
      <c r="C79">
        <v>9</v>
      </c>
      <c r="D79">
        <v>273.59999999999997</v>
      </c>
      <c r="G79" s="24" t="s">
        <v>19</v>
      </c>
      <c r="H79" t="s">
        <v>258</v>
      </c>
      <c r="I79">
        <v>9</v>
      </c>
      <c r="K79" s="24" t="s">
        <v>19</v>
      </c>
      <c r="L79" t="s">
        <v>258</v>
      </c>
      <c r="M79" s="26">
        <v>273.59999999999997</v>
      </c>
    </row>
    <row r="80" spans="1:13">
      <c r="A80" t="s">
        <v>19</v>
      </c>
      <c r="B80" t="s">
        <v>186</v>
      </c>
      <c r="C80">
        <v>60</v>
      </c>
      <c r="D80">
        <v>2690.4</v>
      </c>
      <c r="G80" s="24" t="s">
        <v>19</v>
      </c>
      <c r="H80" t="s">
        <v>186</v>
      </c>
      <c r="I80">
        <v>60</v>
      </c>
      <c r="K80" s="24" t="s">
        <v>19</v>
      </c>
      <c r="L80" t="s">
        <v>186</v>
      </c>
      <c r="M80" s="26">
        <v>2690.4</v>
      </c>
    </row>
    <row r="81" spans="1:13">
      <c r="A81" t="s">
        <v>19</v>
      </c>
      <c r="B81" t="s">
        <v>392</v>
      </c>
      <c r="C81">
        <v>2</v>
      </c>
      <c r="D81">
        <v>28.4</v>
      </c>
      <c r="G81" s="24" t="s">
        <v>19</v>
      </c>
      <c r="H81" t="s">
        <v>392</v>
      </c>
      <c r="I81">
        <v>2</v>
      </c>
      <c r="K81" s="24" t="s">
        <v>19</v>
      </c>
      <c r="L81" t="s">
        <v>392</v>
      </c>
      <c r="M81" s="26">
        <v>28.4</v>
      </c>
    </row>
    <row r="82" spans="1:13">
      <c r="A82" t="s">
        <v>19</v>
      </c>
      <c r="B82" t="s">
        <v>670</v>
      </c>
      <c r="C82">
        <v>4</v>
      </c>
      <c r="D82">
        <v>204.8</v>
      </c>
      <c r="G82" s="24" t="s">
        <v>19</v>
      </c>
      <c r="H82" t="s">
        <v>670</v>
      </c>
      <c r="I82">
        <v>4</v>
      </c>
      <c r="K82" s="24" t="s">
        <v>19</v>
      </c>
      <c r="L82" t="s">
        <v>670</v>
      </c>
      <c r="M82" s="26">
        <v>204.8</v>
      </c>
    </row>
    <row r="83" spans="1:13">
      <c r="A83" t="s">
        <v>19</v>
      </c>
      <c r="B83" t="s">
        <v>802</v>
      </c>
      <c r="C83">
        <v>31</v>
      </c>
      <c r="D83">
        <v>1607.8999999999999</v>
      </c>
      <c r="G83" s="24" t="s">
        <v>19</v>
      </c>
      <c r="H83" t="s">
        <v>802</v>
      </c>
      <c r="I83">
        <v>31</v>
      </c>
      <c r="K83" s="24" t="s">
        <v>19</v>
      </c>
      <c r="L83" t="s">
        <v>802</v>
      </c>
      <c r="M83" s="26">
        <v>1607.8999999999999</v>
      </c>
    </row>
    <row r="84" spans="1:13">
      <c r="A84" t="s">
        <v>19</v>
      </c>
      <c r="B84" t="s">
        <v>98</v>
      </c>
      <c r="C84">
        <v>88</v>
      </c>
      <c r="D84">
        <v>6444.9</v>
      </c>
      <c r="G84" s="24" t="s">
        <v>19</v>
      </c>
      <c r="H84" t="s">
        <v>98</v>
      </c>
      <c r="I84">
        <v>88</v>
      </c>
      <c r="K84" s="24" t="s">
        <v>19</v>
      </c>
      <c r="L84" t="s">
        <v>98</v>
      </c>
      <c r="M84" s="26">
        <v>6444.9</v>
      </c>
    </row>
    <row r="85" spans="1:13">
      <c r="A85" t="s">
        <v>19</v>
      </c>
      <c r="B85" t="s">
        <v>49</v>
      </c>
      <c r="C85">
        <v>25</v>
      </c>
      <c r="D85">
        <v>1809.3</v>
      </c>
      <c r="G85" s="24" t="s">
        <v>19</v>
      </c>
      <c r="H85" t="s">
        <v>49</v>
      </c>
      <c r="I85">
        <v>25</v>
      </c>
      <c r="K85" s="24" t="s">
        <v>19</v>
      </c>
      <c r="L85" t="s">
        <v>49</v>
      </c>
      <c r="M85" s="26">
        <v>1809.3</v>
      </c>
    </row>
    <row r="86" spans="1:13">
      <c r="A86" t="s">
        <v>19</v>
      </c>
      <c r="B86" t="s">
        <v>188</v>
      </c>
      <c r="C86">
        <v>178</v>
      </c>
      <c r="D86">
        <v>9680.399999999996</v>
      </c>
      <c r="G86" s="24" t="s">
        <v>19</v>
      </c>
      <c r="H86" t="s">
        <v>188</v>
      </c>
      <c r="I86">
        <v>178</v>
      </c>
      <c r="K86" s="24" t="s">
        <v>19</v>
      </c>
      <c r="L86" t="s">
        <v>188</v>
      </c>
      <c r="M86" s="26">
        <v>9680.399999999996</v>
      </c>
    </row>
    <row r="87" spans="1:13">
      <c r="A87" t="s">
        <v>19</v>
      </c>
      <c r="B87" t="s">
        <v>52</v>
      </c>
      <c r="C87">
        <v>141</v>
      </c>
      <c r="D87">
        <v>9414.7999999999993</v>
      </c>
      <c r="G87" s="24" t="s">
        <v>19</v>
      </c>
      <c r="H87" t="s">
        <v>52</v>
      </c>
      <c r="I87">
        <v>141</v>
      </c>
      <c r="K87" s="24" t="s">
        <v>19</v>
      </c>
      <c r="L87" t="s">
        <v>52</v>
      </c>
      <c r="M87" s="26">
        <v>9414.7999999999993</v>
      </c>
    </row>
    <row r="88" spans="1:13">
      <c r="A88" t="s">
        <v>19</v>
      </c>
      <c r="B88" t="s">
        <v>338</v>
      </c>
      <c r="C88">
        <v>6</v>
      </c>
      <c r="D88">
        <v>206.1</v>
      </c>
      <c r="G88" s="24" t="s">
        <v>19</v>
      </c>
      <c r="H88" t="s">
        <v>338</v>
      </c>
      <c r="I88">
        <v>6</v>
      </c>
      <c r="K88" s="24" t="s">
        <v>19</v>
      </c>
      <c r="L88" t="s">
        <v>338</v>
      </c>
      <c r="M88" s="26">
        <v>206.1</v>
      </c>
    </row>
    <row r="89" spans="1:13">
      <c r="A89" t="s">
        <v>19</v>
      </c>
      <c r="B89" t="s">
        <v>158</v>
      </c>
      <c r="C89">
        <v>178</v>
      </c>
      <c r="D89">
        <v>7691.3</v>
      </c>
      <c r="G89" s="24" t="s">
        <v>19</v>
      </c>
      <c r="H89" t="s">
        <v>158</v>
      </c>
      <c r="I89">
        <v>178</v>
      </c>
      <c r="K89" s="24" t="s">
        <v>19</v>
      </c>
      <c r="L89" t="s">
        <v>158</v>
      </c>
      <c r="M89" s="26">
        <v>7691.3</v>
      </c>
    </row>
    <row r="90" spans="1:13">
      <c r="A90" t="s">
        <v>19</v>
      </c>
      <c r="B90" t="s">
        <v>55</v>
      </c>
      <c r="C90">
        <v>699</v>
      </c>
      <c r="D90">
        <v>37784.900000000016</v>
      </c>
      <c r="G90" s="24" t="s">
        <v>19</v>
      </c>
      <c r="H90" t="s">
        <v>55</v>
      </c>
      <c r="I90">
        <v>699</v>
      </c>
      <c r="K90" s="24" t="s">
        <v>19</v>
      </c>
      <c r="L90" t="s">
        <v>55</v>
      </c>
      <c r="M90" s="26">
        <v>37784.900000000016</v>
      </c>
    </row>
    <row r="91" spans="1:13">
      <c r="A91" t="s">
        <v>19</v>
      </c>
      <c r="B91" t="s">
        <v>342</v>
      </c>
      <c r="C91">
        <v>23</v>
      </c>
      <c r="D91">
        <v>1129.7</v>
      </c>
      <c r="G91" s="24" t="s">
        <v>19</v>
      </c>
      <c r="H91" t="s">
        <v>342</v>
      </c>
      <c r="I91">
        <v>23</v>
      </c>
      <c r="K91" s="24" t="s">
        <v>19</v>
      </c>
      <c r="L91" t="s">
        <v>342</v>
      </c>
      <c r="M91" s="26">
        <v>1129.7</v>
      </c>
    </row>
    <row r="92" spans="1:13">
      <c r="A92" t="s">
        <v>19</v>
      </c>
      <c r="B92" t="s">
        <v>59</v>
      </c>
      <c r="C92">
        <v>356</v>
      </c>
      <c r="D92">
        <v>20988.9</v>
      </c>
      <c r="G92" s="24" t="s">
        <v>19</v>
      </c>
      <c r="H92" t="s">
        <v>59</v>
      </c>
      <c r="I92">
        <v>356</v>
      </c>
      <c r="K92" s="24" t="s">
        <v>19</v>
      </c>
      <c r="L92" t="s">
        <v>59</v>
      </c>
      <c r="M92" s="26">
        <v>20988.9</v>
      </c>
    </row>
    <row r="93" spans="1:13">
      <c r="A93" t="s">
        <v>19</v>
      </c>
      <c r="B93" t="s">
        <v>62</v>
      </c>
      <c r="C93">
        <v>1768</v>
      </c>
      <c r="D93">
        <v>98367.099999999977</v>
      </c>
      <c r="G93" s="24" t="s">
        <v>19</v>
      </c>
      <c r="H93" t="s">
        <v>62</v>
      </c>
      <c r="I93">
        <v>1768</v>
      </c>
      <c r="K93" s="24" t="s">
        <v>19</v>
      </c>
      <c r="L93" t="s">
        <v>62</v>
      </c>
      <c r="M93" s="26">
        <v>98367.099999999977</v>
      </c>
    </row>
    <row r="94" spans="1:13">
      <c r="A94" t="s">
        <v>19</v>
      </c>
      <c r="B94" t="s">
        <v>103</v>
      </c>
      <c r="C94">
        <v>307</v>
      </c>
      <c r="D94">
        <v>21911.9</v>
      </c>
      <c r="G94" s="24" t="s">
        <v>19</v>
      </c>
      <c r="H94" t="s">
        <v>103</v>
      </c>
      <c r="I94">
        <v>307</v>
      </c>
      <c r="K94" s="24" t="s">
        <v>19</v>
      </c>
      <c r="L94" t="s">
        <v>103</v>
      </c>
      <c r="M94" s="26">
        <v>21911.9</v>
      </c>
    </row>
    <row r="95" spans="1:13">
      <c r="A95" t="s">
        <v>19</v>
      </c>
      <c r="B95" t="s">
        <v>201</v>
      </c>
      <c r="C95">
        <v>117</v>
      </c>
      <c r="D95">
        <v>5441.2</v>
      </c>
      <c r="G95" s="24" t="s">
        <v>19</v>
      </c>
      <c r="H95" t="s">
        <v>201</v>
      </c>
      <c r="I95">
        <v>117</v>
      </c>
      <c r="K95" s="24" t="s">
        <v>19</v>
      </c>
      <c r="L95" t="s">
        <v>201</v>
      </c>
      <c r="M95" s="26">
        <v>5441.2</v>
      </c>
    </row>
    <row r="96" spans="1:13">
      <c r="A96" t="s">
        <v>19</v>
      </c>
      <c r="B96" t="s">
        <v>429</v>
      </c>
      <c r="C96">
        <v>13</v>
      </c>
      <c r="D96">
        <v>392.8</v>
      </c>
      <c r="G96" s="24" t="s">
        <v>19</v>
      </c>
      <c r="H96" t="s">
        <v>429</v>
      </c>
      <c r="I96">
        <v>13</v>
      </c>
      <c r="K96" s="24" t="s">
        <v>19</v>
      </c>
      <c r="L96" t="s">
        <v>429</v>
      </c>
      <c r="M96" s="26">
        <v>392.8</v>
      </c>
    </row>
    <row r="97" spans="1:13">
      <c r="A97" t="s">
        <v>19</v>
      </c>
      <c r="B97" t="s">
        <v>72</v>
      </c>
      <c r="C97">
        <v>364</v>
      </c>
      <c r="D97">
        <v>16172.000000000005</v>
      </c>
      <c r="G97" s="24" t="s">
        <v>19</v>
      </c>
      <c r="H97" t="s">
        <v>72</v>
      </c>
      <c r="I97">
        <v>364</v>
      </c>
      <c r="K97" s="24" t="s">
        <v>19</v>
      </c>
      <c r="L97" t="s">
        <v>72</v>
      </c>
      <c r="M97" s="26">
        <v>16172.000000000005</v>
      </c>
    </row>
    <row r="98" spans="1:13">
      <c r="A98" t="s">
        <v>19</v>
      </c>
      <c r="B98" t="s">
        <v>74</v>
      </c>
      <c r="C98">
        <v>95</v>
      </c>
      <c r="D98">
        <v>4334.9999999999991</v>
      </c>
      <c r="G98" s="24" t="s">
        <v>19</v>
      </c>
      <c r="H98" t="s">
        <v>74</v>
      </c>
      <c r="I98">
        <v>95</v>
      </c>
      <c r="K98" s="24" t="s">
        <v>19</v>
      </c>
      <c r="L98" t="s">
        <v>74</v>
      </c>
      <c r="M98" s="26">
        <v>4334.9999999999991</v>
      </c>
    </row>
    <row r="99" spans="1:13">
      <c r="A99" t="s">
        <v>19</v>
      </c>
      <c r="B99" t="s">
        <v>77</v>
      </c>
      <c r="C99">
        <v>737</v>
      </c>
      <c r="D99">
        <v>37449.000000000007</v>
      </c>
      <c r="G99" s="24" t="s">
        <v>19</v>
      </c>
      <c r="H99" t="s">
        <v>77</v>
      </c>
      <c r="I99">
        <v>737</v>
      </c>
      <c r="K99" s="24" t="s">
        <v>19</v>
      </c>
      <c r="L99" t="s">
        <v>77</v>
      </c>
      <c r="M99" s="26">
        <v>37449.000000000007</v>
      </c>
    </row>
    <row r="100" spans="1:13">
      <c r="A100" t="s">
        <v>19</v>
      </c>
      <c r="B100" t="s">
        <v>309</v>
      </c>
      <c r="C100">
        <v>39</v>
      </c>
      <c r="D100">
        <v>2447.5</v>
      </c>
      <c r="G100" s="24" t="s">
        <v>19</v>
      </c>
      <c r="H100" t="s">
        <v>309</v>
      </c>
      <c r="I100">
        <v>39</v>
      </c>
      <c r="K100" s="24" t="s">
        <v>19</v>
      </c>
      <c r="L100" t="s">
        <v>309</v>
      </c>
      <c r="M100" s="26">
        <v>2447.5</v>
      </c>
    </row>
    <row r="101" spans="1:13">
      <c r="A101" t="s">
        <v>19</v>
      </c>
      <c r="B101" t="s">
        <v>1116</v>
      </c>
      <c r="C101">
        <v>56</v>
      </c>
      <c r="D101">
        <v>3391.1</v>
      </c>
      <c r="G101" s="24" t="s">
        <v>19</v>
      </c>
      <c r="H101" t="s">
        <v>1116</v>
      </c>
      <c r="I101">
        <v>56</v>
      </c>
      <c r="K101" s="24" t="s">
        <v>19</v>
      </c>
      <c r="L101" t="s">
        <v>1116</v>
      </c>
      <c r="M101" s="26">
        <v>3391.1</v>
      </c>
    </row>
    <row r="102" spans="1:13">
      <c r="A102" t="s">
        <v>19</v>
      </c>
      <c r="B102" t="s">
        <v>700</v>
      </c>
      <c r="C102">
        <v>2</v>
      </c>
      <c r="D102">
        <v>30.8</v>
      </c>
      <c r="G102" s="24" t="s">
        <v>19</v>
      </c>
      <c r="H102" t="s">
        <v>700</v>
      </c>
      <c r="I102">
        <v>2</v>
      </c>
      <c r="K102" s="24" t="s">
        <v>19</v>
      </c>
      <c r="L102" t="s">
        <v>700</v>
      </c>
      <c r="M102" s="26">
        <v>30.8</v>
      </c>
    </row>
    <row r="103" spans="1:13">
      <c r="A103" t="s">
        <v>19</v>
      </c>
      <c r="B103" t="s">
        <v>268</v>
      </c>
      <c r="C103">
        <v>8</v>
      </c>
      <c r="D103">
        <v>332.3</v>
      </c>
      <c r="G103" s="24" t="s">
        <v>19</v>
      </c>
      <c r="H103" t="s">
        <v>268</v>
      </c>
      <c r="I103">
        <v>8</v>
      </c>
      <c r="K103" s="24" t="s">
        <v>19</v>
      </c>
      <c r="L103" t="s">
        <v>268</v>
      </c>
      <c r="M103" s="26">
        <v>332.3</v>
      </c>
    </row>
    <row r="104" spans="1:13">
      <c r="A104" t="s">
        <v>19</v>
      </c>
      <c r="B104" t="s">
        <v>377</v>
      </c>
      <c r="C104">
        <v>52</v>
      </c>
      <c r="D104">
        <v>3175.9999999999995</v>
      </c>
      <c r="G104" s="24" t="s">
        <v>19</v>
      </c>
      <c r="H104" t="s">
        <v>377</v>
      </c>
      <c r="I104">
        <v>52</v>
      </c>
      <c r="K104" s="24" t="s">
        <v>19</v>
      </c>
      <c r="L104" t="s">
        <v>377</v>
      </c>
      <c r="M104" s="26">
        <v>3175.9999999999995</v>
      </c>
    </row>
    <row r="105" spans="1:13">
      <c r="A105" t="s">
        <v>19</v>
      </c>
      <c r="B105" t="s">
        <v>108</v>
      </c>
      <c r="C105">
        <v>295</v>
      </c>
      <c r="D105">
        <v>20939.600000000002</v>
      </c>
      <c r="G105" s="24" t="s">
        <v>19</v>
      </c>
      <c r="H105" t="s">
        <v>108</v>
      </c>
      <c r="I105">
        <v>295</v>
      </c>
      <c r="K105" s="24" t="s">
        <v>19</v>
      </c>
      <c r="L105" t="s">
        <v>108</v>
      </c>
      <c r="M105" s="26">
        <v>20939.600000000002</v>
      </c>
    </row>
    <row r="106" spans="1:13">
      <c r="A106" t="s">
        <v>19</v>
      </c>
      <c r="B106" t="s">
        <v>110</v>
      </c>
      <c r="C106">
        <v>195</v>
      </c>
      <c r="D106">
        <v>10185.899999999996</v>
      </c>
      <c r="G106" s="24" t="s">
        <v>19</v>
      </c>
      <c r="H106" t="s">
        <v>110</v>
      </c>
      <c r="I106">
        <v>195</v>
      </c>
      <c r="K106" s="24" t="s">
        <v>19</v>
      </c>
      <c r="L106" t="s">
        <v>110</v>
      </c>
      <c r="M106" s="26">
        <v>10185.899999999996</v>
      </c>
    </row>
    <row r="107" spans="1:13">
      <c r="A107" t="s">
        <v>19</v>
      </c>
      <c r="B107" t="s">
        <v>292</v>
      </c>
      <c r="C107">
        <v>20</v>
      </c>
      <c r="D107">
        <v>958.7</v>
      </c>
      <c r="G107" s="24" t="s">
        <v>19</v>
      </c>
      <c r="H107" t="s">
        <v>292</v>
      </c>
      <c r="I107">
        <v>20</v>
      </c>
      <c r="K107" s="24" t="s">
        <v>19</v>
      </c>
      <c r="L107" t="s">
        <v>292</v>
      </c>
      <c r="M107" s="26">
        <v>958.7</v>
      </c>
    </row>
    <row r="108" spans="1:13">
      <c r="A108" t="s">
        <v>19</v>
      </c>
      <c r="B108" t="s">
        <v>79</v>
      </c>
      <c r="C108">
        <v>6</v>
      </c>
      <c r="D108">
        <v>323</v>
      </c>
      <c r="G108" s="24" t="s">
        <v>19</v>
      </c>
      <c r="H108" t="s">
        <v>79</v>
      </c>
      <c r="I108">
        <v>6</v>
      </c>
      <c r="K108" s="24" t="s">
        <v>19</v>
      </c>
      <c r="L108" t="s">
        <v>79</v>
      </c>
      <c r="M108" s="26">
        <v>323</v>
      </c>
    </row>
    <row r="109" spans="1:13">
      <c r="A109" t="s">
        <v>19</v>
      </c>
      <c r="B109" t="s">
        <v>608</v>
      </c>
      <c r="C109">
        <v>5</v>
      </c>
      <c r="D109">
        <v>167.70000000000002</v>
      </c>
      <c r="G109" s="24" t="s">
        <v>19</v>
      </c>
      <c r="H109" t="s">
        <v>608</v>
      </c>
      <c r="I109">
        <v>5</v>
      </c>
      <c r="K109" s="24" t="s">
        <v>19</v>
      </c>
      <c r="L109" t="s">
        <v>608</v>
      </c>
      <c r="M109" s="26">
        <v>167.70000000000002</v>
      </c>
    </row>
    <row r="110" spans="1:13">
      <c r="A110" t="s">
        <v>19</v>
      </c>
      <c r="B110" t="s">
        <v>113</v>
      </c>
      <c r="C110">
        <v>94</v>
      </c>
      <c r="D110">
        <v>3978.5</v>
      </c>
      <c r="G110" s="24" t="s">
        <v>19</v>
      </c>
      <c r="H110" t="s">
        <v>113</v>
      </c>
      <c r="I110">
        <v>94</v>
      </c>
      <c r="K110" s="24" t="s">
        <v>19</v>
      </c>
      <c r="L110" t="s">
        <v>113</v>
      </c>
      <c r="M110" s="26">
        <v>3978.5</v>
      </c>
    </row>
    <row r="111" spans="1:13">
      <c r="A111" t="s">
        <v>19</v>
      </c>
      <c r="B111" t="s">
        <v>997</v>
      </c>
      <c r="C111">
        <v>28</v>
      </c>
      <c r="D111">
        <v>1405</v>
      </c>
      <c r="G111" s="24" t="s">
        <v>19</v>
      </c>
      <c r="H111" t="s">
        <v>997</v>
      </c>
      <c r="I111">
        <v>28</v>
      </c>
      <c r="K111" s="24" t="s">
        <v>19</v>
      </c>
      <c r="L111" t="s">
        <v>997</v>
      </c>
      <c r="M111" s="26">
        <v>1405</v>
      </c>
    </row>
    <row r="112" spans="1:13">
      <c r="A112" t="s">
        <v>19</v>
      </c>
      <c r="B112" t="s">
        <v>82</v>
      </c>
      <c r="C112">
        <v>179</v>
      </c>
      <c r="D112">
        <v>9869.0999999999985</v>
      </c>
      <c r="G112" s="24" t="s">
        <v>19</v>
      </c>
      <c r="H112" t="s">
        <v>82</v>
      </c>
      <c r="I112">
        <v>179</v>
      </c>
      <c r="K112" s="24" t="s">
        <v>19</v>
      </c>
      <c r="L112" t="s">
        <v>82</v>
      </c>
      <c r="M112" s="26">
        <v>9869.0999999999985</v>
      </c>
    </row>
    <row r="113" spans="1:13">
      <c r="A113" t="s">
        <v>19</v>
      </c>
      <c r="B113" t="s">
        <v>243</v>
      </c>
      <c r="C113">
        <v>15</v>
      </c>
      <c r="D113">
        <v>615.29999999999995</v>
      </c>
      <c r="G113" s="24" t="s">
        <v>19</v>
      </c>
      <c r="H113" t="s">
        <v>243</v>
      </c>
      <c r="I113">
        <v>15</v>
      </c>
      <c r="K113" s="24" t="s">
        <v>19</v>
      </c>
      <c r="L113" t="s">
        <v>243</v>
      </c>
      <c r="M113" s="26">
        <v>615.29999999999995</v>
      </c>
    </row>
    <row r="114" spans="1:13">
      <c r="A114" t="s">
        <v>19</v>
      </c>
      <c r="B114" t="s">
        <v>1911</v>
      </c>
      <c r="C114">
        <v>3</v>
      </c>
      <c r="D114">
        <v>285</v>
      </c>
      <c r="G114" s="25" t="s">
        <v>19</v>
      </c>
      <c r="H114" t="s">
        <v>1911</v>
      </c>
      <c r="I114">
        <v>3</v>
      </c>
      <c r="K114" s="25" t="s">
        <v>19</v>
      </c>
      <c r="L114" t="s">
        <v>1911</v>
      </c>
      <c r="M114" s="26">
        <v>285</v>
      </c>
    </row>
    <row r="115" spans="1:13">
      <c r="A115" t="s">
        <v>2529</v>
      </c>
      <c r="B115" t="s">
        <v>2529</v>
      </c>
    </row>
  </sheetData>
  <pageMargins left="0.7" right="0.7" top="0.75" bottom="0.75" header="0.3" footer="0.3"/>
  <ignoredErrors>
    <ignoredError sqref="H4:I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30BBC-982E-4C4C-9B3E-CB05CAE33906}">
  <dimension ref="A1:M9"/>
  <sheetViews>
    <sheetView showGridLines="0" workbookViewId="0">
      <selection activeCell="I2" sqref="I2:M7"/>
    </sheetView>
  </sheetViews>
  <sheetFormatPr defaultRowHeight="14.4"/>
  <cols>
    <col min="1" max="1" width="15.109375" bestFit="1" customWidth="1"/>
    <col min="2" max="2" width="15.5546875" bestFit="1" customWidth="1"/>
    <col min="3" max="3" width="7.109375" bestFit="1" customWidth="1"/>
    <col min="4" max="4" width="6.109375" bestFit="1" customWidth="1"/>
    <col min="5" max="5" width="8.5546875" bestFit="1" customWidth="1"/>
    <col min="6" max="6" width="7" bestFit="1" customWidth="1"/>
    <col min="7" max="7" width="10.5546875" bestFit="1" customWidth="1"/>
    <col min="9" max="9" width="11.44140625" customWidth="1"/>
  </cols>
  <sheetData>
    <row r="1" spans="1:13" ht="15" thickBot="1">
      <c r="A1" s="9" t="s">
        <v>2521</v>
      </c>
      <c r="B1" s="9" t="s">
        <v>2531</v>
      </c>
      <c r="I1" t="s">
        <v>2536</v>
      </c>
    </row>
    <row r="2" spans="1:13" s="16" customFormat="1" ht="20.399999999999999" customHeight="1" thickTop="1" thickBot="1">
      <c r="A2" s="22" t="s">
        <v>8</v>
      </c>
      <c r="B2" s="16" t="s">
        <v>2532</v>
      </c>
      <c r="C2" s="16" t="s">
        <v>2533</v>
      </c>
      <c r="D2" s="16" t="s">
        <v>2534</v>
      </c>
      <c r="E2" s="16" t="s">
        <v>2535</v>
      </c>
      <c r="F2" s="16" t="s">
        <v>2529</v>
      </c>
      <c r="G2" s="16" t="s">
        <v>2530</v>
      </c>
      <c r="I2" s="18" t="str">
        <f t="shared" ref="I2:M7" si="0">A2</f>
        <v>Order Mode</v>
      </c>
      <c r="J2" s="19" t="str">
        <f t="shared" si="0"/>
        <v>Female</v>
      </c>
      <c r="K2" s="19" t="str">
        <f t="shared" si="0"/>
        <v>Male</v>
      </c>
      <c r="L2" s="19" t="str">
        <f t="shared" si="0"/>
        <v>Other</v>
      </c>
      <c r="M2" s="19" t="str">
        <f t="shared" si="0"/>
        <v>Unknown</v>
      </c>
    </row>
    <row r="3" spans="1:13" s="16" customFormat="1" ht="20.399999999999999" customHeight="1" thickTop="1" thickBot="1">
      <c r="A3" s="16" t="s">
        <v>18</v>
      </c>
      <c r="B3" s="17">
        <v>0.18961825201634841</v>
      </c>
      <c r="C3" s="17">
        <v>0.12262322351336576</v>
      </c>
      <c r="D3" s="17">
        <v>1.060537752469185E-2</v>
      </c>
      <c r="E3" s="17">
        <v>3.0599220547662797E-2</v>
      </c>
      <c r="F3" s="17">
        <v>0</v>
      </c>
      <c r="G3" s="17">
        <v>0.35344607360206881</v>
      </c>
      <c r="I3" s="20" t="str">
        <f t="shared" si="0"/>
        <v>App</v>
      </c>
      <c r="J3" s="21">
        <f t="shared" si="0"/>
        <v>0.18961825201634841</v>
      </c>
      <c r="K3" s="21">
        <f t="shared" si="0"/>
        <v>0.12262322351336576</v>
      </c>
      <c r="L3" s="21">
        <f t="shared" si="0"/>
        <v>1.060537752469185E-2</v>
      </c>
      <c r="M3" s="21">
        <f t="shared" si="0"/>
        <v>3.0599220547662797E-2</v>
      </c>
    </row>
    <row r="4" spans="1:13" s="16" customFormat="1" ht="20.399999999999999" customHeight="1" thickTop="1" thickBot="1">
      <c r="A4" s="16" t="s">
        <v>51</v>
      </c>
      <c r="B4" s="17">
        <v>5.0283982091147303E-2</v>
      </c>
      <c r="C4" s="17">
        <v>4.3060781812819873E-2</v>
      </c>
      <c r="D4" s="17">
        <v>1.5320025675641944E-3</v>
      </c>
      <c r="E4" s="17">
        <v>1.7794988689097006E-2</v>
      </c>
      <c r="F4" s="17">
        <v>0</v>
      </c>
      <c r="G4" s="17">
        <v>0.11267175516062837</v>
      </c>
      <c r="I4" s="20" t="str">
        <f t="shared" si="0"/>
        <v>Instagram</v>
      </c>
      <c r="J4" s="21">
        <f t="shared" si="0"/>
        <v>5.0283982091147303E-2</v>
      </c>
      <c r="K4" s="21">
        <f t="shared" si="0"/>
        <v>4.3060781812819873E-2</v>
      </c>
      <c r="L4" s="21">
        <f t="shared" si="0"/>
        <v>1.5320025675641944E-3</v>
      </c>
      <c r="M4" s="21">
        <f t="shared" si="0"/>
        <v>1.7794988689097006E-2</v>
      </c>
    </row>
    <row r="5" spans="1:13" s="16" customFormat="1" ht="20.399999999999999" customHeight="1" thickTop="1" thickBot="1">
      <c r="A5" s="16" t="s">
        <v>70</v>
      </c>
      <c r="B5" s="17">
        <v>6.3496059750411282E-2</v>
      </c>
      <c r="C5" s="17">
        <v>4.6071629863988765E-2</v>
      </c>
      <c r="D5" s="17">
        <v>2.306247051322625E-3</v>
      </c>
      <c r="E5" s="17">
        <v>3.8927934093844286E-3</v>
      </c>
      <c r="F5" s="17">
        <v>0</v>
      </c>
      <c r="G5" s="17">
        <v>0.11576673007510711</v>
      </c>
      <c r="I5" s="20" t="str">
        <f t="shared" si="0"/>
        <v>Partner App</v>
      </c>
      <c r="J5" s="21">
        <f t="shared" si="0"/>
        <v>6.3496059750411282E-2</v>
      </c>
      <c r="K5" s="21">
        <f t="shared" si="0"/>
        <v>4.6071629863988765E-2</v>
      </c>
      <c r="L5" s="21">
        <f t="shared" si="0"/>
        <v>2.306247051322625E-3</v>
      </c>
      <c r="M5" s="21">
        <f t="shared" si="0"/>
        <v>3.8927934093844286E-3</v>
      </c>
    </row>
    <row r="6" spans="1:13" s="16" customFormat="1" ht="20.399999999999999" customHeight="1" thickTop="1" thickBot="1">
      <c r="A6" s="16" t="s">
        <v>40</v>
      </c>
      <c r="B6" s="17">
        <v>9.6337892927149532E-2</v>
      </c>
      <c r="C6" s="17">
        <v>6.7920115842382611E-2</v>
      </c>
      <c r="D6" s="17">
        <v>5.4979832664581261E-3</v>
      </c>
      <c r="E6" s="17">
        <v>1.2933041488102518E-2</v>
      </c>
      <c r="F6" s="17">
        <v>0</v>
      </c>
      <c r="G6" s="17">
        <v>0.1826890335240928</v>
      </c>
      <c r="I6" s="20" t="str">
        <f t="shared" si="0"/>
        <v>Target.com</v>
      </c>
      <c r="J6" s="21">
        <f t="shared" si="0"/>
        <v>9.6337892927149532E-2</v>
      </c>
      <c r="K6" s="21">
        <f t="shared" si="0"/>
        <v>6.7920115842382611E-2</v>
      </c>
      <c r="L6" s="21">
        <f t="shared" si="0"/>
        <v>5.4979832664581261E-3</v>
      </c>
      <c r="M6" s="21">
        <f t="shared" si="0"/>
        <v>1.2933041488102518E-2</v>
      </c>
    </row>
    <row r="7" spans="1:13" s="16" customFormat="1" ht="20.399999999999999" customHeight="1" thickTop="1" thickBot="1">
      <c r="A7" s="16" t="s">
        <v>35</v>
      </c>
      <c r="B7" s="17">
        <v>0.12522098709469262</v>
      </c>
      <c r="C7" s="17">
        <v>9.1492740283116228E-2</v>
      </c>
      <c r="D7" s="17">
        <v>6.3042760790965081E-3</v>
      </c>
      <c r="E7" s="17">
        <v>1.2408404181197551E-2</v>
      </c>
      <c r="F7" s="17">
        <v>0</v>
      </c>
      <c r="G7" s="17">
        <v>0.23542640763810288</v>
      </c>
      <c r="I7" s="20" t="str">
        <f t="shared" si="0"/>
        <v>Website</v>
      </c>
      <c r="J7" s="21">
        <f t="shared" si="0"/>
        <v>0.12522098709469262</v>
      </c>
      <c r="K7" s="21">
        <f t="shared" si="0"/>
        <v>9.1492740283116228E-2</v>
      </c>
      <c r="L7" s="21">
        <f t="shared" si="0"/>
        <v>6.3042760790965081E-3</v>
      </c>
      <c r="M7" s="21">
        <f t="shared" si="0"/>
        <v>1.2408404181197551E-2</v>
      </c>
    </row>
    <row r="8" spans="1:13" ht="15" thickTop="1">
      <c r="A8" s="10" t="s">
        <v>2529</v>
      </c>
      <c r="B8" s="15">
        <v>0</v>
      </c>
      <c r="C8" s="15">
        <v>0</v>
      </c>
      <c r="D8" s="15">
        <v>0</v>
      </c>
      <c r="E8" s="15">
        <v>0</v>
      </c>
      <c r="F8" s="15">
        <v>0</v>
      </c>
      <c r="G8" s="15">
        <v>0</v>
      </c>
    </row>
    <row r="9" spans="1:13">
      <c r="A9" s="10" t="s">
        <v>2530</v>
      </c>
      <c r="B9" s="15">
        <v>0.52495717387974916</v>
      </c>
      <c r="C9" s="15">
        <v>0.3711684913156732</v>
      </c>
      <c r="D9" s="15">
        <v>2.6245886489133303E-2</v>
      </c>
      <c r="E9" s="15">
        <v>7.7628448315444312E-2</v>
      </c>
      <c r="F9" s="15">
        <v>0</v>
      </c>
      <c r="G9" s="15">
        <v>1</v>
      </c>
    </row>
  </sheetData>
  <conditionalFormatting sqref="I3:M7">
    <cfRule type="colorScale" priority="1">
      <colorScale>
        <cfvo type="min"/>
        <cfvo type="percentile" val="50"/>
        <cfvo type="max"/>
        <color rgb="FFF8696B"/>
        <color rgb="FFFCFCFF"/>
        <color rgb="FF5A8AC6"/>
      </colorScale>
    </cfRule>
    <cfRule type="colorScale" priority="2">
      <colorScale>
        <cfvo type="min"/>
        <cfvo type="max"/>
        <color rgb="FFF8696B"/>
        <color rgb="FFFCFC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O2" sqref="O2"/>
    </sheetView>
  </sheetViews>
  <sheetFormatPr defaultRowHeight="13.8"/>
  <cols>
    <col min="1" max="1" width="8.88671875" style="1"/>
    <col min="2" max="2" width="19.109375" style="1" bestFit="1" customWidth="1"/>
    <col min="3" max="3" width="8.21875" style="1" bestFit="1" customWidth="1"/>
    <col min="4" max="4" width="9.21875" style="1" bestFit="1" customWidth="1"/>
    <col min="5" max="5" width="10.33203125" style="1" bestFit="1" customWidth="1"/>
    <col min="6" max="6" width="10.109375" style="1" bestFit="1" customWidth="1"/>
    <col min="7" max="7" width="9.6640625" style="1" bestFit="1" customWidth="1"/>
    <col min="8" max="8" width="15.6640625" style="1" bestFit="1" customWidth="1"/>
    <col min="9" max="9" width="10.6640625" style="1" bestFit="1" customWidth="1"/>
    <col min="10" max="10" width="7.88671875" style="1" bestFit="1" customWidth="1"/>
    <col min="11" max="11" width="8.77734375" style="1" bestFit="1" customWidth="1"/>
    <col min="12" max="12" width="19.6640625" style="1" bestFit="1" customWidth="1"/>
    <col min="13" max="13" width="13.44140625" style="1" bestFit="1" customWidth="1"/>
    <col min="14" max="14" width="9.44140625" style="1" bestFit="1" customWidth="1"/>
    <col min="15" max="15" width="12.109375" style="1" bestFit="1" customWidth="1"/>
    <col min="16" max="16384" width="8.88671875" style="1"/>
  </cols>
  <sheetData>
    <row r="1" spans="1:15">
      <c r="A1" s="1" t="s">
        <v>0</v>
      </c>
      <c r="B1" s="1" t="s">
        <v>1</v>
      </c>
      <c r="C1" s="1" t="s">
        <v>2</v>
      </c>
      <c r="D1" s="1" t="s">
        <v>3</v>
      </c>
      <c r="E1" s="1" t="s">
        <v>4</v>
      </c>
      <c r="F1" s="1" t="s">
        <v>5</v>
      </c>
      <c r="G1" s="1" t="s">
        <v>6</v>
      </c>
      <c r="H1" s="1" t="s">
        <v>7</v>
      </c>
      <c r="I1" s="1" t="s">
        <v>8</v>
      </c>
      <c r="J1" s="1" t="s">
        <v>9</v>
      </c>
      <c r="K1" s="1" t="s">
        <v>10</v>
      </c>
      <c r="L1" s="1" t="s">
        <v>11</v>
      </c>
      <c r="M1" s="2" t="s">
        <v>12</v>
      </c>
      <c r="N1" s="2" t="s">
        <v>13</v>
      </c>
      <c r="O1" s="2" t="s">
        <v>14</v>
      </c>
    </row>
    <row r="2" spans="1:15">
      <c r="A2" s="1" t="s">
        <v>15</v>
      </c>
      <c r="B2" s="1" t="s">
        <v>16</v>
      </c>
      <c r="C2" s="1">
        <v>1</v>
      </c>
      <c r="D2" s="1">
        <v>10.9</v>
      </c>
      <c r="E2" s="12">
        <v>10.9</v>
      </c>
      <c r="F2" s="3">
        <v>45658</v>
      </c>
      <c r="G2" s="3">
        <v>45663</v>
      </c>
      <c r="H2" s="1" t="s">
        <v>17</v>
      </c>
      <c r="I2" s="1" t="s">
        <v>18</v>
      </c>
      <c r="J2" s="1">
        <v>4</v>
      </c>
      <c r="K2" s="1" t="s">
        <v>19</v>
      </c>
      <c r="L2" s="1" t="s">
        <v>20</v>
      </c>
      <c r="M2" s="1">
        <f>orders[[#This Row],[Ship Date]]-orders[[#This Row],[Order Date]]</f>
        <v>5</v>
      </c>
      <c r="N2" s="1">
        <f>WEEKNUM(orders[[#This Row],[Order Date]])</f>
        <v>1</v>
      </c>
      <c r="O2" s="1" t="str" cm="1">
        <f t="array" ref="O2">_xlfn.IFS(orders[[#This Row],[Customer Gender]]="M","Male", orders[[#This Row],[Customer Gender]]="F","Female", orders[[#This Row],[Customer Gender]]="O","Other", TRUE,"Unknown")</f>
        <v>Unknown</v>
      </c>
    </row>
    <row r="3" spans="1:15">
      <c r="A3" s="1" t="s">
        <v>21</v>
      </c>
      <c r="B3" s="1" t="s">
        <v>22</v>
      </c>
      <c r="C3" s="1">
        <v>2</v>
      </c>
      <c r="D3" s="1">
        <v>30.6</v>
      </c>
      <c r="E3" s="11">
        <v>61.2</v>
      </c>
      <c r="F3" s="3">
        <v>45658</v>
      </c>
      <c r="G3" s="3">
        <v>45660</v>
      </c>
      <c r="H3" s="1" t="s">
        <v>23</v>
      </c>
      <c r="I3" s="1" t="s">
        <v>18</v>
      </c>
      <c r="J3" s="1">
        <v>4</v>
      </c>
      <c r="K3" s="1" t="s">
        <v>19</v>
      </c>
      <c r="L3" s="1" t="s">
        <v>24</v>
      </c>
      <c r="M3" s="1">
        <f>orders[[#This Row],[Ship Date]]-orders[[#This Row],[Order Date]]</f>
        <v>2</v>
      </c>
      <c r="N3" s="1">
        <f>WEEKNUM(orders[[#This Row],[Order Date]])</f>
        <v>1</v>
      </c>
      <c r="O3" s="1" t="str" cm="1">
        <f t="array" ref="O3">_xlfn.IFS(orders[[#This Row],[Customer Gender]]="M","Male", orders[[#This Row],[Customer Gender]]="F","Female", orders[[#This Row],[Customer Gender]]="O","Other", TRUE,"Unknown")</f>
        <v>Male</v>
      </c>
    </row>
    <row r="4" spans="1:15">
      <c r="A4" s="1" t="s">
        <v>25</v>
      </c>
      <c r="B4" s="1" t="s">
        <v>26</v>
      </c>
      <c r="C4" s="1">
        <v>3</v>
      </c>
      <c r="D4" s="1">
        <v>109.4</v>
      </c>
      <c r="E4" s="11">
        <v>328.20000000000005</v>
      </c>
      <c r="F4" s="3">
        <v>45658</v>
      </c>
      <c r="G4" s="3">
        <v>45661</v>
      </c>
      <c r="H4" s="1" t="s">
        <v>27</v>
      </c>
      <c r="I4" s="1" t="s">
        <v>18</v>
      </c>
      <c r="J4" s="1">
        <v>3</v>
      </c>
      <c r="K4" s="1" t="s">
        <v>19</v>
      </c>
      <c r="L4" s="1" t="s">
        <v>28</v>
      </c>
      <c r="M4" s="1">
        <f>orders[[#This Row],[Ship Date]]-orders[[#This Row],[Order Date]]</f>
        <v>3</v>
      </c>
      <c r="N4" s="1">
        <f>WEEKNUM(orders[[#This Row],[Order Date]])</f>
        <v>1</v>
      </c>
      <c r="O4" s="1" t="str" cm="1">
        <f t="array" ref="O4">_xlfn.IFS(orders[[#This Row],[Customer Gender]]="M","Male", orders[[#This Row],[Customer Gender]]="F","Female", orders[[#This Row],[Customer Gender]]="O","Other", TRUE,"Unknown")</f>
        <v>Female</v>
      </c>
    </row>
    <row r="5" spans="1:15">
      <c r="A5" s="1" t="s">
        <v>29</v>
      </c>
      <c r="B5" s="1" t="s">
        <v>30</v>
      </c>
      <c r="C5" s="1">
        <v>7</v>
      </c>
      <c r="D5" s="1">
        <v>37.700000000000003</v>
      </c>
      <c r="E5" s="11">
        <v>263.90000000000003</v>
      </c>
      <c r="F5" s="3">
        <v>45658</v>
      </c>
      <c r="G5" s="3">
        <v>45659</v>
      </c>
      <c r="H5" s="1" t="s">
        <v>27</v>
      </c>
      <c r="I5" s="1" t="s">
        <v>18</v>
      </c>
      <c r="J5" s="1">
        <v>4</v>
      </c>
      <c r="K5" s="1" t="s">
        <v>19</v>
      </c>
      <c r="L5" s="1" t="s">
        <v>28</v>
      </c>
      <c r="M5" s="1">
        <f>orders[[#This Row],[Ship Date]]-orders[[#This Row],[Order Date]]</f>
        <v>1</v>
      </c>
      <c r="N5" s="1">
        <f>WEEKNUM(orders[[#This Row],[Order Date]])</f>
        <v>1</v>
      </c>
      <c r="O5" s="1" t="str" cm="1">
        <f t="array" ref="O5">_xlfn.IFS(orders[[#This Row],[Customer Gender]]="M","Male", orders[[#This Row],[Customer Gender]]="F","Female", orders[[#This Row],[Customer Gender]]="O","Other", TRUE,"Unknown")</f>
        <v>Female</v>
      </c>
    </row>
    <row r="6" spans="1:15">
      <c r="A6" s="1" t="s">
        <v>31</v>
      </c>
      <c r="B6" s="1" t="s">
        <v>32</v>
      </c>
      <c r="C6" s="1">
        <v>3</v>
      </c>
      <c r="D6" s="1">
        <v>56.7</v>
      </c>
      <c r="E6" s="11">
        <v>170.10000000000002</v>
      </c>
      <c r="F6" s="3">
        <v>45658</v>
      </c>
      <c r="G6" s="3">
        <v>45661</v>
      </c>
      <c r="H6" s="1" t="s">
        <v>27</v>
      </c>
      <c r="I6" s="1" t="s">
        <v>18</v>
      </c>
      <c r="J6" s="1">
        <v>5</v>
      </c>
      <c r="K6" s="1" t="s">
        <v>19</v>
      </c>
      <c r="L6" s="1" t="s">
        <v>33</v>
      </c>
      <c r="M6" s="1">
        <f>orders[[#This Row],[Ship Date]]-orders[[#This Row],[Order Date]]</f>
        <v>3</v>
      </c>
      <c r="N6" s="1">
        <f>WEEKNUM(orders[[#This Row],[Order Date]])</f>
        <v>1</v>
      </c>
      <c r="O6" s="1" t="str" cm="1">
        <f t="array" ref="O6">_xlfn.IFS(orders[[#This Row],[Customer Gender]]="M","Male", orders[[#This Row],[Customer Gender]]="F","Female", orders[[#This Row],[Customer Gender]]="O","Other", TRUE,"Unknown")</f>
        <v>Female</v>
      </c>
    </row>
    <row r="7" spans="1:15">
      <c r="A7" s="1" t="s">
        <v>34</v>
      </c>
      <c r="B7" s="1" t="s">
        <v>22</v>
      </c>
      <c r="C7" s="1">
        <v>12</v>
      </c>
      <c r="D7" s="1">
        <v>83.5</v>
      </c>
      <c r="E7" s="11">
        <v>1002</v>
      </c>
      <c r="F7" s="3">
        <v>45658</v>
      </c>
      <c r="G7" s="3">
        <v>45661</v>
      </c>
      <c r="H7" s="1" t="s">
        <v>23</v>
      </c>
      <c r="I7" s="1" t="s">
        <v>35</v>
      </c>
      <c r="J7" s="1">
        <v>4</v>
      </c>
      <c r="K7" s="1" t="s">
        <v>19</v>
      </c>
      <c r="L7" s="1" t="s">
        <v>33</v>
      </c>
      <c r="M7" s="1">
        <f>orders[[#This Row],[Ship Date]]-orders[[#This Row],[Order Date]]</f>
        <v>3</v>
      </c>
      <c r="N7" s="1">
        <f>WEEKNUM(orders[[#This Row],[Order Date]])</f>
        <v>1</v>
      </c>
      <c r="O7" s="1" t="str" cm="1">
        <f t="array" ref="O7">_xlfn.IFS(orders[[#This Row],[Customer Gender]]="M","Male", orders[[#This Row],[Customer Gender]]="F","Female", orders[[#This Row],[Customer Gender]]="O","Other", TRUE,"Unknown")</f>
        <v>Male</v>
      </c>
    </row>
    <row r="8" spans="1:15">
      <c r="A8" s="1" t="s">
        <v>36</v>
      </c>
      <c r="B8" s="1" t="s">
        <v>37</v>
      </c>
      <c r="C8" s="1">
        <v>1</v>
      </c>
      <c r="D8" s="1">
        <v>55.3</v>
      </c>
      <c r="E8" s="11">
        <v>55.3</v>
      </c>
      <c r="F8" s="3">
        <v>45658</v>
      </c>
      <c r="G8" s="3">
        <v>45659</v>
      </c>
      <c r="H8" s="1" t="s">
        <v>27</v>
      </c>
      <c r="I8" s="1" t="s">
        <v>18</v>
      </c>
      <c r="J8" s="1">
        <v>4</v>
      </c>
      <c r="K8" s="1" t="s">
        <v>19</v>
      </c>
      <c r="L8" s="1" t="s">
        <v>33</v>
      </c>
      <c r="M8" s="1">
        <f>orders[[#This Row],[Ship Date]]-orders[[#This Row],[Order Date]]</f>
        <v>1</v>
      </c>
      <c r="N8" s="1">
        <f>WEEKNUM(orders[[#This Row],[Order Date]])</f>
        <v>1</v>
      </c>
      <c r="O8" s="1" t="str" cm="1">
        <f t="array" ref="O8">_xlfn.IFS(orders[[#This Row],[Customer Gender]]="M","Male", orders[[#This Row],[Customer Gender]]="F","Female", orders[[#This Row],[Customer Gender]]="O","Other", TRUE,"Unknown")</f>
        <v>Female</v>
      </c>
    </row>
    <row r="9" spans="1:15">
      <c r="A9" s="1" t="s">
        <v>38</v>
      </c>
      <c r="B9" s="1" t="s">
        <v>39</v>
      </c>
      <c r="C9" s="1">
        <v>2</v>
      </c>
      <c r="D9" s="1">
        <v>40.299999999999997</v>
      </c>
      <c r="E9" s="11">
        <v>80.599999999999994</v>
      </c>
      <c r="F9" s="3">
        <v>45658</v>
      </c>
      <c r="G9" s="3">
        <v>45659</v>
      </c>
      <c r="H9" s="1" t="s">
        <v>23</v>
      </c>
      <c r="I9" s="1" t="s">
        <v>40</v>
      </c>
      <c r="J9" s="1">
        <v>5</v>
      </c>
      <c r="K9" s="1" t="s">
        <v>19</v>
      </c>
      <c r="L9" s="1" t="s">
        <v>33</v>
      </c>
      <c r="M9" s="1">
        <f>orders[[#This Row],[Ship Date]]-orders[[#This Row],[Order Date]]</f>
        <v>1</v>
      </c>
      <c r="N9" s="1">
        <f>WEEKNUM(orders[[#This Row],[Order Date]])</f>
        <v>1</v>
      </c>
      <c r="O9" s="1" t="str" cm="1">
        <f t="array" ref="O9">_xlfn.IFS(orders[[#This Row],[Customer Gender]]="M","Male", orders[[#This Row],[Customer Gender]]="F","Female", orders[[#This Row],[Customer Gender]]="O","Other", TRUE,"Unknown")</f>
        <v>Male</v>
      </c>
    </row>
    <row r="10" spans="1:15">
      <c r="A10" s="1" t="s">
        <v>41</v>
      </c>
      <c r="B10" s="1" t="s">
        <v>42</v>
      </c>
      <c r="C10" s="1">
        <v>11</v>
      </c>
      <c r="D10" s="1">
        <v>35.700000000000003</v>
      </c>
      <c r="E10" s="11">
        <v>392.70000000000005</v>
      </c>
      <c r="F10" s="3">
        <v>45658</v>
      </c>
      <c r="G10" s="3">
        <v>45659</v>
      </c>
      <c r="H10" s="1" t="s">
        <v>27</v>
      </c>
      <c r="I10" s="1" t="s">
        <v>18</v>
      </c>
      <c r="J10" s="1">
        <v>4</v>
      </c>
      <c r="K10" s="1" t="s">
        <v>19</v>
      </c>
      <c r="L10" s="1" t="s">
        <v>33</v>
      </c>
      <c r="M10" s="1">
        <f>orders[[#This Row],[Ship Date]]-orders[[#This Row],[Order Date]]</f>
        <v>1</v>
      </c>
      <c r="N10" s="1">
        <f>WEEKNUM(orders[[#This Row],[Order Date]])</f>
        <v>1</v>
      </c>
      <c r="O10" s="1" t="str" cm="1">
        <f t="array" ref="O10">_xlfn.IFS(orders[[#This Row],[Customer Gender]]="M","Male", orders[[#This Row],[Customer Gender]]="F","Female", orders[[#This Row],[Customer Gender]]="O","Other", TRUE,"Unknown")</f>
        <v>Female</v>
      </c>
    </row>
    <row r="11" spans="1:15">
      <c r="A11" s="1" t="s">
        <v>43</v>
      </c>
      <c r="B11" s="1" t="s">
        <v>44</v>
      </c>
      <c r="C11" s="1">
        <v>7</v>
      </c>
      <c r="D11" s="1">
        <v>22.4</v>
      </c>
      <c r="E11" s="11">
        <v>156.79999999999998</v>
      </c>
      <c r="F11" s="3">
        <v>45658</v>
      </c>
      <c r="G11" s="3">
        <v>45661</v>
      </c>
      <c r="H11" s="1" t="s">
        <v>23</v>
      </c>
      <c r="I11" s="1" t="s">
        <v>18</v>
      </c>
      <c r="J11" s="1">
        <v>3</v>
      </c>
      <c r="K11" s="1" t="s">
        <v>19</v>
      </c>
      <c r="L11" s="1" t="s">
        <v>33</v>
      </c>
      <c r="M11" s="1">
        <f>orders[[#This Row],[Ship Date]]-orders[[#This Row],[Order Date]]</f>
        <v>3</v>
      </c>
      <c r="N11" s="1">
        <f>WEEKNUM(orders[[#This Row],[Order Date]])</f>
        <v>1</v>
      </c>
      <c r="O11" s="1" t="str" cm="1">
        <f t="array" ref="O11">_xlfn.IFS(orders[[#This Row],[Customer Gender]]="M","Male", orders[[#This Row],[Customer Gender]]="F","Female", orders[[#This Row],[Customer Gender]]="O","Other", TRUE,"Unknown")</f>
        <v>Male</v>
      </c>
    </row>
    <row r="12" spans="1:15">
      <c r="A12" s="1" t="s">
        <v>45</v>
      </c>
      <c r="B12" s="1" t="s">
        <v>46</v>
      </c>
      <c r="C12" s="1">
        <v>2</v>
      </c>
      <c r="D12" s="1">
        <v>54.4</v>
      </c>
      <c r="E12" s="11">
        <v>108.8</v>
      </c>
      <c r="F12" s="3">
        <v>45658</v>
      </c>
      <c r="G12" s="3">
        <v>45664</v>
      </c>
      <c r="H12" s="1" t="s">
        <v>27</v>
      </c>
      <c r="I12" s="1" t="s">
        <v>18</v>
      </c>
      <c r="J12" s="1">
        <v>4</v>
      </c>
      <c r="K12" s="1" t="s">
        <v>19</v>
      </c>
      <c r="L12" s="1" t="s">
        <v>33</v>
      </c>
      <c r="M12" s="1">
        <f>orders[[#This Row],[Ship Date]]-orders[[#This Row],[Order Date]]</f>
        <v>6</v>
      </c>
      <c r="N12" s="1">
        <f>WEEKNUM(orders[[#This Row],[Order Date]])</f>
        <v>1</v>
      </c>
      <c r="O12" s="1" t="str" cm="1">
        <f t="array" ref="O12">_xlfn.IFS(orders[[#This Row],[Customer Gender]]="M","Male", orders[[#This Row],[Customer Gender]]="F","Female", orders[[#This Row],[Customer Gender]]="O","Other", TRUE,"Unknown")</f>
        <v>Female</v>
      </c>
    </row>
    <row r="13" spans="1:15">
      <c r="A13" s="1" t="s">
        <v>47</v>
      </c>
      <c r="B13" s="1" t="s">
        <v>46</v>
      </c>
      <c r="C13" s="1">
        <v>2</v>
      </c>
      <c r="D13" s="1">
        <v>49</v>
      </c>
      <c r="E13" s="11">
        <v>98</v>
      </c>
      <c r="F13" s="3">
        <v>45658</v>
      </c>
      <c r="G13" s="3">
        <v>45660</v>
      </c>
      <c r="H13" s="1" t="s">
        <v>27</v>
      </c>
      <c r="I13" s="1" t="s">
        <v>40</v>
      </c>
      <c r="J13" s="1">
        <v>3</v>
      </c>
      <c r="K13" s="1" t="s">
        <v>19</v>
      </c>
      <c r="L13" s="1" t="s">
        <v>33</v>
      </c>
      <c r="M13" s="1">
        <f>orders[[#This Row],[Ship Date]]-orders[[#This Row],[Order Date]]</f>
        <v>2</v>
      </c>
      <c r="N13" s="1">
        <f>WEEKNUM(orders[[#This Row],[Order Date]])</f>
        <v>1</v>
      </c>
      <c r="O13" s="1" t="str" cm="1">
        <f t="array" ref="O13">_xlfn.IFS(orders[[#This Row],[Customer Gender]]="M","Male", orders[[#This Row],[Customer Gender]]="F","Female", orders[[#This Row],[Customer Gender]]="O","Other", TRUE,"Unknown")</f>
        <v>Female</v>
      </c>
    </row>
    <row r="14" spans="1:15">
      <c r="A14" s="1" t="s">
        <v>48</v>
      </c>
      <c r="B14" s="1" t="s">
        <v>37</v>
      </c>
      <c r="C14" s="1">
        <v>7</v>
      </c>
      <c r="D14" s="1">
        <v>118.6</v>
      </c>
      <c r="E14" s="11">
        <v>830.19999999999993</v>
      </c>
      <c r="F14" s="3">
        <v>45658</v>
      </c>
      <c r="G14" s="3">
        <v>45662</v>
      </c>
      <c r="H14" s="1" t="s">
        <v>27</v>
      </c>
      <c r="I14" s="1" t="s">
        <v>35</v>
      </c>
      <c r="J14" s="1">
        <v>4</v>
      </c>
      <c r="K14" s="1" t="s">
        <v>19</v>
      </c>
      <c r="L14" s="1" t="s">
        <v>49</v>
      </c>
      <c r="M14" s="1">
        <f>orders[[#This Row],[Ship Date]]-orders[[#This Row],[Order Date]]</f>
        <v>4</v>
      </c>
      <c r="N14" s="1">
        <f>WEEKNUM(orders[[#This Row],[Order Date]])</f>
        <v>1</v>
      </c>
      <c r="O14" s="1" t="str" cm="1">
        <f t="array" ref="O14">_xlfn.IFS(orders[[#This Row],[Customer Gender]]="M","Male", orders[[#This Row],[Customer Gender]]="F","Female", orders[[#This Row],[Customer Gender]]="O","Other", TRUE,"Unknown")</f>
        <v>Female</v>
      </c>
    </row>
    <row r="15" spans="1:15">
      <c r="A15" s="1" t="s">
        <v>50</v>
      </c>
      <c r="B15" s="1" t="s">
        <v>39</v>
      </c>
      <c r="C15" s="1">
        <v>27</v>
      </c>
      <c r="D15" s="1">
        <v>88.4</v>
      </c>
      <c r="E15" s="11">
        <v>2386.8000000000002</v>
      </c>
      <c r="F15" s="3">
        <v>45658</v>
      </c>
      <c r="G15" s="3">
        <v>45665</v>
      </c>
      <c r="H15" s="1" t="s">
        <v>23</v>
      </c>
      <c r="I15" s="1" t="s">
        <v>51</v>
      </c>
      <c r="J15" s="1">
        <v>4</v>
      </c>
      <c r="K15" s="1" t="s">
        <v>19</v>
      </c>
      <c r="L15" s="1" t="s">
        <v>52</v>
      </c>
      <c r="M15" s="1">
        <f>orders[[#This Row],[Ship Date]]-orders[[#This Row],[Order Date]]</f>
        <v>7</v>
      </c>
      <c r="N15" s="1">
        <f>WEEKNUM(orders[[#This Row],[Order Date]])</f>
        <v>1</v>
      </c>
      <c r="O15" s="1" t="str" cm="1">
        <f t="array" ref="O15">_xlfn.IFS(orders[[#This Row],[Customer Gender]]="M","Male", orders[[#This Row],[Customer Gender]]="F","Female", orders[[#This Row],[Customer Gender]]="O","Other", TRUE,"Unknown")</f>
        <v>Male</v>
      </c>
    </row>
    <row r="16" spans="1:15">
      <c r="A16" s="1" t="s">
        <v>53</v>
      </c>
      <c r="B16" s="1" t="s">
        <v>54</v>
      </c>
      <c r="C16" s="1">
        <v>1</v>
      </c>
      <c r="D16" s="1">
        <v>66.7</v>
      </c>
      <c r="E16" s="11">
        <v>66.7</v>
      </c>
      <c r="F16" s="3">
        <v>45658</v>
      </c>
      <c r="G16" s="3">
        <v>45661</v>
      </c>
      <c r="H16" s="1" t="s">
        <v>23</v>
      </c>
      <c r="I16" s="1" t="s">
        <v>18</v>
      </c>
      <c r="J16" s="1">
        <v>4</v>
      </c>
      <c r="K16" s="1" t="s">
        <v>19</v>
      </c>
      <c r="L16" s="1" t="s">
        <v>55</v>
      </c>
      <c r="M16" s="1">
        <f>orders[[#This Row],[Ship Date]]-orders[[#This Row],[Order Date]]</f>
        <v>3</v>
      </c>
      <c r="N16" s="1">
        <f>WEEKNUM(orders[[#This Row],[Order Date]])</f>
        <v>1</v>
      </c>
      <c r="O16" s="1" t="str" cm="1">
        <f t="array" ref="O16">_xlfn.IFS(orders[[#This Row],[Customer Gender]]="M","Male", orders[[#This Row],[Customer Gender]]="F","Female", orders[[#This Row],[Customer Gender]]="O","Other", TRUE,"Unknown")</f>
        <v>Male</v>
      </c>
    </row>
    <row r="17" spans="1:15">
      <c r="A17" s="1" t="s">
        <v>56</v>
      </c>
      <c r="B17" s="1" t="s">
        <v>46</v>
      </c>
      <c r="C17" s="1">
        <v>10</v>
      </c>
      <c r="D17" s="1">
        <v>30.9</v>
      </c>
      <c r="E17" s="11">
        <v>309</v>
      </c>
      <c r="F17" s="3">
        <v>45658</v>
      </c>
      <c r="G17" s="3">
        <v>45659</v>
      </c>
      <c r="H17" s="1" t="s">
        <v>23</v>
      </c>
      <c r="I17" s="1" t="s">
        <v>35</v>
      </c>
      <c r="J17" s="1">
        <v>5</v>
      </c>
      <c r="K17" s="1" t="s">
        <v>19</v>
      </c>
      <c r="L17" s="1" t="s">
        <v>55</v>
      </c>
      <c r="M17" s="1">
        <f>orders[[#This Row],[Ship Date]]-orders[[#This Row],[Order Date]]</f>
        <v>1</v>
      </c>
      <c r="N17" s="1">
        <f>WEEKNUM(orders[[#This Row],[Order Date]])</f>
        <v>1</v>
      </c>
      <c r="O17" s="1" t="str" cm="1">
        <f t="array" ref="O17">_xlfn.IFS(orders[[#This Row],[Customer Gender]]="M","Male", orders[[#This Row],[Customer Gender]]="F","Female", orders[[#This Row],[Customer Gender]]="O","Other", TRUE,"Unknown")</f>
        <v>Male</v>
      </c>
    </row>
    <row r="18" spans="1:15">
      <c r="A18" s="1" t="s">
        <v>57</v>
      </c>
      <c r="B18" s="1" t="s">
        <v>32</v>
      </c>
      <c r="C18" s="1">
        <v>3</v>
      </c>
      <c r="D18" s="1">
        <v>31.1</v>
      </c>
      <c r="E18" s="11">
        <v>93.300000000000011</v>
      </c>
      <c r="F18" s="3">
        <v>45658</v>
      </c>
      <c r="G18" s="3">
        <v>45659</v>
      </c>
      <c r="H18" s="1" t="s">
        <v>27</v>
      </c>
      <c r="I18" s="1" t="s">
        <v>18</v>
      </c>
      <c r="J18" s="1">
        <v>3</v>
      </c>
      <c r="K18" s="1" t="s">
        <v>19</v>
      </c>
      <c r="L18" s="1" t="s">
        <v>55</v>
      </c>
      <c r="M18" s="1">
        <f>orders[[#This Row],[Ship Date]]-orders[[#This Row],[Order Date]]</f>
        <v>1</v>
      </c>
      <c r="N18" s="1">
        <f>WEEKNUM(orders[[#This Row],[Order Date]])</f>
        <v>1</v>
      </c>
      <c r="O18" s="1" t="str" cm="1">
        <f t="array" ref="O18">_xlfn.IFS(orders[[#This Row],[Customer Gender]]="M","Male", orders[[#This Row],[Customer Gender]]="F","Female", orders[[#This Row],[Customer Gender]]="O","Other", TRUE,"Unknown")</f>
        <v>Female</v>
      </c>
    </row>
    <row r="19" spans="1:15">
      <c r="A19" s="1" t="s">
        <v>58</v>
      </c>
      <c r="B19" s="1" t="s">
        <v>42</v>
      </c>
      <c r="C19" s="1">
        <v>3</v>
      </c>
      <c r="D19" s="1">
        <v>36.6</v>
      </c>
      <c r="E19" s="11">
        <v>109.80000000000001</v>
      </c>
      <c r="F19" s="3">
        <v>45658</v>
      </c>
      <c r="G19" s="3">
        <v>45661</v>
      </c>
      <c r="H19" s="1" t="s">
        <v>27</v>
      </c>
      <c r="I19" s="1" t="s">
        <v>18</v>
      </c>
      <c r="J19" s="1">
        <v>4</v>
      </c>
      <c r="K19" s="1" t="s">
        <v>19</v>
      </c>
      <c r="L19" s="1" t="s">
        <v>59</v>
      </c>
      <c r="M19" s="1">
        <f>orders[[#This Row],[Ship Date]]-orders[[#This Row],[Order Date]]</f>
        <v>3</v>
      </c>
      <c r="N19" s="1">
        <f>WEEKNUM(orders[[#This Row],[Order Date]])</f>
        <v>1</v>
      </c>
      <c r="O19" s="1" t="str" cm="1">
        <f t="array" ref="O19">_xlfn.IFS(orders[[#This Row],[Customer Gender]]="M","Male", orders[[#This Row],[Customer Gender]]="F","Female", orders[[#This Row],[Customer Gender]]="O","Other", TRUE,"Unknown")</f>
        <v>Female</v>
      </c>
    </row>
    <row r="20" spans="1:15">
      <c r="A20" s="1" t="s">
        <v>60</v>
      </c>
      <c r="B20" s="1" t="s">
        <v>39</v>
      </c>
      <c r="C20" s="1">
        <v>8</v>
      </c>
      <c r="D20" s="1">
        <v>51.1</v>
      </c>
      <c r="E20" s="11">
        <v>408.8</v>
      </c>
      <c r="F20" s="3">
        <v>45658</v>
      </c>
      <c r="G20" s="3">
        <v>45661</v>
      </c>
      <c r="H20" s="1" t="s">
        <v>27</v>
      </c>
      <c r="I20" s="1" t="s">
        <v>40</v>
      </c>
      <c r="J20" s="1">
        <v>1</v>
      </c>
      <c r="K20" s="1" t="s">
        <v>19</v>
      </c>
      <c r="L20" s="1" t="s">
        <v>59</v>
      </c>
      <c r="M20" s="1">
        <f>orders[[#This Row],[Ship Date]]-orders[[#This Row],[Order Date]]</f>
        <v>3</v>
      </c>
      <c r="N20" s="1">
        <f>WEEKNUM(orders[[#This Row],[Order Date]])</f>
        <v>1</v>
      </c>
      <c r="O20" s="1" t="str" cm="1">
        <f t="array" ref="O20">_xlfn.IFS(orders[[#This Row],[Customer Gender]]="M","Male", orders[[#This Row],[Customer Gender]]="F","Female", orders[[#This Row],[Customer Gender]]="O","Other", TRUE,"Unknown")</f>
        <v>Female</v>
      </c>
    </row>
    <row r="21" spans="1:15">
      <c r="A21" s="1" t="s">
        <v>61</v>
      </c>
      <c r="B21" s="1" t="s">
        <v>46</v>
      </c>
      <c r="C21" s="1">
        <v>1</v>
      </c>
      <c r="D21" s="1">
        <v>25.2</v>
      </c>
      <c r="E21" s="11">
        <v>25.2</v>
      </c>
      <c r="F21" s="3">
        <v>45658</v>
      </c>
      <c r="G21" s="3">
        <v>45659</v>
      </c>
      <c r="H21" s="1" t="s">
        <v>27</v>
      </c>
      <c r="I21" s="1" t="s">
        <v>35</v>
      </c>
      <c r="J21" s="1">
        <v>5</v>
      </c>
      <c r="K21" s="1" t="s">
        <v>19</v>
      </c>
      <c r="L21" s="1" t="s">
        <v>62</v>
      </c>
      <c r="M21" s="1">
        <f>orders[[#This Row],[Ship Date]]-orders[[#This Row],[Order Date]]</f>
        <v>1</v>
      </c>
      <c r="N21" s="1">
        <f>WEEKNUM(orders[[#This Row],[Order Date]])</f>
        <v>1</v>
      </c>
      <c r="O21" s="1" t="str" cm="1">
        <f t="array" ref="O21">_xlfn.IFS(orders[[#This Row],[Customer Gender]]="M","Male", orders[[#This Row],[Customer Gender]]="F","Female", orders[[#This Row],[Customer Gender]]="O","Other", TRUE,"Unknown")</f>
        <v>Female</v>
      </c>
    </row>
    <row r="22" spans="1:15">
      <c r="A22" s="1" t="s">
        <v>63</v>
      </c>
      <c r="B22" s="1" t="s">
        <v>46</v>
      </c>
      <c r="C22" s="1">
        <v>5</v>
      </c>
      <c r="D22" s="1">
        <v>43.8</v>
      </c>
      <c r="E22" s="11">
        <v>219</v>
      </c>
      <c r="F22" s="3">
        <v>45658</v>
      </c>
      <c r="G22" s="3">
        <v>45661</v>
      </c>
      <c r="H22" s="1" t="s">
        <v>27</v>
      </c>
      <c r="I22" s="1" t="s">
        <v>40</v>
      </c>
      <c r="J22" s="1">
        <v>4</v>
      </c>
      <c r="K22" s="1" t="s">
        <v>19</v>
      </c>
      <c r="L22" s="1" t="s">
        <v>62</v>
      </c>
      <c r="M22" s="1">
        <f>orders[[#This Row],[Ship Date]]-orders[[#This Row],[Order Date]]</f>
        <v>3</v>
      </c>
      <c r="N22" s="1">
        <f>WEEKNUM(orders[[#This Row],[Order Date]])</f>
        <v>1</v>
      </c>
      <c r="O22" s="1" t="str" cm="1">
        <f t="array" ref="O22">_xlfn.IFS(orders[[#This Row],[Customer Gender]]="M","Male", orders[[#This Row],[Customer Gender]]="F","Female", orders[[#This Row],[Customer Gender]]="O","Other", TRUE,"Unknown")</f>
        <v>Female</v>
      </c>
    </row>
    <row r="23" spans="1:15">
      <c r="A23" s="1" t="s">
        <v>64</v>
      </c>
      <c r="B23" s="1" t="s">
        <v>44</v>
      </c>
      <c r="C23" s="1">
        <v>12</v>
      </c>
      <c r="D23" s="1">
        <v>46.7</v>
      </c>
      <c r="E23" s="11">
        <v>560.40000000000009</v>
      </c>
      <c r="F23" s="3">
        <v>45658</v>
      </c>
      <c r="G23" s="3">
        <v>45659</v>
      </c>
      <c r="H23" s="1" t="s">
        <v>27</v>
      </c>
      <c r="I23" s="1" t="s">
        <v>35</v>
      </c>
      <c r="J23" s="1">
        <v>3</v>
      </c>
      <c r="K23" s="1" t="s">
        <v>19</v>
      </c>
      <c r="L23" s="1" t="s">
        <v>62</v>
      </c>
      <c r="M23" s="1">
        <f>orders[[#This Row],[Ship Date]]-orders[[#This Row],[Order Date]]</f>
        <v>1</v>
      </c>
      <c r="N23" s="1">
        <f>WEEKNUM(orders[[#This Row],[Order Date]])</f>
        <v>1</v>
      </c>
      <c r="O23" s="1" t="str" cm="1">
        <f t="array" ref="O23">_xlfn.IFS(orders[[#This Row],[Customer Gender]]="M","Male", orders[[#This Row],[Customer Gender]]="F","Female", orders[[#This Row],[Customer Gender]]="O","Other", TRUE,"Unknown")</f>
        <v>Female</v>
      </c>
    </row>
    <row r="24" spans="1:15">
      <c r="A24" s="1" t="s">
        <v>65</v>
      </c>
      <c r="B24" s="1" t="s">
        <v>30</v>
      </c>
      <c r="C24" s="1">
        <v>19</v>
      </c>
      <c r="D24" s="1">
        <v>79.900000000000006</v>
      </c>
      <c r="E24" s="11">
        <v>1518.1000000000001</v>
      </c>
      <c r="F24" s="3">
        <v>45658</v>
      </c>
      <c r="G24" s="3">
        <v>45659</v>
      </c>
      <c r="H24" s="1" t="s">
        <v>23</v>
      </c>
      <c r="I24" s="1" t="s">
        <v>18</v>
      </c>
      <c r="J24" s="1">
        <v>5</v>
      </c>
      <c r="K24" s="1" t="s">
        <v>19</v>
      </c>
      <c r="L24" s="1" t="s">
        <v>62</v>
      </c>
      <c r="M24" s="1">
        <f>orders[[#This Row],[Ship Date]]-orders[[#This Row],[Order Date]]</f>
        <v>1</v>
      </c>
      <c r="N24" s="1">
        <f>WEEKNUM(orders[[#This Row],[Order Date]])</f>
        <v>1</v>
      </c>
      <c r="O24" s="1" t="str" cm="1">
        <f t="array" ref="O24">_xlfn.IFS(orders[[#This Row],[Customer Gender]]="M","Male", orders[[#This Row],[Customer Gender]]="F","Female", orders[[#This Row],[Customer Gender]]="O","Other", TRUE,"Unknown")</f>
        <v>Male</v>
      </c>
    </row>
    <row r="25" spans="1:15">
      <c r="A25" s="1" t="s">
        <v>66</v>
      </c>
      <c r="B25" s="1" t="s">
        <v>67</v>
      </c>
      <c r="C25" s="1">
        <v>8</v>
      </c>
      <c r="D25" s="1">
        <v>26.4</v>
      </c>
      <c r="E25" s="11">
        <v>211.2</v>
      </c>
      <c r="F25" s="3">
        <v>45658</v>
      </c>
      <c r="G25" s="3">
        <v>45659</v>
      </c>
      <c r="H25" s="1" t="s">
        <v>27</v>
      </c>
      <c r="I25" s="1" t="s">
        <v>51</v>
      </c>
      <c r="J25" s="1">
        <v>4</v>
      </c>
      <c r="K25" s="1" t="s">
        <v>19</v>
      </c>
      <c r="L25" s="1" t="s">
        <v>62</v>
      </c>
      <c r="M25" s="1">
        <f>orders[[#This Row],[Ship Date]]-orders[[#This Row],[Order Date]]</f>
        <v>1</v>
      </c>
      <c r="N25" s="1">
        <f>WEEKNUM(orders[[#This Row],[Order Date]])</f>
        <v>1</v>
      </c>
      <c r="O25" s="1" t="str" cm="1">
        <f t="array" ref="O25">_xlfn.IFS(orders[[#This Row],[Customer Gender]]="M","Male", orders[[#This Row],[Customer Gender]]="F","Female", orders[[#This Row],[Customer Gender]]="O","Other", TRUE,"Unknown")</f>
        <v>Female</v>
      </c>
    </row>
    <row r="26" spans="1:15">
      <c r="A26" s="1" t="s">
        <v>68</v>
      </c>
      <c r="B26" s="1" t="s">
        <v>69</v>
      </c>
      <c r="C26" s="1">
        <v>8</v>
      </c>
      <c r="D26" s="1">
        <v>88.8</v>
      </c>
      <c r="E26" s="11">
        <v>710.4</v>
      </c>
      <c r="F26" s="3">
        <v>45658</v>
      </c>
      <c r="G26" s="3">
        <v>45659</v>
      </c>
      <c r="H26" s="1" t="s">
        <v>27</v>
      </c>
      <c r="I26" s="1" t="s">
        <v>70</v>
      </c>
      <c r="J26" s="1">
        <v>4</v>
      </c>
      <c r="K26" s="1" t="s">
        <v>19</v>
      </c>
      <c r="L26" s="1" t="s">
        <v>62</v>
      </c>
      <c r="M26" s="1">
        <f>orders[[#This Row],[Ship Date]]-orders[[#This Row],[Order Date]]</f>
        <v>1</v>
      </c>
      <c r="N26" s="1">
        <f>WEEKNUM(orders[[#This Row],[Order Date]])</f>
        <v>1</v>
      </c>
      <c r="O26" s="1" t="str" cm="1">
        <f t="array" ref="O26">_xlfn.IFS(orders[[#This Row],[Customer Gender]]="M","Male", orders[[#This Row],[Customer Gender]]="F","Female", orders[[#This Row],[Customer Gender]]="O","Other", TRUE,"Unknown")</f>
        <v>Female</v>
      </c>
    </row>
    <row r="27" spans="1:15">
      <c r="A27" s="1" t="s">
        <v>71</v>
      </c>
      <c r="B27" s="1" t="s">
        <v>16</v>
      </c>
      <c r="C27" s="1">
        <v>10</v>
      </c>
      <c r="D27" s="1">
        <v>17.5</v>
      </c>
      <c r="E27" s="11">
        <v>175</v>
      </c>
      <c r="F27" s="3">
        <v>45658</v>
      </c>
      <c r="G27" s="3">
        <v>45659</v>
      </c>
      <c r="H27" s="1" t="s">
        <v>27</v>
      </c>
      <c r="I27" s="1" t="s">
        <v>40</v>
      </c>
      <c r="J27" s="1">
        <v>4</v>
      </c>
      <c r="K27" s="1" t="s">
        <v>19</v>
      </c>
      <c r="L27" s="1" t="s">
        <v>72</v>
      </c>
      <c r="M27" s="1">
        <f>orders[[#This Row],[Ship Date]]-orders[[#This Row],[Order Date]]</f>
        <v>1</v>
      </c>
      <c r="N27" s="1">
        <f>WEEKNUM(orders[[#This Row],[Order Date]])</f>
        <v>1</v>
      </c>
      <c r="O27" s="1" t="str" cm="1">
        <f t="array" ref="O27">_xlfn.IFS(orders[[#This Row],[Customer Gender]]="M","Male", orders[[#This Row],[Customer Gender]]="F","Female", orders[[#This Row],[Customer Gender]]="O","Other", TRUE,"Unknown")</f>
        <v>Female</v>
      </c>
    </row>
    <row r="28" spans="1:15">
      <c r="A28" s="1" t="s">
        <v>73</v>
      </c>
      <c r="B28" s="1" t="s">
        <v>22</v>
      </c>
      <c r="C28" s="1">
        <v>9</v>
      </c>
      <c r="D28" s="1">
        <v>38.700000000000003</v>
      </c>
      <c r="E28" s="11">
        <v>348.3</v>
      </c>
      <c r="F28" s="3">
        <v>45658</v>
      </c>
      <c r="G28" s="3">
        <v>45661</v>
      </c>
      <c r="H28" s="1" t="s">
        <v>23</v>
      </c>
      <c r="I28" s="1" t="s">
        <v>35</v>
      </c>
      <c r="J28" s="1">
        <v>4</v>
      </c>
      <c r="K28" s="1" t="s">
        <v>19</v>
      </c>
      <c r="L28" s="1" t="s">
        <v>74</v>
      </c>
      <c r="M28" s="1">
        <f>orders[[#This Row],[Ship Date]]-orders[[#This Row],[Order Date]]</f>
        <v>3</v>
      </c>
      <c r="N28" s="1">
        <f>WEEKNUM(orders[[#This Row],[Order Date]])</f>
        <v>1</v>
      </c>
      <c r="O28" s="1" t="str" cm="1">
        <f t="array" ref="O28">_xlfn.IFS(orders[[#This Row],[Customer Gender]]="M","Male", orders[[#This Row],[Customer Gender]]="F","Female", orders[[#This Row],[Customer Gender]]="O","Other", TRUE,"Unknown")</f>
        <v>Male</v>
      </c>
    </row>
    <row r="29" spans="1:15">
      <c r="A29" s="1" t="s">
        <v>75</v>
      </c>
      <c r="B29" s="1" t="s">
        <v>76</v>
      </c>
      <c r="C29" s="1">
        <v>4</v>
      </c>
      <c r="D29" s="1">
        <v>57.2</v>
      </c>
      <c r="E29" s="11">
        <v>228.8</v>
      </c>
      <c r="F29" s="3">
        <v>45658</v>
      </c>
      <c r="G29" s="3">
        <v>45660</v>
      </c>
      <c r="H29" s="1" t="s">
        <v>17</v>
      </c>
      <c r="I29" s="1" t="s">
        <v>35</v>
      </c>
      <c r="J29" s="1">
        <v>5</v>
      </c>
      <c r="K29" s="1" t="s">
        <v>19</v>
      </c>
      <c r="L29" s="1" t="s">
        <v>77</v>
      </c>
      <c r="M29" s="1">
        <f>orders[[#This Row],[Ship Date]]-orders[[#This Row],[Order Date]]</f>
        <v>2</v>
      </c>
      <c r="N29" s="1">
        <f>WEEKNUM(orders[[#This Row],[Order Date]])</f>
        <v>1</v>
      </c>
      <c r="O29" s="1" t="str" cm="1">
        <f t="array" ref="O29">_xlfn.IFS(orders[[#This Row],[Customer Gender]]="M","Male", orders[[#This Row],[Customer Gender]]="F","Female", orders[[#This Row],[Customer Gender]]="O","Other", TRUE,"Unknown")</f>
        <v>Unknown</v>
      </c>
    </row>
    <row r="30" spans="1:15">
      <c r="A30" s="1" t="s">
        <v>78</v>
      </c>
      <c r="B30" s="1" t="s">
        <v>39</v>
      </c>
      <c r="C30" s="1">
        <v>5</v>
      </c>
      <c r="D30" s="1">
        <v>50.9</v>
      </c>
      <c r="E30" s="11">
        <v>254.5</v>
      </c>
      <c r="F30" s="3">
        <v>45658</v>
      </c>
      <c r="G30" s="3">
        <v>45664</v>
      </c>
      <c r="H30" s="1" t="s">
        <v>17</v>
      </c>
      <c r="I30" s="1" t="s">
        <v>35</v>
      </c>
      <c r="J30" s="1">
        <v>5</v>
      </c>
      <c r="K30" s="1" t="s">
        <v>19</v>
      </c>
      <c r="L30" s="1" t="s">
        <v>79</v>
      </c>
      <c r="M30" s="1">
        <f>orders[[#This Row],[Ship Date]]-orders[[#This Row],[Order Date]]</f>
        <v>6</v>
      </c>
      <c r="N30" s="1">
        <f>WEEKNUM(orders[[#This Row],[Order Date]])</f>
        <v>1</v>
      </c>
      <c r="O30" s="1" t="str" cm="1">
        <f t="array" ref="O30">_xlfn.IFS(orders[[#This Row],[Customer Gender]]="M","Male", orders[[#This Row],[Customer Gender]]="F","Female", orders[[#This Row],[Customer Gender]]="O","Other", TRUE,"Unknown")</f>
        <v>Unknown</v>
      </c>
    </row>
    <row r="31" spans="1:15">
      <c r="A31" s="1" t="s">
        <v>80</v>
      </c>
      <c r="B31" s="1" t="s">
        <v>81</v>
      </c>
      <c r="C31" s="1">
        <v>7</v>
      </c>
      <c r="D31" s="1">
        <v>41</v>
      </c>
      <c r="E31" s="11">
        <v>287</v>
      </c>
      <c r="F31" s="3">
        <v>45658</v>
      </c>
      <c r="G31" s="3">
        <v>45662</v>
      </c>
      <c r="H31" s="1" t="s">
        <v>27</v>
      </c>
      <c r="I31" s="1" t="s">
        <v>35</v>
      </c>
      <c r="J31" s="1">
        <v>4</v>
      </c>
      <c r="K31" s="1" t="s">
        <v>19</v>
      </c>
      <c r="L31" s="1" t="s">
        <v>82</v>
      </c>
      <c r="M31" s="1">
        <f>orders[[#This Row],[Ship Date]]-orders[[#This Row],[Order Date]]</f>
        <v>4</v>
      </c>
      <c r="N31" s="1">
        <f>WEEKNUM(orders[[#This Row],[Order Date]])</f>
        <v>1</v>
      </c>
      <c r="O31" s="1" t="str" cm="1">
        <f t="array" ref="O31">_xlfn.IFS(orders[[#This Row],[Customer Gender]]="M","Male", orders[[#This Row],[Customer Gender]]="F","Female", orders[[#This Row],[Customer Gender]]="O","Other", TRUE,"Unknown")</f>
        <v>Female</v>
      </c>
    </row>
    <row r="32" spans="1:15">
      <c r="A32" s="1" t="s">
        <v>83</v>
      </c>
      <c r="B32" s="1" t="s">
        <v>44</v>
      </c>
      <c r="C32" s="1">
        <v>7</v>
      </c>
      <c r="D32" s="1">
        <v>19.100000000000001</v>
      </c>
      <c r="E32" s="11">
        <v>133.70000000000002</v>
      </c>
      <c r="F32" s="3">
        <v>45658</v>
      </c>
      <c r="G32" s="3">
        <v>45662</v>
      </c>
      <c r="H32" s="1" t="s">
        <v>23</v>
      </c>
      <c r="I32" s="1" t="s">
        <v>18</v>
      </c>
      <c r="J32" s="1">
        <v>5</v>
      </c>
      <c r="K32" s="1" t="s">
        <v>19</v>
      </c>
      <c r="L32" s="1" t="s">
        <v>84</v>
      </c>
      <c r="M32" s="1">
        <f>orders[[#This Row],[Ship Date]]-orders[[#This Row],[Order Date]]</f>
        <v>4</v>
      </c>
      <c r="N32" s="1">
        <f>WEEKNUM(orders[[#This Row],[Order Date]])</f>
        <v>1</v>
      </c>
      <c r="O32" s="1" t="str" cm="1">
        <f t="array" ref="O32">_xlfn.IFS(orders[[#This Row],[Customer Gender]]="M","Male", orders[[#This Row],[Customer Gender]]="F","Female", orders[[#This Row],[Customer Gender]]="O","Other", TRUE,"Unknown")</f>
        <v>Male</v>
      </c>
    </row>
    <row r="33" spans="1:15">
      <c r="A33" s="1" t="s">
        <v>85</v>
      </c>
      <c r="B33" s="1" t="s">
        <v>26</v>
      </c>
      <c r="C33" s="1">
        <v>5</v>
      </c>
      <c r="D33" s="1">
        <v>166.1</v>
      </c>
      <c r="E33" s="11">
        <v>830.5</v>
      </c>
      <c r="F33" s="3">
        <v>45658</v>
      </c>
      <c r="G33" s="3">
        <v>45661</v>
      </c>
      <c r="H33" s="1" t="s">
        <v>23</v>
      </c>
      <c r="I33" s="1" t="s">
        <v>18</v>
      </c>
      <c r="J33" s="1">
        <v>4</v>
      </c>
      <c r="K33" s="1" t="s">
        <v>19</v>
      </c>
      <c r="L33" s="1" t="s">
        <v>86</v>
      </c>
      <c r="M33" s="1">
        <f>orders[[#This Row],[Ship Date]]-orders[[#This Row],[Order Date]]</f>
        <v>3</v>
      </c>
      <c r="N33" s="1">
        <f>WEEKNUM(orders[[#This Row],[Order Date]])</f>
        <v>1</v>
      </c>
      <c r="O33" s="1" t="str" cm="1">
        <f t="array" ref="O33">_xlfn.IFS(orders[[#This Row],[Customer Gender]]="M","Male", orders[[#This Row],[Customer Gender]]="F","Female", orders[[#This Row],[Customer Gender]]="O","Other", TRUE,"Unknown")</f>
        <v>Male</v>
      </c>
    </row>
    <row r="34" spans="1:15">
      <c r="A34" s="1" t="s">
        <v>87</v>
      </c>
      <c r="B34" s="1" t="s">
        <v>32</v>
      </c>
      <c r="C34" s="1">
        <v>3</v>
      </c>
      <c r="D34" s="1">
        <v>29.9</v>
      </c>
      <c r="E34" s="11">
        <v>89.699999999999989</v>
      </c>
      <c r="F34" s="3">
        <v>45658</v>
      </c>
      <c r="G34" s="3">
        <v>45659</v>
      </c>
      <c r="H34" s="1" t="s">
        <v>23</v>
      </c>
      <c r="I34" s="1" t="s">
        <v>51</v>
      </c>
      <c r="J34" s="1">
        <v>4</v>
      </c>
      <c r="K34" s="1" t="s">
        <v>19</v>
      </c>
      <c r="L34" s="1" t="s">
        <v>33</v>
      </c>
      <c r="M34" s="1">
        <f>orders[[#This Row],[Ship Date]]-orders[[#This Row],[Order Date]]</f>
        <v>1</v>
      </c>
      <c r="N34" s="1">
        <f>WEEKNUM(orders[[#This Row],[Order Date]])</f>
        <v>1</v>
      </c>
      <c r="O34" s="1" t="str" cm="1">
        <f t="array" ref="O34">_xlfn.IFS(orders[[#This Row],[Customer Gender]]="M","Male", orders[[#This Row],[Customer Gender]]="F","Female", orders[[#This Row],[Customer Gender]]="O","Other", TRUE,"Unknown")</f>
        <v>Male</v>
      </c>
    </row>
    <row r="35" spans="1:15">
      <c r="A35" s="1" t="s">
        <v>88</v>
      </c>
      <c r="B35" s="1" t="s">
        <v>54</v>
      </c>
      <c r="C35" s="1">
        <v>6</v>
      </c>
      <c r="D35" s="1">
        <v>21.7</v>
      </c>
      <c r="E35" s="11">
        <v>130.19999999999999</v>
      </c>
      <c r="F35" s="3">
        <v>45658</v>
      </c>
      <c r="G35" s="3">
        <v>45660</v>
      </c>
      <c r="H35" s="1" t="s">
        <v>89</v>
      </c>
      <c r="I35" s="1" t="s">
        <v>40</v>
      </c>
      <c r="J35" s="1">
        <v>5</v>
      </c>
      <c r="K35" s="1" t="s">
        <v>19</v>
      </c>
      <c r="L35" s="1" t="s">
        <v>33</v>
      </c>
      <c r="M35" s="1">
        <f>orders[[#This Row],[Ship Date]]-orders[[#This Row],[Order Date]]</f>
        <v>2</v>
      </c>
      <c r="N35" s="1">
        <f>WEEKNUM(orders[[#This Row],[Order Date]])</f>
        <v>1</v>
      </c>
      <c r="O35" s="1" t="str" cm="1">
        <f t="array" ref="O35">_xlfn.IFS(orders[[#This Row],[Customer Gender]]="M","Male", orders[[#This Row],[Customer Gender]]="F","Female", orders[[#This Row],[Customer Gender]]="O","Other", TRUE,"Unknown")</f>
        <v>Other</v>
      </c>
    </row>
    <row r="36" spans="1:15">
      <c r="A36" s="1" t="s">
        <v>90</v>
      </c>
      <c r="B36" s="1" t="s">
        <v>67</v>
      </c>
      <c r="C36" s="1">
        <v>2</v>
      </c>
      <c r="D36" s="1">
        <v>32</v>
      </c>
      <c r="E36" s="11">
        <v>64</v>
      </c>
      <c r="F36" s="3">
        <v>45658</v>
      </c>
      <c r="G36" s="3">
        <v>45661</v>
      </c>
      <c r="H36" s="1" t="s">
        <v>23</v>
      </c>
      <c r="I36" s="1" t="s">
        <v>18</v>
      </c>
      <c r="J36" s="1">
        <v>5</v>
      </c>
      <c r="K36" s="1" t="s">
        <v>19</v>
      </c>
      <c r="L36" s="1" t="s">
        <v>33</v>
      </c>
      <c r="M36" s="1">
        <f>orders[[#This Row],[Ship Date]]-orders[[#This Row],[Order Date]]</f>
        <v>3</v>
      </c>
      <c r="N36" s="1">
        <f>WEEKNUM(orders[[#This Row],[Order Date]])</f>
        <v>1</v>
      </c>
      <c r="O36" s="1" t="str" cm="1">
        <f t="array" ref="O36">_xlfn.IFS(orders[[#This Row],[Customer Gender]]="M","Male", orders[[#This Row],[Customer Gender]]="F","Female", orders[[#This Row],[Customer Gender]]="O","Other", TRUE,"Unknown")</f>
        <v>Male</v>
      </c>
    </row>
    <row r="37" spans="1:15">
      <c r="A37" s="1" t="s">
        <v>91</v>
      </c>
      <c r="B37" s="1" t="s">
        <v>44</v>
      </c>
      <c r="C37" s="1">
        <v>2</v>
      </c>
      <c r="D37" s="1">
        <v>15.8</v>
      </c>
      <c r="E37" s="11">
        <v>31.6</v>
      </c>
      <c r="F37" s="3">
        <v>45658</v>
      </c>
      <c r="G37" s="3">
        <v>45659</v>
      </c>
      <c r="H37" s="1" t="s">
        <v>23</v>
      </c>
      <c r="I37" s="1" t="s">
        <v>70</v>
      </c>
      <c r="J37" s="1">
        <v>5</v>
      </c>
      <c r="K37" s="1" t="s">
        <v>19</v>
      </c>
      <c r="L37" s="1" t="s">
        <v>33</v>
      </c>
      <c r="M37" s="1">
        <f>orders[[#This Row],[Ship Date]]-orders[[#This Row],[Order Date]]</f>
        <v>1</v>
      </c>
      <c r="N37" s="1">
        <f>WEEKNUM(orders[[#This Row],[Order Date]])</f>
        <v>1</v>
      </c>
      <c r="O37" s="1" t="str" cm="1">
        <f t="array" ref="O37">_xlfn.IFS(orders[[#This Row],[Customer Gender]]="M","Male", orders[[#This Row],[Customer Gender]]="F","Female", orders[[#This Row],[Customer Gender]]="O","Other", TRUE,"Unknown")</f>
        <v>Male</v>
      </c>
    </row>
    <row r="38" spans="1:15">
      <c r="A38" s="1" t="s">
        <v>92</v>
      </c>
      <c r="B38" s="1" t="s">
        <v>26</v>
      </c>
      <c r="C38" s="1">
        <v>17</v>
      </c>
      <c r="D38" s="1">
        <v>203.1</v>
      </c>
      <c r="E38" s="11">
        <v>3452.7</v>
      </c>
      <c r="F38" s="3">
        <v>45658</v>
      </c>
      <c r="G38" s="3">
        <v>45662</v>
      </c>
      <c r="H38" s="1" t="s">
        <v>23</v>
      </c>
      <c r="I38" s="1" t="s">
        <v>51</v>
      </c>
      <c r="J38" s="1">
        <v>3</v>
      </c>
      <c r="K38" s="1" t="s">
        <v>19</v>
      </c>
      <c r="L38" s="1" t="s">
        <v>33</v>
      </c>
      <c r="M38" s="1">
        <f>orders[[#This Row],[Ship Date]]-orders[[#This Row],[Order Date]]</f>
        <v>4</v>
      </c>
      <c r="N38" s="1">
        <f>WEEKNUM(orders[[#This Row],[Order Date]])</f>
        <v>1</v>
      </c>
      <c r="O38" s="1" t="str" cm="1">
        <f t="array" ref="O38">_xlfn.IFS(orders[[#This Row],[Customer Gender]]="M","Male", orders[[#This Row],[Customer Gender]]="F","Female", orders[[#This Row],[Customer Gender]]="O","Other", TRUE,"Unknown")</f>
        <v>Male</v>
      </c>
    </row>
    <row r="39" spans="1:15">
      <c r="A39" s="1" t="s">
        <v>93</v>
      </c>
      <c r="B39" s="1" t="s">
        <v>42</v>
      </c>
      <c r="C39" s="1">
        <v>13</v>
      </c>
      <c r="D39" s="1">
        <v>39</v>
      </c>
      <c r="E39" s="11">
        <v>507</v>
      </c>
      <c r="F39" s="3">
        <v>45658</v>
      </c>
      <c r="G39" s="3">
        <v>45664</v>
      </c>
      <c r="H39" s="1" t="s">
        <v>23</v>
      </c>
      <c r="I39" s="1" t="s">
        <v>18</v>
      </c>
      <c r="J39" s="1">
        <v>5</v>
      </c>
      <c r="K39" s="1" t="s">
        <v>19</v>
      </c>
      <c r="L39" s="1" t="s">
        <v>33</v>
      </c>
      <c r="M39" s="1">
        <f>orders[[#This Row],[Ship Date]]-orders[[#This Row],[Order Date]]</f>
        <v>6</v>
      </c>
      <c r="N39" s="1">
        <f>WEEKNUM(orders[[#This Row],[Order Date]])</f>
        <v>1</v>
      </c>
      <c r="O39" s="1" t="str" cm="1">
        <f t="array" ref="O39">_xlfn.IFS(orders[[#This Row],[Customer Gender]]="M","Male", orders[[#This Row],[Customer Gender]]="F","Female", orders[[#This Row],[Customer Gender]]="O","Other", TRUE,"Unknown")</f>
        <v>Male</v>
      </c>
    </row>
    <row r="40" spans="1:15">
      <c r="A40" s="1" t="s">
        <v>94</v>
      </c>
      <c r="B40" s="1" t="s">
        <v>54</v>
      </c>
      <c r="C40" s="1">
        <v>1</v>
      </c>
      <c r="D40" s="1">
        <v>26.5</v>
      </c>
      <c r="E40" s="11">
        <v>26.5</v>
      </c>
      <c r="F40" s="3">
        <v>45659</v>
      </c>
      <c r="G40" s="3">
        <v>45660</v>
      </c>
      <c r="H40" s="1" t="s">
        <v>23</v>
      </c>
      <c r="I40" s="1" t="s">
        <v>40</v>
      </c>
      <c r="J40" s="1">
        <v>4</v>
      </c>
      <c r="K40" s="1" t="s">
        <v>19</v>
      </c>
      <c r="L40" s="1" t="s">
        <v>33</v>
      </c>
      <c r="M40" s="1">
        <f>orders[[#This Row],[Ship Date]]-orders[[#This Row],[Order Date]]</f>
        <v>1</v>
      </c>
      <c r="N40" s="1">
        <f>WEEKNUM(orders[[#This Row],[Order Date]])</f>
        <v>1</v>
      </c>
      <c r="O40" s="1" t="str" cm="1">
        <f t="array" ref="O40">_xlfn.IFS(orders[[#This Row],[Customer Gender]]="M","Male", orders[[#This Row],[Customer Gender]]="F","Female", orders[[#This Row],[Customer Gender]]="O","Other", TRUE,"Unknown")</f>
        <v>Male</v>
      </c>
    </row>
    <row r="41" spans="1:15">
      <c r="A41" s="1" t="s">
        <v>95</v>
      </c>
      <c r="B41" s="1" t="s">
        <v>37</v>
      </c>
      <c r="C41" s="1">
        <v>1</v>
      </c>
      <c r="D41" s="1">
        <v>43.1</v>
      </c>
      <c r="E41" s="11">
        <v>43.1</v>
      </c>
      <c r="F41" s="3">
        <v>45659</v>
      </c>
      <c r="G41" s="3">
        <v>45660</v>
      </c>
      <c r="H41" s="1" t="s">
        <v>27</v>
      </c>
      <c r="I41" s="1" t="s">
        <v>40</v>
      </c>
      <c r="J41" s="1">
        <v>3</v>
      </c>
      <c r="K41" s="1" t="s">
        <v>19</v>
      </c>
      <c r="L41" s="1" t="s">
        <v>33</v>
      </c>
      <c r="M41" s="1">
        <f>orders[[#This Row],[Ship Date]]-orders[[#This Row],[Order Date]]</f>
        <v>1</v>
      </c>
      <c r="N41" s="1">
        <f>WEEKNUM(orders[[#This Row],[Order Date]])</f>
        <v>1</v>
      </c>
      <c r="O41" s="1" t="str" cm="1">
        <f t="array" ref="O41">_xlfn.IFS(orders[[#This Row],[Customer Gender]]="M","Male", orders[[#This Row],[Customer Gender]]="F","Female", orders[[#This Row],[Customer Gender]]="O","Other", TRUE,"Unknown")</f>
        <v>Female</v>
      </c>
    </row>
    <row r="42" spans="1:15">
      <c r="A42" s="1" t="s">
        <v>96</v>
      </c>
      <c r="B42" s="1" t="s">
        <v>22</v>
      </c>
      <c r="C42" s="1">
        <v>3</v>
      </c>
      <c r="D42" s="1">
        <v>139</v>
      </c>
      <c r="E42" s="11">
        <v>417</v>
      </c>
      <c r="F42" s="3">
        <v>45659</v>
      </c>
      <c r="G42" s="3">
        <v>45660</v>
      </c>
      <c r="H42" s="1" t="s">
        <v>27</v>
      </c>
      <c r="I42" s="1" t="s">
        <v>70</v>
      </c>
      <c r="J42" s="1">
        <v>5</v>
      </c>
      <c r="K42" s="1" t="s">
        <v>19</v>
      </c>
      <c r="L42" s="1" t="s">
        <v>33</v>
      </c>
      <c r="M42" s="1">
        <f>orders[[#This Row],[Ship Date]]-orders[[#This Row],[Order Date]]</f>
        <v>1</v>
      </c>
      <c r="N42" s="1">
        <f>WEEKNUM(orders[[#This Row],[Order Date]])</f>
        <v>1</v>
      </c>
      <c r="O42" s="1" t="str" cm="1">
        <f t="array" ref="O42">_xlfn.IFS(orders[[#This Row],[Customer Gender]]="M","Male", orders[[#This Row],[Customer Gender]]="F","Female", orders[[#This Row],[Customer Gender]]="O","Other", TRUE,"Unknown")</f>
        <v>Female</v>
      </c>
    </row>
    <row r="43" spans="1:15">
      <c r="A43" s="1" t="s">
        <v>97</v>
      </c>
      <c r="B43" s="1" t="s">
        <v>69</v>
      </c>
      <c r="C43" s="1">
        <v>1</v>
      </c>
      <c r="D43" s="1">
        <v>80.7</v>
      </c>
      <c r="E43" s="11">
        <v>80.7</v>
      </c>
      <c r="F43" s="3">
        <v>45659</v>
      </c>
      <c r="G43" s="3">
        <v>45660</v>
      </c>
      <c r="H43" s="1" t="s">
        <v>23</v>
      </c>
      <c r="I43" s="1" t="s">
        <v>18</v>
      </c>
      <c r="J43" s="1">
        <v>5</v>
      </c>
      <c r="K43" s="1" t="s">
        <v>19</v>
      </c>
      <c r="L43" s="1" t="s">
        <v>98</v>
      </c>
      <c r="M43" s="1">
        <f>orders[[#This Row],[Ship Date]]-orders[[#This Row],[Order Date]]</f>
        <v>1</v>
      </c>
      <c r="N43" s="1">
        <f>WEEKNUM(orders[[#This Row],[Order Date]])</f>
        <v>1</v>
      </c>
      <c r="O43" s="1" t="str" cm="1">
        <f t="array" ref="O43">_xlfn.IFS(orders[[#This Row],[Customer Gender]]="M","Male", orders[[#This Row],[Customer Gender]]="F","Female", orders[[#This Row],[Customer Gender]]="O","Other", TRUE,"Unknown")</f>
        <v>Male</v>
      </c>
    </row>
    <row r="44" spans="1:15">
      <c r="A44" s="1" t="s">
        <v>99</v>
      </c>
      <c r="B44" s="1" t="s">
        <v>32</v>
      </c>
      <c r="C44" s="1">
        <v>2</v>
      </c>
      <c r="D44" s="1">
        <v>54.5</v>
      </c>
      <c r="E44" s="11">
        <v>109</v>
      </c>
      <c r="F44" s="3">
        <v>45659</v>
      </c>
      <c r="G44" s="3">
        <v>45661</v>
      </c>
      <c r="H44" s="1" t="s">
        <v>23</v>
      </c>
      <c r="I44" s="1" t="s">
        <v>35</v>
      </c>
      <c r="J44" s="1">
        <v>3</v>
      </c>
      <c r="K44" s="1" t="s">
        <v>19</v>
      </c>
      <c r="L44" s="1" t="s">
        <v>55</v>
      </c>
      <c r="M44" s="1">
        <f>orders[[#This Row],[Ship Date]]-orders[[#This Row],[Order Date]]</f>
        <v>2</v>
      </c>
      <c r="N44" s="1">
        <f>WEEKNUM(orders[[#This Row],[Order Date]])</f>
        <v>1</v>
      </c>
      <c r="O44" s="1" t="str" cm="1">
        <f t="array" ref="O44">_xlfn.IFS(orders[[#This Row],[Customer Gender]]="M","Male", orders[[#This Row],[Customer Gender]]="F","Female", orders[[#This Row],[Customer Gender]]="O","Other", TRUE,"Unknown")</f>
        <v>Male</v>
      </c>
    </row>
    <row r="45" spans="1:15">
      <c r="A45" s="1" t="s">
        <v>100</v>
      </c>
      <c r="B45" s="1" t="s">
        <v>39</v>
      </c>
      <c r="C45" s="1">
        <v>3</v>
      </c>
      <c r="D45" s="1">
        <v>68.599999999999994</v>
      </c>
      <c r="E45" s="11">
        <v>205.79999999999998</v>
      </c>
      <c r="F45" s="3">
        <v>45659</v>
      </c>
      <c r="G45" s="3">
        <v>45659</v>
      </c>
      <c r="H45" s="1" t="s">
        <v>27</v>
      </c>
      <c r="I45" s="1" t="s">
        <v>18</v>
      </c>
      <c r="J45" s="1">
        <v>3</v>
      </c>
      <c r="K45" s="1" t="s">
        <v>19</v>
      </c>
      <c r="L45" s="1" t="s">
        <v>62</v>
      </c>
      <c r="M45" s="1">
        <f>orders[[#This Row],[Ship Date]]-orders[[#This Row],[Order Date]]</f>
        <v>0</v>
      </c>
      <c r="N45" s="1">
        <f>WEEKNUM(orders[[#This Row],[Order Date]])</f>
        <v>1</v>
      </c>
      <c r="O45" s="1" t="str" cm="1">
        <f t="array" ref="O45">_xlfn.IFS(orders[[#This Row],[Customer Gender]]="M","Male", orders[[#This Row],[Customer Gender]]="F","Female", orders[[#This Row],[Customer Gender]]="O","Other", TRUE,"Unknown")</f>
        <v>Female</v>
      </c>
    </row>
    <row r="46" spans="1:15">
      <c r="A46" s="1" t="s">
        <v>101</v>
      </c>
      <c r="B46" s="1" t="s">
        <v>26</v>
      </c>
      <c r="C46" s="1">
        <v>4</v>
      </c>
      <c r="D46" s="1">
        <v>135.9</v>
      </c>
      <c r="E46" s="11">
        <v>543.6</v>
      </c>
      <c r="F46" s="3">
        <v>45659</v>
      </c>
      <c r="G46" s="3">
        <v>45660</v>
      </c>
      <c r="H46" s="1" t="s">
        <v>27</v>
      </c>
      <c r="I46" s="1" t="s">
        <v>40</v>
      </c>
      <c r="J46" s="1">
        <v>5</v>
      </c>
      <c r="K46" s="1" t="s">
        <v>19</v>
      </c>
      <c r="L46" s="1" t="s">
        <v>62</v>
      </c>
      <c r="M46" s="1">
        <f>orders[[#This Row],[Ship Date]]-orders[[#This Row],[Order Date]]</f>
        <v>1</v>
      </c>
      <c r="N46" s="1">
        <f>WEEKNUM(orders[[#This Row],[Order Date]])</f>
        <v>1</v>
      </c>
      <c r="O46" s="1" t="str" cm="1">
        <f t="array" ref="O46">_xlfn.IFS(orders[[#This Row],[Customer Gender]]="M","Male", orders[[#This Row],[Customer Gender]]="F","Female", orders[[#This Row],[Customer Gender]]="O","Other", TRUE,"Unknown")</f>
        <v>Female</v>
      </c>
    </row>
    <row r="47" spans="1:15">
      <c r="A47" s="1" t="s">
        <v>102</v>
      </c>
      <c r="B47" s="1" t="s">
        <v>26</v>
      </c>
      <c r="C47" s="1">
        <v>4</v>
      </c>
      <c r="D47" s="1">
        <v>70.900000000000006</v>
      </c>
      <c r="E47" s="11">
        <v>283.60000000000002</v>
      </c>
      <c r="F47" s="3">
        <v>45659</v>
      </c>
      <c r="G47" s="3">
        <v>45660</v>
      </c>
      <c r="H47" s="1" t="s">
        <v>27</v>
      </c>
      <c r="I47" s="1" t="s">
        <v>18</v>
      </c>
      <c r="J47" s="1">
        <v>4</v>
      </c>
      <c r="K47" s="1" t="s">
        <v>19</v>
      </c>
      <c r="L47" s="1" t="s">
        <v>103</v>
      </c>
      <c r="M47" s="1">
        <f>orders[[#This Row],[Ship Date]]-orders[[#This Row],[Order Date]]</f>
        <v>1</v>
      </c>
      <c r="N47" s="1">
        <f>WEEKNUM(orders[[#This Row],[Order Date]])</f>
        <v>1</v>
      </c>
      <c r="O47" s="1" t="str" cm="1">
        <f t="array" ref="O47">_xlfn.IFS(orders[[#This Row],[Customer Gender]]="M","Male", orders[[#This Row],[Customer Gender]]="F","Female", orders[[#This Row],[Customer Gender]]="O","Other", TRUE,"Unknown")</f>
        <v>Female</v>
      </c>
    </row>
    <row r="48" spans="1:15">
      <c r="A48" s="1" t="s">
        <v>104</v>
      </c>
      <c r="B48" s="1" t="s">
        <v>22</v>
      </c>
      <c r="C48" s="1">
        <v>5</v>
      </c>
      <c r="D48" s="1">
        <v>63.7</v>
      </c>
      <c r="E48" s="11">
        <v>318.5</v>
      </c>
      <c r="F48" s="3">
        <v>45659</v>
      </c>
      <c r="G48" s="3">
        <v>45660</v>
      </c>
      <c r="H48" s="1" t="s">
        <v>23</v>
      </c>
      <c r="I48" s="1" t="s">
        <v>35</v>
      </c>
      <c r="J48" s="1">
        <v>3</v>
      </c>
      <c r="K48" s="1" t="s">
        <v>19</v>
      </c>
      <c r="L48" s="1" t="s">
        <v>72</v>
      </c>
      <c r="M48" s="1">
        <f>orders[[#This Row],[Ship Date]]-orders[[#This Row],[Order Date]]</f>
        <v>1</v>
      </c>
      <c r="N48" s="1">
        <f>WEEKNUM(orders[[#This Row],[Order Date]])</f>
        <v>1</v>
      </c>
      <c r="O48" s="1" t="str" cm="1">
        <f t="array" ref="O48">_xlfn.IFS(orders[[#This Row],[Customer Gender]]="M","Male", orders[[#This Row],[Customer Gender]]="F","Female", orders[[#This Row],[Customer Gender]]="O","Other", TRUE,"Unknown")</f>
        <v>Male</v>
      </c>
    </row>
    <row r="49" spans="1:15">
      <c r="A49" s="1" t="s">
        <v>105</v>
      </c>
      <c r="B49" s="1" t="s">
        <v>76</v>
      </c>
      <c r="C49" s="1">
        <v>1</v>
      </c>
      <c r="D49" s="1">
        <v>29.7</v>
      </c>
      <c r="E49" s="11">
        <v>29.7</v>
      </c>
      <c r="F49" s="3">
        <v>45659</v>
      </c>
      <c r="G49" s="3">
        <v>45661</v>
      </c>
      <c r="H49" s="1" t="s">
        <v>27</v>
      </c>
      <c r="I49" s="1" t="s">
        <v>35</v>
      </c>
      <c r="J49" s="1">
        <v>4</v>
      </c>
      <c r="K49" s="1" t="s">
        <v>19</v>
      </c>
      <c r="L49" s="1" t="s">
        <v>77</v>
      </c>
      <c r="M49" s="1">
        <f>orders[[#This Row],[Ship Date]]-orders[[#This Row],[Order Date]]</f>
        <v>2</v>
      </c>
      <c r="N49" s="1">
        <f>WEEKNUM(orders[[#This Row],[Order Date]])</f>
        <v>1</v>
      </c>
      <c r="O49" s="1" t="str" cm="1">
        <f t="array" ref="O49">_xlfn.IFS(orders[[#This Row],[Customer Gender]]="M","Male", orders[[#This Row],[Customer Gender]]="F","Female", orders[[#This Row],[Customer Gender]]="O","Other", TRUE,"Unknown")</f>
        <v>Female</v>
      </c>
    </row>
    <row r="50" spans="1:15">
      <c r="A50" s="1" t="s">
        <v>106</v>
      </c>
      <c r="B50" s="1" t="s">
        <v>32</v>
      </c>
      <c r="C50" s="1">
        <v>3</v>
      </c>
      <c r="D50" s="1">
        <v>26.8</v>
      </c>
      <c r="E50" s="11">
        <v>80.400000000000006</v>
      </c>
      <c r="F50" s="3">
        <v>45659</v>
      </c>
      <c r="G50" s="3">
        <v>45668</v>
      </c>
      <c r="H50" s="1" t="s">
        <v>27</v>
      </c>
      <c r="I50" s="1" t="s">
        <v>35</v>
      </c>
      <c r="J50" s="1">
        <v>5</v>
      </c>
      <c r="K50" s="1" t="s">
        <v>19</v>
      </c>
      <c r="L50" s="1" t="s">
        <v>77</v>
      </c>
      <c r="M50" s="1">
        <f>orders[[#This Row],[Ship Date]]-orders[[#This Row],[Order Date]]</f>
        <v>9</v>
      </c>
      <c r="N50" s="1">
        <f>WEEKNUM(orders[[#This Row],[Order Date]])</f>
        <v>1</v>
      </c>
      <c r="O50" s="1" t="str" cm="1">
        <f t="array" ref="O50">_xlfn.IFS(orders[[#This Row],[Customer Gender]]="M","Male", orders[[#This Row],[Customer Gender]]="F","Female", orders[[#This Row],[Customer Gender]]="O","Other", TRUE,"Unknown")</f>
        <v>Female</v>
      </c>
    </row>
    <row r="51" spans="1:15">
      <c r="A51" s="1" t="s">
        <v>107</v>
      </c>
      <c r="B51" s="1" t="s">
        <v>81</v>
      </c>
      <c r="C51" s="1">
        <v>1</v>
      </c>
      <c r="D51" s="1">
        <v>27</v>
      </c>
      <c r="E51" s="11">
        <v>27</v>
      </c>
      <c r="F51" s="3">
        <v>45659</v>
      </c>
      <c r="G51" s="3">
        <v>45661</v>
      </c>
      <c r="H51" s="1" t="s">
        <v>27</v>
      </c>
      <c r="I51" s="1" t="s">
        <v>18</v>
      </c>
      <c r="J51" s="1">
        <v>4</v>
      </c>
      <c r="K51" s="1" t="s">
        <v>19</v>
      </c>
      <c r="L51" s="1" t="s">
        <v>108</v>
      </c>
      <c r="M51" s="1">
        <f>orders[[#This Row],[Ship Date]]-orders[[#This Row],[Order Date]]</f>
        <v>2</v>
      </c>
      <c r="N51" s="1">
        <f>WEEKNUM(orders[[#This Row],[Order Date]])</f>
        <v>1</v>
      </c>
      <c r="O51" s="1" t="str" cm="1">
        <f t="array" ref="O51">_xlfn.IFS(orders[[#This Row],[Customer Gender]]="M","Male", orders[[#This Row],[Customer Gender]]="F","Female", orders[[#This Row],[Customer Gender]]="O","Other", TRUE,"Unknown")</f>
        <v>Female</v>
      </c>
    </row>
    <row r="52" spans="1:15">
      <c r="A52" s="1" t="s">
        <v>109</v>
      </c>
      <c r="B52" s="1" t="s">
        <v>44</v>
      </c>
      <c r="C52" s="1">
        <v>1</v>
      </c>
      <c r="D52" s="1">
        <v>41.4</v>
      </c>
      <c r="E52" s="11">
        <v>41.4</v>
      </c>
      <c r="F52" s="3">
        <v>45659</v>
      </c>
      <c r="G52" s="3">
        <v>45660</v>
      </c>
      <c r="H52" s="1" t="s">
        <v>23</v>
      </c>
      <c r="I52" s="1" t="s">
        <v>35</v>
      </c>
      <c r="J52" s="1">
        <v>5</v>
      </c>
      <c r="K52" s="1" t="s">
        <v>19</v>
      </c>
      <c r="L52" s="1" t="s">
        <v>110</v>
      </c>
      <c r="M52" s="1">
        <f>orders[[#This Row],[Ship Date]]-orders[[#This Row],[Order Date]]</f>
        <v>1</v>
      </c>
      <c r="N52" s="1">
        <f>WEEKNUM(orders[[#This Row],[Order Date]])</f>
        <v>1</v>
      </c>
      <c r="O52" s="1" t="str" cm="1">
        <f t="array" ref="O52">_xlfn.IFS(orders[[#This Row],[Customer Gender]]="M","Male", orders[[#This Row],[Customer Gender]]="F","Female", orders[[#This Row],[Customer Gender]]="O","Other", TRUE,"Unknown")</f>
        <v>Male</v>
      </c>
    </row>
    <row r="53" spans="1:15">
      <c r="A53" s="1" t="s">
        <v>111</v>
      </c>
      <c r="B53" s="1" t="s">
        <v>44</v>
      </c>
      <c r="C53" s="1">
        <v>2</v>
      </c>
      <c r="D53" s="1">
        <v>24.3</v>
      </c>
      <c r="E53" s="11">
        <v>48.6</v>
      </c>
      <c r="F53" s="3">
        <v>45659</v>
      </c>
      <c r="G53" s="3">
        <v>45662</v>
      </c>
      <c r="H53" s="1" t="s">
        <v>27</v>
      </c>
      <c r="I53" s="1" t="s">
        <v>35</v>
      </c>
      <c r="J53" s="1">
        <v>4</v>
      </c>
      <c r="K53" s="1" t="s">
        <v>19</v>
      </c>
      <c r="L53" s="1" t="s">
        <v>110</v>
      </c>
      <c r="M53" s="1">
        <f>orders[[#This Row],[Ship Date]]-orders[[#This Row],[Order Date]]</f>
        <v>3</v>
      </c>
      <c r="N53" s="1">
        <f>WEEKNUM(orders[[#This Row],[Order Date]])</f>
        <v>1</v>
      </c>
      <c r="O53" s="1" t="str" cm="1">
        <f t="array" ref="O53">_xlfn.IFS(orders[[#This Row],[Customer Gender]]="M","Male", orders[[#This Row],[Customer Gender]]="F","Female", orders[[#This Row],[Customer Gender]]="O","Other", TRUE,"Unknown")</f>
        <v>Female</v>
      </c>
    </row>
    <row r="54" spans="1:15">
      <c r="A54" s="1" t="s">
        <v>112</v>
      </c>
      <c r="B54" s="1" t="s">
        <v>44</v>
      </c>
      <c r="C54" s="1">
        <v>3</v>
      </c>
      <c r="D54" s="1">
        <v>41.7</v>
      </c>
      <c r="E54" s="11">
        <v>125.10000000000001</v>
      </c>
      <c r="F54" s="3">
        <v>45659</v>
      </c>
      <c r="G54" s="3">
        <v>45661</v>
      </c>
      <c r="H54" s="1" t="s">
        <v>23</v>
      </c>
      <c r="I54" s="1" t="s">
        <v>18</v>
      </c>
      <c r="J54" s="1">
        <v>5</v>
      </c>
      <c r="K54" s="1" t="s">
        <v>19</v>
      </c>
      <c r="L54" s="1" t="s">
        <v>113</v>
      </c>
      <c r="M54" s="1">
        <f>orders[[#This Row],[Ship Date]]-orders[[#This Row],[Order Date]]</f>
        <v>2</v>
      </c>
      <c r="N54" s="1">
        <f>WEEKNUM(orders[[#This Row],[Order Date]])</f>
        <v>1</v>
      </c>
      <c r="O54" s="1" t="str" cm="1">
        <f t="array" ref="O54">_xlfn.IFS(orders[[#This Row],[Customer Gender]]="M","Male", orders[[#This Row],[Customer Gender]]="F","Female", orders[[#This Row],[Customer Gender]]="O","Other", TRUE,"Unknown")</f>
        <v>Male</v>
      </c>
    </row>
    <row r="55" spans="1:15">
      <c r="A55" s="1" t="s">
        <v>114</v>
      </c>
      <c r="B55" s="1" t="s">
        <v>16</v>
      </c>
      <c r="C55" s="1">
        <v>2</v>
      </c>
      <c r="D55" s="1">
        <v>18</v>
      </c>
      <c r="E55" s="11">
        <v>36</v>
      </c>
      <c r="F55" s="3">
        <v>45659</v>
      </c>
      <c r="G55" s="3">
        <v>45660</v>
      </c>
      <c r="H55" s="1" t="s">
        <v>27</v>
      </c>
      <c r="I55" s="1" t="s">
        <v>18</v>
      </c>
      <c r="J55" s="1">
        <v>5</v>
      </c>
      <c r="K55" s="1" t="s">
        <v>19</v>
      </c>
      <c r="L55" s="1" t="s">
        <v>115</v>
      </c>
      <c r="M55" s="1">
        <f>orders[[#This Row],[Ship Date]]-orders[[#This Row],[Order Date]]</f>
        <v>1</v>
      </c>
      <c r="N55" s="1">
        <f>WEEKNUM(orders[[#This Row],[Order Date]])</f>
        <v>1</v>
      </c>
      <c r="O55" s="1" t="str" cm="1">
        <f t="array" ref="O55">_xlfn.IFS(orders[[#This Row],[Customer Gender]]="M","Male", orders[[#This Row],[Customer Gender]]="F","Female", orders[[#This Row],[Customer Gender]]="O","Other", TRUE,"Unknown")</f>
        <v>Female</v>
      </c>
    </row>
    <row r="56" spans="1:15">
      <c r="A56" s="1" t="s">
        <v>116</v>
      </c>
      <c r="B56" s="1" t="s">
        <v>42</v>
      </c>
      <c r="C56" s="1">
        <v>3</v>
      </c>
      <c r="D56" s="1">
        <v>91.3</v>
      </c>
      <c r="E56" s="11">
        <v>273.89999999999998</v>
      </c>
      <c r="F56" s="3">
        <v>45659</v>
      </c>
      <c r="G56" s="3">
        <v>45662</v>
      </c>
      <c r="H56" s="1" t="s">
        <v>23</v>
      </c>
      <c r="I56" s="1" t="s">
        <v>40</v>
      </c>
      <c r="J56" s="1">
        <v>5</v>
      </c>
      <c r="K56" s="1" t="s">
        <v>19</v>
      </c>
      <c r="L56" s="1" t="s">
        <v>33</v>
      </c>
      <c r="M56" s="1">
        <f>orders[[#This Row],[Ship Date]]-orders[[#This Row],[Order Date]]</f>
        <v>3</v>
      </c>
      <c r="N56" s="1">
        <f>WEEKNUM(orders[[#This Row],[Order Date]])</f>
        <v>1</v>
      </c>
      <c r="O56" s="1" t="str" cm="1">
        <f t="array" ref="O56">_xlfn.IFS(orders[[#This Row],[Customer Gender]]="M","Male", orders[[#This Row],[Customer Gender]]="F","Female", orders[[#This Row],[Customer Gender]]="O","Other", TRUE,"Unknown")</f>
        <v>Male</v>
      </c>
    </row>
    <row r="57" spans="1:15">
      <c r="A57" s="1" t="s">
        <v>117</v>
      </c>
      <c r="B57" s="1" t="s">
        <v>44</v>
      </c>
      <c r="C57" s="1">
        <v>8</v>
      </c>
      <c r="D57" s="1">
        <v>19.3</v>
      </c>
      <c r="E57" s="11">
        <v>154.4</v>
      </c>
      <c r="F57" s="3">
        <v>45659</v>
      </c>
      <c r="G57" s="3">
        <v>45660</v>
      </c>
      <c r="H57" s="1" t="s">
        <v>23</v>
      </c>
      <c r="I57" s="1" t="s">
        <v>18</v>
      </c>
      <c r="J57" s="1">
        <v>4</v>
      </c>
      <c r="K57" s="1" t="s">
        <v>19</v>
      </c>
      <c r="L57" s="1" t="s">
        <v>33</v>
      </c>
      <c r="M57" s="1">
        <f>orders[[#This Row],[Ship Date]]-orders[[#This Row],[Order Date]]</f>
        <v>1</v>
      </c>
      <c r="N57" s="1">
        <f>WEEKNUM(orders[[#This Row],[Order Date]])</f>
        <v>1</v>
      </c>
      <c r="O57" s="1" t="str" cm="1">
        <f t="array" ref="O57">_xlfn.IFS(orders[[#This Row],[Customer Gender]]="M","Male", orders[[#This Row],[Customer Gender]]="F","Female", orders[[#This Row],[Customer Gender]]="O","Other", TRUE,"Unknown")</f>
        <v>Male</v>
      </c>
    </row>
    <row r="58" spans="1:15">
      <c r="A58" s="1" t="s">
        <v>118</v>
      </c>
      <c r="B58" s="1" t="s">
        <v>69</v>
      </c>
      <c r="C58" s="1">
        <v>13</v>
      </c>
      <c r="D58" s="1">
        <v>63.2</v>
      </c>
      <c r="E58" s="11">
        <v>821.6</v>
      </c>
      <c r="F58" s="3">
        <v>45659</v>
      </c>
      <c r="G58" s="3">
        <v>45660</v>
      </c>
      <c r="H58" s="1" t="s">
        <v>27</v>
      </c>
      <c r="I58" s="1" t="s">
        <v>18</v>
      </c>
      <c r="J58" s="1">
        <v>4</v>
      </c>
      <c r="K58" s="1" t="s">
        <v>19</v>
      </c>
      <c r="L58" s="1" t="s">
        <v>33</v>
      </c>
      <c r="M58" s="1">
        <f>orders[[#This Row],[Ship Date]]-orders[[#This Row],[Order Date]]</f>
        <v>1</v>
      </c>
      <c r="N58" s="1">
        <f>WEEKNUM(orders[[#This Row],[Order Date]])</f>
        <v>1</v>
      </c>
      <c r="O58" s="1" t="str" cm="1">
        <f t="array" ref="O58">_xlfn.IFS(orders[[#This Row],[Customer Gender]]="M","Male", orders[[#This Row],[Customer Gender]]="F","Female", orders[[#This Row],[Customer Gender]]="O","Other", TRUE,"Unknown")</f>
        <v>Female</v>
      </c>
    </row>
    <row r="59" spans="1:15">
      <c r="A59" s="1" t="s">
        <v>119</v>
      </c>
      <c r="B59" s="1" t="s">
        <v>54</v>
      </c>
      <c r="C59" s="1">
        <v>9</v>
      </c>
      <c r="D59" s="1">
        <v>33.299999999999997</v>
      </c>
      <c r="E59" s="11">
        <v>299.7</v>
      </c>
      <c r="F59" s="3">
        <v>45660</v>
      </c>
      <c r="G59" s="3">
        <v>45668</v>
      </c>
      <c r="H59" s="1" t="s">
        <v>27</v>
      </c>
      <c r="I59" s="1" t="s">
        <v>18</v>
      </c>
      <c r="J59" s="1">
        <v>5</v>
      </c>
      <c r="K59" s="1" t="s">
        <v>19</v>
      </c>
      <c r="L59" s="1" t="s">
        <v>33</v>
      </c>
      <c r="M59" s="1">
        <f>orders[[#This Row],[Ship Date]]-orders[[#This Row],[Order Date]]</f>
        <v>8</v>
      </c>
      <c r="N59" s="1">
        <f>WEEKNUM(orders[[#This Row],[Order Date]])</f>
        <v>1</v>
      </c>
      <c r="O59" s="1" t="str" cm="1">
        <f t="array" ref="O59">_xlfn.IFS(orders[[#This Row],[Customer Gender]]="M","Male", orders[[#This Row],[Customer Gender]]="F","Female", orders[[#This Row],[Customer Gender]]="O","Other", TRUE,"Unknown")</f>
        <v>Female</v>
      </c>
    </row>
    <row r="60" spans="1:15">
      <c r="A60" s="1" t="s">
        <v>120</v>
      </c>
      <c r="B60" s="1" t="s">
        <v>42</v>
      </c>
      <c r="C60" s="1">
        <v>2</v>
      </c>
      <c r="D60" s="1">
        <v>64.2</v>
      </c>
      <c r="E60" s="11">
        <v>128.4</v>
      </c>
      <c r="F60" s="3">
        <v>45660</v>
      </c>
      <c r="G60" s="3">
        <v>45661</v>
      </c>
      <c r="H60" s="1" t="s">
        <v>23</v>
      </c>
      <c r="I60" s="1" t="s">
        <v>18</v>
      </c>
      <c r="J60" s="1">
        <v>5</v>
      </c>
      <c r="K60" s="1" t="s">
        <v>19</v>
      </c>
      <c r="L60" s="1" t="s">
        <v>33</v>
      </c>
      <c r="M60" s="1">
        <f>orders[[#This Row],[Ship Date]]-orders[[#This Row],[Order Date]]</f>
        <v>1</v>
      </c>
      <c r="N60" s="1">
        <f>WEEKNUM(orders[[#This Row],[Order Date]])</f>
        <v>1</v>
      </c>
      <c r="O60" s="1" t="str" cm="1">
        <f t="array" ref="O60">_xlfn.IFS(orders[[#This Row],[Customer Gender]]="M","Male", orders[[#This Row],[Customer Gender]]="F","Female", orders[[#This Row],[Customer Gender]]="O","Other", TRUE,"Unknown")</f>
        <v>Male</v>
      </c>
    </row>
    <row r="61" spans="1:15">
      <c r="A61" s="1" t="s">
        <v>121</v>
      </c>
      <c r="B61" s="1" t="s">
        <v>46</v>
      </c>
      <c r="C61" s="1">
        <v>3</v>
      </c>
      <c r="D61" s="1">
        <v>23.1</v>
      </c>
      <c r="E61" s="11">
        <v>69.300000000000011</v>
      </c>
      <c r="F61" s="3">
        <v>45660</v>
      </c>
      <c r="G61" s="3">
        <v>45663</v>
      </c>
      <c r="H61" s="1" t="s">
        <v>27</v>
      </c>
      <c r="I61" s="1" t="s">
        <v>35</v>
      </c>
      <c r="J61" s="1">
        <v>5</v>
      </c>
      <c r="K61" s="1" t="s">
        <v>19</v>
      </c>
      <c r="L61" s="1" t="s">
        <v>33</v>
      </c>
      <c r="M61" s="1">
        <f>orders[[#This Row],[Ship Date]]-orders[[#This Row],[Order Date]]</f>
        <v>3</v>
      </c>
      <c r="N61" s="1">
        <f>WEEKNUM(orders[[#This Row],[Order Date]])</f>
        <v>1</v>
      </c>
      <c r="O61" s="1" t="str" cm="1">
        <f t="array" ref="O61">_xlfn.IFS(orders[[#This Row],[Customer Gender]]="M","Male", orders[[#This Row],[Customer Gender]]="F","Female", orders[[#This Row],[Customer Gender]]="O","Other", TRUE,"Unknown")</f>
        <v>Female</v>
      </c>
    </row>
    <row r="62" spans="1:15">
      <c r="A62" s="1" t="s">
        <v>122</v>
      </c>
      <c r="B62" s="1" t="s">
        <v>123</v>
      </c>
      <c r="C62" s="1">
        <v>2</v>
      </c>
      <c r="D62" s="1">
        <v>71.099999999999994</v>
      </c>
      <c r="E62" s="11">
        <v>142.19999999999999</v>
      </c>
      <c r="F62" s="3">
        <v>45660</v>
      </c>
      <c r="G62" s="3">
        <v>45662</v>
      </c>
      <c r="H62" s="1" t="s">
        <v>27</v>
      </c>
      <c r="I62" s="1" t="s">
        <v>51</v>
      </c>
      <c r="J62" s="1">
        <v>3</v>
      </c>
      <c r="K62" s="1" t="s">
        <v>19</v>
      </c>
      <c r="L62" s="1" t="s">
        <v>33</v>
      </c>
      <c r="M62" s="1">
        <f>orders[[#This Row],[Ship Date]]-orders[[#This Row],[Order Date]]</f>
        <v>2</v>
      </c>
      <c r="N62" s="1">
        <f>WEEKNUM(orders[[#This Row],[Order Date]])</f>
        <v>1</v>
      </c>
      <c r="O62" s="1" t="str" cm="1">
        <f t="array" ref="O62">_xlfn.IFS(orders[[#This Row],[Customer Gender]]="M","Male", orders[[#This Row],[Customer Gender]]="F","Female", orders[[#This Row],[Customer Gender]]="O","Other", TRUE,"Unknown")</f>
        <v>Female</v>
      </c>
    </row>
    <row r="63" spans="1:15">
      <c r="A63" s="1" t="s">
        <v>124</v>
      </c>
      <c r="B63" s="1" t="s">
        <v>16</v>
      </c>
      <c r="C63" s="1">
        <v>2</v>
      </c>
      <c r="D63" s="1">
        <v>11.5</v>
      </c>
      <c r="E63" s="11">
        <v>23</v>
      </c>
      <c r="F63" s="3">
        <v>45660</v>
      </c>
      <c r="G63" s="3">
        <v>45661</v>
      </c>
      <c r="H63" s="1" t="s">
        <v>27</v>
      </c>
      <c r="I63" s="1" t="s">
        <v>18</v>
      </c>
      <c r="J63" s="1">
        <v>4</v>
      </c>
      <c r="K63" s="1" t="s">
        <v>19</v>
      </c>
      <c r="L63" s="1" t="s">
        <v>33</v>
      </c>
      <c r="M63" s="1">
        <f>orders[[#This Row],[Ship Date]]-orders[[#This Row],[Order Date]]</f>
        <v>1</v>
      </c>
      <c r="N63" s="1">
        <f>WEEKNUM(orders[[#This Row],[Order Date]])</f>
        <v>1</v>
      </c>
      <c r="O63" s="1" t="str" cm="1">
        <f t="array" ref="O63">_xlfn.IFS(orders[[#This Row],[Customer Gender]]="M","Male", orders[[#This Row],[Customer Gender]]="F","Female", orders[[#This Row],[Customer Gender]]="O","Other", TRUE,"Unknown")</f>
        <v>Female</v>
      </c>
    </row>
    <row r="64" spans="1:15">
      <c r="A64" s="1" t="s">
        <v>125</v>
      </c>
      <c r="B64" s="1" t="s">
        <v>123</v>
      </c>
      <c r="C64" s="1">
        <v>19</v>
      </c>
      <c r="D64" s="1">
        <v>69.2</v>
      </c>
      <c r="E64" s="11">
        <v>1314.8</v>
      </c>
      <c r="F64" s="3">
        <v>45660</v>
      </c>
      <c r="G64" s="3">
        <v>45665</v>
      </c>
      <c r="H64" s="1" t="s">
        <v>27</v>
      </c>
      <c r="I64" s="1" t="s">
        <v>18</v>
      </c>
      <c r="J64" s="1">
        <v>4</v>
      </c>
      <c r="K64" s="1" t="s">
        <v>19</v>
      </c>
      <c r="L64" s="1" t="s">
        <v>33</v>
      </c>
      <c r="M64" s="1">
        <f>orders[[#This Row],[Ship Date]]-orders[[#This Row],[Order Date]]</f>
        <v>5</v>
      </c>
      <c r="N64" s="1">
        <f>WEEKNUM(orders[[#This Row],[Order Date]])</f>
        <v>1</v>
      </c>
      <c r="O64" s="1" t="str" cm="1">
        <f t="array" ref="O64">_xlfn.IFS(orders[[#This Row],[Customer Gender]]="M","Male", orders[[#This Row],[Customer Gender]]="F","Female", orders[[#This Row],[Customer Gender]]="O","Other", TRUE,"Unknown")</f>
        <v>Female</v>
      </c>
    </row>
    <row r="65" spans="1:15">
      <c r="A65" s="1" t="s">
        <v>126</v>
      </c>
      <c r="B65" s="1" t="s">
        <v>16</v>
      </c>
      <c r="C65" s="1">
        <v>1</v>
      </c>
      <c r="D65" s="1">
        <v>26.8</v>
      </c>
      <c r="E65" s="11">
        <v>26.8</v>
      </c>
      <c r="F65" s="3">
        <v>45660</v>
      </c>
      <c r="G65" s="3">
        <v>45661</v>
      </c>
      <c r="H65" s="1" t="s">
        <v>23</v>
      </c>
      <c r="I65" s="1" t="s">
        <v>40</v>
      </c>
      <c r="J65" s="1">
        <v>2</v>
      </c>
      <c r="K65" s="1" t="s">
        <v>19</v>
      </c>
      <c r="L65" s="1" t="s">
        <v>33</v>
      </c>
      <c r="M65" s="1">
        <f>orders[[#This Row],[Ship Date]]-orders[[#This Row],[Order Date]]</f>
        <v>1</v>
      </c>
      <c r="N65" s="1">
        <f>WEEKNUM(orders[[#This Row],[Order Date]])</f>
        <v>1</v>
      </c>
      <c r="O65" s="1" t="str" cm="1">
        <f t="array" ref="O65">_xlfn.IFS(orders[[#This Row],[Customer Gender]]="M","Male", orders[[#This Row],[Customer Gender]]="F","Female", orders[[#This Row],[Customer Gender]]="O","Other", TRUE,"Unknown")</f>
        <v>Male</v>
      </c>
    </row>
    <row r="66" spans="1:15">
      <c r="A66" s="1" t="s">
        <v>127</v>
      </c>
      <c r="B66" s="1" t="s">
        <v>128</v>
      </c>
      <c r="C66" s="1">
        <v>3</v>
      </c>
      <c r="D66" s="1">
        <v>31.2</v>
      </c>
      <c r="E66" s="11">
        <v>93.6</v>
      </c>
      <c r="F66" s="3">
        <v>45660</v>
      </c>
      <c r="G66" s="3">
        <v>45663</v>
      </c>
      <c r="H66" s="1" t="s">
        <v>27</v>
      </c>
      <c r="I66" s="1" t="s">
        <v>18</v>
      </c>
      <c r="J66" s="1">
        <v>4</v>
      </c>
      <c r="K66" s="1" t="s">
        <v>19</v>
      </c>
      <c r="L66" s="1" t="s">
        <v>33</v>
      </c>
      <c r="M66" s="1">
        <f>orders[[#This Row],[Ship Date]]-orders[[#This Row],[Order Date]]</f>
        <v>3</v>
      </c>
      <c r="N66" s="1">
        <f>WEEKNUM(orders[[#This Row],[Order Date]])</f>
        <v>1</v>
      </c>
      <c r="O66" s="1" t="str" cm="1">
        <f t="array" ref="O66">_xlfn.IFS(orders[[#This Row],[Customer Gender]]="M","Male", orders[[#This Row],[Customer Gender]]="F","Female", orders[[#This Row],[Customer Gender]]="O","Other", TRUE,"Unknown")</f>
        <v>Female</v>
      </c>
    </row>
    <row r="67" spans="1:15">
      <c r="A67" s="1" t="s">
        <v>129</v>
      </c>
      <c r="B67" s="1" t="s">
        <v>69</v>
      </c>
      <c r="C67" s="1">
        <v>2</v>
      </c>
      <c r="D67" s="1">
        <v>113.2</v>
      </c>
      <c r="E67" s="11">
        <v>226.4</v>
      </c>
      <c r="F67" s="3">
        <v>45660</v>
      </c>
      <c r="G67" s="3">
        <v>45661</v>
      </c>
      <c r="H67" s="1" t="s">
        <v>27</v>
      </c>
      <c r="I67" s="1" t="s">
        <v>70</v>
      </c>
      <c r="J67" s="1">
        <v>4</v>
      </c>
      <c r="K67" s="1" t="s">
        <v>19</v>
      </c>
      <c r="L67" s="1" t="s">
        <v>33</v>
      </c>
      <c r="M67" s="1">
        <f>orders[[#This Row],[Ship Date]]-orders[[#This Row],[Order Date]]</f>
        <v>1</v>
      </c>
      <c r="N67" s="1">
        <f>WEEKNUM(orders[[#This Row],[Order Date]])</f>
        <v>1</v>
      </c>
      <c r="O67" s="1" t="str" cm="1">
        <f t="array" ref="O67">_xlfn.IFS(orders[[#This Row],[Customer Gender]]="M","Male", orders[[#This Row],[Customer Gender]]="F","Female", orders[[#This Row],[Customer Gender]]="O","Other", TRUE,"Unknown")</f>
        <v>Female</v>
      </c>
    </row>
    <row r="68" spans="1:15">
      <c r="A68" s="1" t="s">
        <v>130</v>
      </c>
      <c r="B68" s="1" t="s">
        <v>54</v>
      </c>
      <c r="C68" s="1">
        <v>8</v>
      </c>
      <c r="D68" s="1">
        <v>21</v>
      </c>
      <c r="E68" s="11">
        <v>168</v>
      </c>
      <c r="F68" s="3">
        <v>45660</v>
      </c>
      <c r="G68" s="3">
        <v>45661</v>
      </c>
      <c r="H68" s="1" t="s">
        <v>23</v>
      </c>
      <c r="I68" s="1" t="s">
        <v>18</v>
      </c>
      <c r="J68" s="1">
        <v>4</v>
      </c>
      <c r="K68" s="1" t="s">
        <v>19</v>
      </c>
      <c r="L68" s="1" t="s">
        <v>55</v>
      </c>
      <c r="M68" s="1">
        <f>orders[[#This Row],[Ship Date]]-orders[[#This Row],[Order Date]]</f>
        <v>1</v>
      </c>
      <c r="N68" s="1">
        <f>WEEKNUM(orders[[#This Row],[Order Date]])</f>
        <v>1</v>
      </c>
      <c r="O68" s="1" t="str" cm="1">
        <f t="array" ref="O68">_xlfn.IFS(orders[[#This Row],[Customer Gender]]="M","Male", orders[[#This Row],[Customer Gender]]="F","Female", orders[[#This Row],[Customer Gender]]="O","Other", TRUE,"Unknown")</f>
        <v>Male</v>
      </c>
    </row>
    <row r="69" spans="1:15">
      <c r="A69" s="1" t="s">
        <v>131</v>
      </c>
      <c r="B69" s="1" t="s">
        <v>22</v>
      </c>
      <c r="C69" s="1">
        <v>2</v>
      </c>
      <c r="D69" s="1">
        <v>89.1</v>
      </c>
      <c r="E69" s="11">
        <v>178.2</v>
      </c>
      <c r="F69" s="3">
        <v>45660</v>
      </c>
      <c r="G69" s="3">
        <v>45661</v>
      </c>
      <c r="H69" s="1" t="s">
        <v>27</v>
      </c>
      <c r="I69" s="1" t="s">
        <v>40</v>
      </c>
      <c r="J69" s="1">
        <v>5</v>
      </c>
      <c r="K69" s="1" t="s">
        <v>19</v>
      </c>
      <c r="L69" s="1" t="s">
        <v>55</v>
      </c>
      <c r="M69" s="1">
        <f>orders[[#This Row],[Ship Date]]-orders[[#This Row],[Order Date]]</f>
        <v>1</v>
      </c>
      <c r="N69" s="1">
        <f>WEEKNUM(orders[[#This Row],[Order Date]])</f>
        <v>1</v>
      </c>
      <c r="O69" s="1" t="str" cm="1">
        <f t="array" ref="O69">_xlfn.IFS(orders[[#This Row],[Customer Gender]]="M","Male", orders[[#This Row],[Customer Gender]]="F","Female", orders[[#This Row],[Customer Gender]]="O","Other", TRUE,"Unknown")</f>
        <v>Female</v>
      </c>
    </row>
    <row r="70" spans="1:15">
      <c r="A70" s="1" t="s">
        <v>132</v>
      </c>
      <c r="B70" s="1" t="s">
        <v>22</v>
      </c>
      <c r="C70" s="1">
        <v>1</v>
      </c>
      <c r="D70" s="1">
        <v>97.7</v>
      </c>
      <c r="E70" s="11">
        <v>97.7</v>
      </c>
      <c r="F70" s="3">
        <v>45660</v>
      </c>
      <c r="G70" s="3">
        <v>45662</v>
      </c>
      <c r="H70" s="1" t="s">
        <v>27</v>
      </c>
      <c r="I70" s="1" t="s">
        <v>18</v>
      </c>
      <c r="J70" s="1">
        <v>3</v>
      </c>
      <c r="K70" s="1" t="s">
        <v>19</v>
      </c>
      <c r="L70" s="1" t="s">
        <v>55</v>
      </c>
      <c r="M70" s="1">
        <f>orders[[#This Row],[Ship Date]]-orders[[#This Row],[Order Date]]</f>
        <v>2</v>
      </c>
      <c r="N70" s="1">
        <f>WEEKNUM(orders[[#This Row],[Order Date]])</f>
        <v>1</v>
      </c>
      <c r="O70" s="1" t="str" cm="1">
        <f t="array" ref="O70">_xlfn.IFS(orders[[#This Row],[Customer Gender]]="M","Male", orders[[#This Row],[Customer Gender]]="F","Female", orders[[#This Row],[Customer Gender]]="O","Other", TRUE,"Unknown")</f>
        <v>Female</v>
      </c>
    </row>
    <row r="71" spans="1:15">
      <c r="A71" s="1" t="s">
        <v>133</v>
      </c>
      <c r="B71" s="1" t="s">
        <v>123</v>
      </c>
      <c r="C71" s="1">
        <v>4</v>
      </c>
      <c r="D71" s="1">
        <v>97.7</v>
      </c>
      <c r="E71" s="11">
        <v>390.8</v>
      </c>
      <c r="F71" s="3">
        <v>45660</v>
      </c>
      <c r="G71" s="3">
        <v>45662</v>
      </c>
      <c r="H71" s="1" t="s">
        <v>23</v>
      </c>
      <c r="I71" s="1" t="s">
        <v>51</v>
      </c>
      <c r="J71" s="1">
        <v>4</v>
      </c>
      <c r="K71" s="1" t="s">
        <v>19</v>
      </c>
      <c r="L71" s="1" t="s">
        <v>55</v>
      </c>
      <c r="M71" s="1">
        <f>orders[[#This Row],[Ship Date]]-orders[[#This Row],[Order Date]]</f>
        <v>2</v>
      </c>
      <c r="N71" s="1">
        <f>WEEKNUM(orders[[#This Row],[Order Date]])</f>
        <v>1</v>
      </c>
      <c r="O71" s="1" t="str" cm="1">
        <f t="array" ref="O71">_xlfn.IFS(orders[[#This Row],[Customer Gender]]="M","Male", orders[[#This Row],[Customer Gender]]="F","Female", orders[[#This Row],[Customer Gender]]="O","Other", TRUE,"Unknown")</f>
        <v>Male</v>
      </c>
    </row>
    <row r="72" spans="1:15">
      <c r="A72" s="1" t="s">
        <v>134</v>
      </c>
      <c r="B72" s="1" t="s">
        <v>135</v>
      </c>
      <c r="C72" s="1">
        <v>3</v>
      </c>
      <c r="D72" s="1">
        <v>47.4</v>
      </c>
      <c r="E72" s="11">
        <v>142.19999999999999</v>
      </c>
      <c r="F72" s="3">
        <v>45660</v>
      </c>
      <c r="G72" s="3">
        <v>45663</v>
      </c>
      <c r="H72" s="1" t="s">
        <v>23</v>
      </c>
      <c r="I72" s="1" t="s">
        <v>51</v>
      </c>
      <c r="J72" s="1">
        <v>5</v>
      </c>
      <c r="K72" s="1" t="s">
        <v>19</v>
      </c>
      <c r="L72" s="1" t="s">
        <v>62</v>
      </c>
      <c r="M72" s="1">
        <f>orders[[#This Row],[Ship Date]]-orders[[#This Row],[Order Date]]</f>
        <v>3</v>
      </c>
      <c r="N72" s="1">
        <f>WEEKNUM(orders[[#This Row],[Order Date]])</f>
        <v>1</v>
      </c>
      <c r="O72" s="1" t="str" cm="1">
        <f t="array" ref="O72">_xlfn.IFS(orders[[#This Row],[Customer Gender]]="M","Male", orders[[#This Row],[Customer Gender]]="F","Female", orders[[#This Row],[Customer Gender]]="O","Other", TRUE,"Unknown")</f>
        <v>Male</v>
      </c>
    </row>
    <row r="73" spans="1:15">
      <c r="A73" s="1" t="s">
        <v>136</v>
      </c>
      <c r="B73" s="1" t="s">
        <v>42</v>
      </c>
      <c r="C73" s="1">
        <v>1</v>
      </c>
      <c r="D73" s="1">
        <v>89.6</v>
      </c>
      <c r="E73" s="11">
        <v>89.6</v>
      </c>
      <c r="F73" s="3">
        <v>45660</v>
      </c>
      <c r="G73" s="3">
        <v>45663</v>
      </c>
      <c r="H73" s="1" t="s">
        <v>27</v>
      </c>
      <c r="I73" s="1" t="s">
        <v>18</v>
      </c>
      <c r="J73" s="1">
        <v>5</v>
      </c>
      <c r="K73" s="1" t="s">
        <v>19</v>
      </c>
      <c r="L73" s="1" t="s">
        <v>62</v>
      </c>
      <c r="M73" s="1">
        <f>orders[[#This Row],[Ship Date]]-orders[[#This Row],[Order Date]]</f>
        <v>3</v>
      </c>
      <c r="N73" s="1">
        <f>WEEKNUM(orders[[#This Row],[Order Date]])</f>
        <v>1</v>
      </c>
      <c r="O73" s="1" t="str" cm="1">
        <f t="array" ref="O73">_xlfn.IFS(orders[[#This Row],[Customer Gender]]="M","Male", orders[[#This Row],[Customer Gender]]="F","Female", orders[[#This Row],[Customer Gender]]="O","Other", TRUE,"Unknown")</f>
        <v>Female</v>
      </c>
    </row>
    <row r="74" spans="1:15">
      <c r="A74" s="1" t="s">
        <v>137</v>
      </c>
      <c r="B74" s="1" t="s">
        <v>54</v>
      </c>
      <c r="C74" s="1">
        <v>18</v>
      </c>
      <c r="D74" s="1">
        <v>28.4</v>
      </c>
      <c r="E74" s="11">
        <v>511.2</v>
      </c>
      <c r="F74" s="3">
        <v>45660</v>
      </c>
      <c r="G74" s="3">
        <v>45663</v>
      </c>
      <c r="H74" s="1" t="s">
        <v>27</v>
      </c>
      <c r="I74" s="1" t="s">
        <v>51</v>
      </c>
      <c r="J74" s="1">
        <v>5</v>
      </c>
      <c r="K74" s="1" t="s">
        <v>19</v>
      </c>
      <c r="L74" s="1" t="s">
        <v>103</v>
      </c>
      <c r="M74" s="1">
        <f>orders[[#This Row],[Ship Date]]-orders[[#This Row],[Order Date]]</f>
        <v>3</v>
      </c>
      <c r="N74" s="1">
        <f>WEEKNUM(orders[[#This Row],[Order Date]])</f>
        <v>1</v>
      </c>
      <c r="O74" s="1" t="str" cm="1">
        <f t="array" ref="O74">_xlfn.IFS(orders[[#This Row],[Customer Gender]]="M","Male", orders[[#This Row],[Customer Gender]]="F","Female", orders[[#This Row],[Customer Gender]]="O","Other", TRUE,"Unknown")</f>
        <v>Female</v>
      </c>
    </row>
    <row r="75" spans="1:15">
      <c r="A75" s="1" t="s">
        <v>138</v>
      </c>
      <c r="B75" s="1" t="s">
        <v>16</v>
      </c>
      <c r="C75" s="1">
        <v>2</v>
      </c>
      <c r="D75" s="1">
        <v>17.899999999999999</v>
      </c>
      <c r="E75" s="11">
        <v>35.799999999999997</v>
      </c>
      <c r="F75" s="3">
        <v>45660</v>
      </c>
      <c r="G75" s="3">
        <v>45661</v>
      </c>
      <c r="H75" s="1" t="s">
        <v>27</v>
      </c>
      <c r="I75" s="1" t="s">
        <v>18</v>
      </c>
      <c r="J75" s="1">
        <v>5</v>
      </c>
      <c r="K75" s="1" t="s">
        <v>19</v>
      </c>
      <c r="L75" s="1" t="s">
        <v>72</v>
      </c>
      <c r="M75" s="1">
        <f>orders[[#This Row],[Ship Date]]-orders[[#This Row],[Order Date]]</f>
        <v>1</v>
      </c>
      <c r="N75" s="1">
        <f>WEEKNUM(orders[[#This Row],[Order Date]])</f>
        <v>1</v>
      </c>
      <c r="O75" s="1" t="str" cm="1">
        <f t="array" ref="O75">_xlfn.IFS(orders[[#This Row],[Customer Gender]]="M","Male", orders[[#This Row],[Customer Gender]]="F","Female", orders[[#This Row],[Customer Gender]]="O","Other", TRUE,"Unknown")</f>
        <v>Female</v>
      </c>
    </row>
    <row r="76" spans="1:15">
      <c r="A76" s="1" t="s">
        <v>139</v>
      </c>
      <c r="B76" s="1" t="s">
        <v>46</v>
      </c>
      <c r="C76" s="1">
        <v>2</v>
      </c>
      <c r="D76" s="1">
        <v>48.4</v>
      </c>
      <c r="E76" s="11">
        <v>96.8</v>
      </c>
      <c r="F76" s="3">
        <v>45660</v>
      </c>
      <c r="G76" s="3">
        <v>45663</v>
      </c>
      <c r="H76" s="1" t="s">
        <v>23</v>
      </c>
      <c r="I76" s="1" t="s">
        <v>35</v>
      </c>
      <c r="J76" s="1">
        <v>4</v>
      </c>
      <c r="K76" s="1" t="s">
        <v>19</v>
      </c>
      <c r="L76" s="1" t="s">
        <v>72</v>
      </c>
      <c r="M76" s="1">
        <f>orders[[#This Row],[Ship Date]]-orders[[#This Row],[Order Date]]</f>
        <v>3</v>
      </c>
      <c r="N76" s="1">
        <f>WEEKNUM(orders[[#This Row],[Order Date]])</f>
        <v>1</v>
      </c>
      <c r="O76" s="1" t="str" cm="1">
        <f t="array" ref="O76">_xlfn.IFS(orders[[#This Row],[Customer Gender]]="M","Male", orders[[#This Row],[Customer Gender]]="F","Female", orders[[#This Row],[Customer Gender]]="O","Other", TRUE,"Unknown")</f>
        <v>Male</v>
      </c>
    </row>
    <row r="77" spans="1:15">
      <c r="A77" s="1" t="s">
        <v>140</v>
      </c>
      <c r="B77" s="1" t="s">
        <v>69</v>
      </c>
      <c r="C77" s="1">
        <v>4</v>
      </c>
      <c r="D77" s="1">
        <v>44.4</v>
      </c>
      <c r="E77" s="11">
        <v>177.6</v>
      </c>
      <c r="F77" s="3">
        <v>45660</v>
      </c>
      <c r="G77" s="3">
        <v>45661</v>
      </c>
      <c r="H77" s="1" t="s">
        <v>89</v>
      </c>
      <c r="I77" s="1" t="s">
        <v>35</v>
      </c>
      <c r="J77" s="1">
        <v>3</v>
      </c>
      <c r="K77" s="1" t="s">
        <v>19</v>
      </c>
      <c r="L77" s="1" t="s">
        <v>77</v>
      </c>
      <c r="M77" s="1">
        <f>orders[[#This Row],[Ship Date]]-orders[[#This Row],[Order Date]]</f>
        <v>1</v>
      </c>
      <c r="N77" s="1">
        <f>WEEKNUM(orders[[#This Row],[Order Date]])</f>
        <v>1</v>
      </c>
      <c r="O77" s="1" t="str" cm="1">
        <f t="array" ref="O77">_xlfn.IFS(orders[[#This Row],[Customer Gender]]="M","Male", orders[[#This Row],[Customer Gender]]="F","Female", orders[[#This Row],[Customer Gender]]="O","Other", TRUE,"Unknown")</f>
        <v>Other</v>
      </c>
    </row>
    <row r="78" spans="1:15">
      <c r="A78" s="1" t="s">
        <v>141</v>
      </c>
      <c r="B78" s="1" t="s">
        <v>26</v>
      </c>
      <c r="C78" s="1">
        <v>8</v>
      </c>
      <c r="D78" s="1">
        <v>103.7</v>
      </c>
      <c r="E78" s="11">
        <v>829.6</v>
      </c>
      <c r="F78" s="3">
        <v>45660</v>
      </c>
      <c r="G78" s="3">
        <v>45661</v>
      </c>
      <c r="H78" s="1" t="s">
        <v>27</v>
      </c>
      <c r="I78" s="1" t="s">
        <v>18</v>
      </c>
      <c r="J78" s="1">
        <v>3</v>
      </c>
      <c r="K78" s="1" t="s">
        <v>19</v>
      </c>
      <c r="L78" s="1" t="s">
        <v>110</v>
      </c>
      <c r="M78" s="1">
        <f>orders[[#This Row],[Ship Date]]-orders[[#This Row],[Order Date]]</f>
        <v>1</v>
      </c>
      <c r="N78" s="1">
        <f>WEEKNUM(orders[[#This Row],[Order Date]])</f>
        <v>1</v>
      </c>
      <c r="O78" s="1" t="str" cm="1">
        <f t="array" ref="O78">_xlfn.IFS(orders[[#This Row],[Customer Gender]]="M","Male", orders[[#This Row],[Customer Gender]]="F","Female", orders[[#This Row],[Customer Gender]]="O","Other", TRUE,"Unknown")</f>
        <v>Female</v>
      </c>
    </row>
    <row r="79" spans="1:15">
      <c r="A79" s="1" t="s">
        <v>142</v>
      </c>
      <c r="B79" s="1" t="s">
        <v>37</v>
      </c>
      <c r="C79" s="1">
        <v>4</v>
      </c>
      <c r="D79" s="1">
        <v>58.6</v>
      </c>
      <c r="E79" s="11">
        <v>234.4</v>
      </c>
      <c r="F79" s="3">
        <v>45660</v>
      </c>
      <c r="G79" s="3">
        <v>45662</v>
      </c>
      <c r="H79" s="1" t="s">
        <v>23</v>
      </c>
      <c r="I79" s="1" t="s">
        <v>51</v>
      </c>
      <c r="J79" s="1">
        <v>4</v>
      </c>
      <c r="K79" s="1" t="s">
        <v>19</v>
      </c>
      <c r="L79" s="1" t="s">
        <v>110</v>
      </c>
      <c r="M79" s="1">
        <f>orders[[#This Row],[Ship Date]]-orders[[#This Row],[Order Date]]</f>
        <v>2</v>
      </c>
      <c r="N79" s="1">
        <f>WEEKNUM(orders[[#This Row],[Order Date]])</f>
        <v>1</v>
      </c>
      <c r="O79" s="1" t="str" cm="1">
        <f t="array" ref="O79">_xlfn.IFS(orders[[#This Row],[Customer Gender]]="M","Male", orders[[#This Row],[Customer Gender]]="F","Female", orders[[#This Row],[Customer Gender]]="O","Other", TRUE,"Unknown")</f>
        <v>Male</v>
      </c>
    </row>
    <row r="80" spans="1:15">
      <c r="A80" s="1" t="s">
        <v>143</v>
      </c>
      <c r="B80" s="1" t="s">
        <v>46</v>
      </c>
      <c r="C80" s="1">
        <v>4</v>
      </c>
      <c r="D80" s="1">
        <v>54.8</v>
      </c>
      <c r="E80" s="11">
        <v>219.2</v>
      </c>
      <c r="F80" s="3">
        <v>45660</v>
      </c>
      <c r="G80" s="3">
        <v>45664</v>
      </c>
      <c r="H80" s="1" t="s">
        <v>27</v>
      </c>
      <c r="I80" s="1" t="s">
        <v>40</v>
      </c>
      <c r="J80" s="1">
        <v>3</v>
      </c>
      <c r="K80" s="1" t="s">
        <v>19</v>
      </c>
      <c r="L80" s="1" t="s">
        <v>82</v>
      </c>
      <c r="M80" s="1">
        <f>orders[[#This Row],[Ship Date]]-orders[[#This Row],[Order Date]]</f>
        <v>4</v>
      </c>
      <c r="N80" s="1">
        <f>WEEKNUM(orders[[#This Row],[Order Date]])</f>
        <v>1</v>
      </c>
      <c r="O80" s="1" t="str" cm="1">
        <f t="array" ref="O80">_xlfn.IFS(orders[[#This Row],[Customer Gender]]="M","Male", orders[[#This Row],[Customer Gender]]="F","Female", orders[[#This Row],[Customer Gender]]="O","Other", TRUE,"Unknown")</f>
        <v>Female</v>
      </c>
    </row>
    <row r="81" spans="1:15">
      <c r="A81" s="1" t="s">
        <v>144</v>
      </c>
      <c r="B81" s="1" t="s">
        <v>69</v>
      </c>
      <c r="C81" s="1">
        <v>3</v>
      </c>
      <c r="D81" s="1">
        <v>78.8</v>
      </c>
      <c r="E81" s="11">
        <v>236.39999999999998</v>
      </c>
      <c r="F81" s="3">
        <v>45660</v>
      </c>
      <c r="G81" s="3">
        <v>45666</v>
      </c>
      <c r="H81" s="1" t="s">
        <v>27</v>
      </c>
      <c r="I81" s="1" t="s">
        <v>70</v>
      </c>
      <c r="J81" s="1">
        <v>3</v>
      </c>
      <c r="K81" s="1" t="s">
        <v>19</v>
      </c>
      <c r="L81" s="1" t="s">
        <v>115</v>
      </c>
      <c r="M81" s="1">
        <f>orders[[#This Row],[Ship Date]]-orders[[#This Row],[Order Date]]</f>
        <v>6</v>
      </c>
      <c r="N81" s="1">
        <f>WEEKNUM(orders[[#This Row],[Order Date]])</f>
        <v>1</v>
      </c>
      <c r="O81" s="1" t="str" cm="1">
        <f t="array" ref="O81">_xlfn.IFS(orders[[#This Row],[Customer Gender]]="M","Male", orders[[#This Row],[Customer Gender]]="F","Female", orders[[#This Row],[Customer Gender]]="O","Other", TRUE,"Unknown")</f>
        <v>Female</v>
      </c>
    </row>
    <row r="82" spans="1:15">
      <c r="A82" s="1" t="s">
        <v>145</v>
      </c>
      <c r="B82" s="1" t="s">
        <v>146</v>
      </c>
      <c r="C82" s="1">
        <v>5</v>
      </c>
      <c r="D82" s="1">
        <v>36.799999999999997</v>
      </c>
      <c r="E82" s="11">
        <v>184</v>
      </c>
      <c r="F82" s="3">
        <v>45660</v>
      </c>
      <c r="G82" s="3">
        <v>45663</v>
      </c>
      <c r="H82" s="1" t="s">
        <v>23</v>
      </c>
      <c r="I82" s="1" t="s">
        <v>70</v>
      </c>
      <c r="J82" s="1">
        <v>3</v>
      </c>
      <c r="K82" s="1" t="s">
        <v>19</v>
      </c>
      <c r="L82" s="1" t="s">
        <v>147</v>
      </c>
      <c r="M82" s="1">
        <f>orders[[#This Row],[Ship Date]]-orders[[#This Row],[Order Date]]</f>
        <v>3</v>
      </c>
      <c r="N82" s="1">
        <f>WEEKNUM(orders[[#This Row],[Order Date]])</f>
        <v>1</v>
      </c>
      <c r="O82" s="1" t="str" cm="1">
        <f t="array" ref="O82">_xlfn.IFS(orders[[#This Row],[Customer Gender]]="M","Male", orders[[#This Row],[Customer Gender]]="F","Female", orders[[#This Row],[Customer Gender]]="O","Other", TRUE,"Unknown")</f>
        <v>Male</v>
      </c>
    </row>
    <row r="83" spans="1:15">
      <c r="A83" s="1" t="s">
        <v>148</v>
      </c>
      <c r="B83" s="1" t="s">
        <v>39</v>
      </c>
      <c r="C83" s="1">
        <v>6</v>
      </c>
      <c r="D83" s="1">
        <v>50.6</v>
      </c>
      <c r="E83" s="11">
        <v>303.60000000000002</v>
      </c>
      <c r="F83" s="3">
        <v>45660</v>
      </c>
      <c r="G83" s="3">
        <v>45662</v>
      </c>
      <c r="H83" s="1" t="s">
        <v>27</v>
      </c>
      <c r="I83" s="1" t="s">
        <v>51</v>
      </c>
      <c r="J83" s="1">
        <v>4</v>
      </c>
      <c r="K83" s="1" t="s">
        <v>19</v>
      </c>
      <c r="L83" s="1" t="s">
        <v>33</v>
      </c>
      <c r="M83" s="1">
        <f>orders[[#This Row],[Ship Date]]-orders[[#This Row],[Order Date]]</f>
        <v>2</v>
      </c>
      <c r="N83" s="1">
        <f>WEEKNUM(orders[[#This Row],[Order Date]])</f>
        <v>1</v>
      </c>
      <c r="O83" s="1" t="str" cm="1">
        <f t="array" ref="O83">_xlfn.IFS(orders[[#This Row],[Customer Gender]]="M","Male", orders[[#This Row],[Customer Gender]]="F","Female", orders[[#This Row],[Customer Gender]]="O","Other", TRUE,"Unknown")</f>
        <v>Female</v>
      </c>
    </row>
    <row r="84" spans="1:15">
      <c r="A84" s="1" t="s">
        <v>149</v>
      </c>
      <c r="B84" s="1" t="s">
        <v>123</v>
      </c>
      <c r="C84" s="1">
        <v>3</v>
      </c>
      <c r="D84" s="1">
        <v>36.799999999999997</v>
      </c>
      <c r="E84" s="11">
        <v>110.39999999999999</v>
      </c>
      <c r="F84" s="3">
        <v>45660</v>
      </c>
      <c r="G84" s="3">
        <v>45660</v>
      </c>
      <c r="H84" s="1" t="s">
        <v>23</v>
      </c>
      <c r="I84" s="1" t="s">
        <v>40</v>
      </c>
      <c r="J84" s="1">
        <v>3</v>
      </c>
      <c r="K84" s="1" t="s">
        <v>19</v>
      </c>
      <c r="L84" s="1" t="s">
        <v>33</v>
      </c>
      <c r="M84" s="1">
        <f>orders[[#This Row],[Ship Date]]-orders[[#This Row],[Order Date]]</f>
        <v>0</v>
      </c>
      <c r="N84" s="1">
        <f>WEEKNUM(orders[[#This Row],[Order Date]])</f>
        <v>1</v>
      </c>
      <c r="O84" s="1" t="str" cm="1">
        <f t="array" ref="O84">_xlfn.IFS(orders[[#This Row],[Customer Gender]]="M","Male", orders[[#This Row],[Customer Gender]]="F","Female", orders[[#This Row],[Customer Gender]]="O","Other", TRUE,"Unknown")</f>
        <v>Male</v>
      </c>
    </row>
    <row r="85" spans="1:15">
      <c r="A85" s="1" t="s">
        <v>150</v>
      </c>
      <c r="B85" s="1" t="s">
        <v>44</v>
      </c>
      <c r="C85" s="1">
        <v>9</v>
      </c>
      <c r="D85" s="1">
        <v>41.8</v>
      </c>
      <c r="E85" s="11">
        <v>376.2</v>
      </c>
      <c r="F85" s="3">
        <v>45661</v>
      </c>
      <c r="G85" s="3">
        <v>45667</v>
      </c>
      <c r="H85" s="1" t="s">
        <v>27</v>
      </c>
      <c r="I85" s="1" t="s">
        <v>51</v>
      </c>
      <c r="J85" s="1">
        <v>4</v>
      </c>
      <c r="K85" s="1" t="s">
        <v>19</v>
      </c>
      <c r="L85" s="1" t="s">
        <v>33</v>
      </c>
      <c r="M85" s="1">
        <f>orders[[#This Row],[Ship Date]]-orders[[#This Row],[Order Date]]</f>
        <v>6</v>
      </c>
      <c r="N85" s="1">
        <f>WEEKNUM(orders[[#This Row],[Order Date]])</f>
        <v>1</v>
      </c>
      <c r="O85" s="1" t="str" cm="1">
        <f t="array" ref="O85">_xlfn.IFS(orders[[#This Row],[Customer Gender]]="M","Male", orders[[#This Row],[Customer Gender]]="F","Female", orders[[#This Row],[Customer Gender]]="O","Other", TRUE,"Unknown")</f>
        <v>Female</v>
      </c>
    </row>
    <row r="86" spans="1:15">
      <c r="A86" s="1" t="s">
        <v>151</v>
      </c>
      <c r="B86" s="1" t="s">
        <v>146</v>
      </c>
      <c r="C86" s="1">
        <v>1</v>
      </c>
      <c r="D86" s="1">
        <v>77.3</v>
      </c>
      <c r="E86" s="11">
        <v>77.3</v>
      </c>
      <c r="F86" s="3">
        <v>45661</v>
      </c>
      <c r="G86" s="3">
        <v>45662</v>
      </c>
      <c r="H86" s="1" t="s">
        <v>23</v>
      </c>
      <c r="I86" s="1" t="s">
        <v>70</v>
      </c>
      <c r="J86" s="1">
        <v>2</v>
      </c>
      <c r="K86" s="1" t="s">
        <v>19</v>
      </c>
      <c r="L86" s="1" t="s">
        <v>33</v>
      </c>
      <c r="M86" s="1">
        <f>orders[[#This Row],[Ship Date]]-orders[[#This Row],[Order Date]]</f>
        <v>1</v>
      </c>
      <c r="N86" s="1">
        <f>WEEKNUM(orders[[#This Row],[Order Date]])</f>
        <v>1</v>
      </c>
      <c r="O86" s="1" t="str" cm="1">
        <f t="array" ref="O86">_xlfn.IFS(orders[[#This Row],[Customer Gender]]="M","Male", orders[[#This Row],[Customer Gender]]="F","Female", orders[[#This Row],[Customer Gender]]="O","Other", TRUE,"Unknown")</f>
        <v>Male</v>
      </c>
    </row>
    <row r="87" spans="1:15">
      <c r="A87" s="1" t="s">
        <v>152</v>
      </c>
      <c r="B87" s="1" t="s">
        <v>44</v>
      </c>
      <c r="C87" s="1">
        <v>4</v>
      </c>
      <c r="D87" s="1">
        <v>19.8</v>
      </c>
      <c r="E87" s="11">
        <v>79.2</v>
      </c>
      <c r="F87" s="3">
        <v>45661</v>
      </c>
      <c r="G87" s="3">
        <v>45667</v>
      </c>
      <c r="H87" s="1" t="s">
        <v>23</v>
      </c>
      <c r="I87" s="1" t="s">
        <v>35</v>
      </c>
      <c r="J87" s="1">
        <v>5</v>
      </c>
      <c r="K87" s="1" t="s">
        <v>19</v>
      </c>
      <c r="L87" s="1" t="s">
        <v>33</v>
      </c>
      <c r="M87" s="1">
        <f>orders[[#This Row],[Ship Date]]-orders[[#This Row],[Order Date]]</f>
        <v>6</v>
      </c>
      <c r="N87" s="1">
        <f>WEEKNUM(orders[[#This Row],[Order Date]])</f>
        <v>1</v>
      </c>
      <c r="O87" s="1" t="str" cm="1">
        <f t="array" ref="O87">_xlfn.IFS(orders[[#This Row],[Customer Gender]]="M","Male", orders[[#This Row],[Customer Gender]]="F","Female", orders[[#This Row],[Customer Gender]]="O","Other", TRUE,"Unknown")</f>
        <v>Male</v>
      </c>
    </row>
    <row r="88" spans="1:15">
      <c r="A88" s="1" t="s">
        <v>153</v>
      </c>
      <c r="B88" s="1" t="s">
        <v>76</v>
      </c>
      <c r="C88" s="1">
        <v>4</v>
      </c>
      <c r="D88" s="1">
        <v>15.5</v>
      </c>
      <c r="E88" s="11">
        <v>62</v>
      </c>
      <c r="F88" s="3">
        <v>45661</v>
      </c>
      <c r="G88" s="3">
        <v>45662</v>
      </c>
      <c r="H88" s="1" t="s">
        <v>27</v>
      </c>
      <c r="I88" s="1" t="s">
        <v>35</v>
      </c>
      <c r="J88" s="1">
        <v>5</v>
      </c>
      <c r="K88" s="1" t="s">
        <v>19</v>
      </c>
      <c r="L88" s="1" t="s">
        <v>33</v>
      </c>
      <c r="M88" s="1">
        <f>orders[[#This Row],[Ship Date]]-orders[[#This Row],[Order Date]]</f>
        <v>1</v>
      </c>
      <c r="N88" s="1">
        <f>WEEKNUM(orders[[#This Row],[Order Date]])</f>
        <v>1</v>
      </c>
      <c r="O88" s="1" t="str" cm="1">
        <f t="array" ref="O88">_xlfn.IFS(orders[[#This Row],[Customer Gender]]="M","Male", orders[[#This Row],[Customer Gender]]="F","Female", orders[[#This Row],[Customer Gender]]="O","Other", TRUE,"Unknown")</f>
        <v>Female</v>
      </c>
    </row>
    <row r="89" spans="1:15">
      <c r="A89" s="1" t="s">
        <v>154</v>
      </c>
      <c r="B89" s="1" t="s">
        <v>69</v>
      </c>
      <c r="C89" s="1">
        <v>1</v>
      </c>
      <c r="D89" s="1">
        <v>46.8</v>
      </c>
      <c r="E89" s="11">
        <v>46.8</v>
      </c>
      <c r="F89" s="3">
        <v>45661</v>
      </c>
      <c r="G89" s="3">
        <v>45665</v>
      </c>
      <c r="H89" s="1" t="s">
        <v>23</v>
      </c>
      <c r="I89" s="1" t="s">
        <v>18</v>
      </c>
      <c r="J89" s="1">
        <v>5</v>
      </c>
      <c r="K89" s="1" t="s">
        <v>19</v>
      </c>
      <c r="L89" s="1" t="s">
        <v>33</v>
      </c>
      <c r="M89" s="1">
        <f>orders[[#This Row],[Ship Date]]-orders[[#This Row],[Order Date]]</f>
        <v>4</v>
      </c>
      <c r="N89" s="1">
        <f>WEEKNUM(orders[[#This Row],[Order Date]])</f>
        <v>1</v>
      </c>
      <c r="O89" s="1" t="str" cm="1">
        <f t="array" ref="O89">_xlfn.IFS(orders[[#This Row],[Customer Gender]]="M","Male", orders[[#This Row],[Customer Gender]]="F","Female", orders[[#This Row],[Customer Gender]]="O","Other", TRUE,"Unknown")</f>
        <v>Male</v>
      </c>
    </row>
    <row r="90" spans="1:15">
      <c r="A90" s="1" t="s">
        <v>155</v>
      </c>
      <c r="B90" s="1" t="s">
        <v>46</v>
      </c>
      <c r="C90" s="1">
        <v>9</v>
      </c>
      <c r="D90" s="1">
        <v>28.6</v>
      </c>
      <c r="E90" s="11">
        <v>257.40000000000003</v>
      </c>
      <c r="F90" s="3">
        <v>45661</v>
      </c>
      <c r="G90" s="3">
        <v>45665</v>
      </c>
      <c r="H90" s="1" t="s">
        <v>23</v>
      </c>
      <c r="I90" s="1" t="s">
        <v>18</v>
      </c>
      <c r="J90" s="1">
        <v>5</v>
      </c>
      <c r="K90" s="1" t="s">
        <v>19</v>
      </c>
      <c r="L90" s="1" t="s">
        <v>33</v>
      </c>
      <c r="M90" s="1">
        <f>orders[[#This Row],[Ship Date]]-orders[[#This Row],[Order Date]]</f>
        <v>4</v>
      </c>
      <c r="N90" s="1">
        <f>WEEKNUM(orders[[#This Row],[Order Date]])</f>
        <v>1</v>
      </c>
      <c r="O90" s="1" t="str" cm="1">
        <f t="array" ref="O90">_xlfn.IFS(orders[[#This Row],[Customer Gender]]="M","Male", orders[[#This Row],[Customer Gender]]="F","Female", orders[[#This Row],[Customer Gender]]="O","Other", TRUE,"Unknown")</f>
        <v>Male</v>
      </c>
    </row>
    <row r="91" spans="1:15">
      <c r="A91" s="1" t="s">
        <v>156</v>
      </c>
      <c r="B91" s="1" t="s">
        <v>26</v>
      </c>
      <c r="C91" s="1">
        <v>1</v>
      </c>
      <c r="D91" s="1">
        <v>97.7</v>
      </c>
      <c r="E91" s="11">
        <v>97.7</v>
      </c>
      <c r="F91" s="3">
        <v>45661</v>
      </c>
      <c r="G91" s="3">
        <v>45664</v>
      </c>
      <c r="H91" s="1" t="s">
        <v>27</v>
      </c>
      <c r="I91" s="1" t="s">
        <v>35</v>
      </c>
      <c r="J91" s="1">
        <v>4</v>
      </c>
      <c r="K91" s="1" t="s">
        <v>19</v>
      </c>
      <c r="L91" s="1" t="s">
        <v>33</v>
      </c>
      <c r="M91" s="1">
        <f>orders[[#This Row],[Ship Date]]-orders[[#This Row],[Order Date]]</f>
        <v>3</v>
      </c>
      <c r="N91" s="1">
        <f>WEEKNUM(orders[[#This Row],[Order Date]])</f>
        <v>1</v>
      </c>
      <c r="O91" s="1" t="str" cm="1">
        <f t="array" ref="O91">_xlfn.IFS(orders[[#This Row],[Customer Gender]]="M","Male", orders[[#This Row],[Customer Gender]]="F","Female", orders[[#This Row],[Customer Gender]]="O","Other", TRUE,"Unknown")</f>
        <v>Female</v>
      </c>
    </row>
    <row r="92" spans="1:15">
      <c r="A92" s="1" t="s">
        <v>157</v>
      </c>
      <c r="B92" s="1" t="s">
        <v>46</v>
      </c>
      <c r="C92" s="1">
        <v>5</v>
      </c>
      <c r="D92" s="1">
        <v>54.7</v>
      </c>
      <c r="E92" s="11">
        <v>273.5</v>
      </c>
      <c r="F92" s="3">
        <v>45661</v>
      </c>
      <c r="G92" s="3">
        <v>45664</v>
      </c>
      <c r="H92" s="1" t="s">
        <v>17</v>
      </c>
      <c r="I92" s="1" t="s">
        <v>18</v>
      </c>
      <c r="J92" s="1">
        <v>5</v>
      </c>
      <c r="K92" s="1" t="s">
        <v>19</v>
      </c>
      <c r="L92" s="1" t="s">
        <v>158</v>
      </c>
      <c r="M92" s="1">
        <f>orders[[#This Row],[Ship Date]]-orders[[#This Row],[Order Date]]</f>
        <v>3</v>
      </c>
      <c r="N92" s="1">
        <f>WEEKNUM(orders[[#This Row],[Order Date]])</f>
        <v>1</v>
      </c>
      <c r="O92" s="1" t="str" cm="1">
        <f t="array" ref="O92">_xlfn.IFS(orders[[#This Row],[Customer Gender]]="M","Male", orders[[#This Row],[Customer Gender]]="F","Female", orders[[#This Row],[Customer Gender]]="O","Other", TRUE,"Unknown")</f>
        <v>Unknown</v>
      </c>
    </row>
    <row r="93" spans="1:15">
      <c r="A93" s="1" t="s">
        <v>159</v>
      </c>
      <c r="B93" s="1" t="s">
        <v>26</v>
      </c>
      <c r="C93" s="1">
        <v>6</v>
      </c>
      <c r="D93" s="1">
        <v>130.5</v>
      </c>
      <c r="E93" s="11">
        <v>783</v>
      </c>
      <c r="F93" s="3">
        <v>45661</v>
      </c>
      <c r="G93" s="3">
        <v>45663</v>
      </c>
      <c r="H93" s="1" t="s">
        <v>27</v>
      </c>
      <c r="I93" s="1" t="s">
        <v>18</v>
      </c>
      <c r="J93" s="1">
        <v>3</v>
      </c>
      <c r="K93" s="1" t="s">
        <v>19</v>
      </c>
      <c r="L93" s="1" t="s">
        <v>158</v>
      </c>
      <c r="M93" s="1">
        <f>orders[[#This Row],[Ship Date]]-orders[[#This Row],[Order Date]]</f>
        <v>2</v>
      </c>
      <c r="N93" s="1">
        <f>WEEKNUM(orders[[#This Row],[Order Date]])</f>
        <v>1</v>
      </c>
      <c r="O93" s="1" t="str" cm="1">
        <f t="array" ref="O93">_xlfn.IFS(orders[[#This Row],[Customer Gender]]="M","Male", orders[[#This Row],[Customer Gender]]="F","Female", orders[[#This Row],[Customer Gender]]="O","Other", TRUE,"Unknown")</f>
        <v>Female</v>
      </c>
    </row>
    <row r="94" spans="1:15">
      <c r="A94" s="1" t="s">
        <v>160</v>
      </c>
      <c r="B94" s="1" t="s">
        <v>67</v>
      </c>
      <c r="C94" s="1">
        <v>2</v>
      </c>
      <c r="D94" s="1">
        <v>50.4</v>
      </c>
      <c r="E94" s="11">
        <v>100.8</v>
      </c>
      <c r="F94" s="3">
        <v>45661</v>
      </c>
      <c r="G94" s="3">
        <v>45663</v>
      </c>
      <c r="H94" s="1" t="s">
        <v>23</v>
      </c>
      <c r="I94" s="1" t="s">
        <v>40</v>
      </c>
      <c r="J94" s="1">
        <v>5</v>
      </c>
      <c r="K94" s="1" t="s">
        <v>19</v>
      </c>
      <c r="L94" s="1" t="s">
        <v>55</v>
      </c>
      <c r="M94" s="1">
        <f>orders[[#This Row],[Ship Date]]-orders[[#This Row],[Order Date]]</f>
        <v>2</v>
      </c>
      <c r="N94" s="1">
        <f>WEEKNUM(orders[[#This Row],[Order Date]])</f>
        <v>1</v>
      </c>
      <c r="O94" s="1" t="str" cm="1">
        <f t="array" ref="O94">_xlfn.IFS(orders[[#This Row],[Customer Gender]]="M","Male", orders[[#This Row],[Customer Gender]]="F","Female", orders[[#This Row],[Customer Gender]]="O","Other", TRUE,"Unknown")</f>
        <v>Male</v>
      </c>
    </row>
    <row r="95" spans="1:15">
      <c r="A95" s="1" t="s">
        <v>161</v>
      </c>
      <c r="B95" s="1" t="s">
        <v>39</v>
      </c>
      <c r="C95" s="1">
        <v>13</v>
      </c>
      <c r="D95" s="1">
        <v>61.5</v>
      </c>
      <c r="E95" s="11">
        <v>799.5</v>
      </c>
      <c r="F95" s="3">
        <v>45661</v>
      </c>
      <c r="G95" s="3">
        <v>45662</v>
      </c>
      <c r="H95" s="1" t="s">
        <v>17</v>
      </c>
      <c r="I95" s="1" t="s">
        <v>51</v>
      </c>
      <c r="J95" s="1">
        <v>3</v>
      </c>
      <c r="K95" s="1" t="s">
        <v>19</v>
      </c>
      <c r="L95" s="1" t="s">
        <v>77</v>
      </c>
      <c r="M95" s="1">
        <f>orders[[#This Row],[Ship Date]]-orders[[#This Row],[Order Date]]</f>
        <v>1</v>
      </c>
      <c r="N95" s="1">
        <f>WEEKNUM(orders[[#This Row],[Order Date]])</f>
        <v>1</v>
      </c>
      <c r="O95" s="1" t="str" cm="1">
        <f t="array" ref="O95">_xlfn.IFS(orders[[#This Row],[Customer Gender]]="M","Male", orders[[#This Row],[Customer Gender]]="F","Female", orders[[#This Row],[Customer Gender]]="O","Other", TRUE,"Unknown")</f>
        <v>Unknown</v>
      </c>
    </row>
    <row r="96" spans="1:15">
      <c r="A96" s="1" t="s">
        <v>162</v>
      </c>
      <c r="B96" s="1" t="s">
        <v>46</v>
      </c>
      <c r="C96" s="1">
        <v>4</v>
      </c>
      <c r="D96" s="1">
        <v>30.1</v>
      </c>
      <c r="E96" s="11">
        <v>120.4</v>
      </c>
      <c r="F96" s="3">
        <v>45661</v>
      </c>
      <c r="G96" s="3">
        <v>45662</v>
      </c>
      <c r="H96" s="1" t="s">
        <v>27</v>
      </c>
      <c r="I96" s="1" t="s">
        <v>18</v>
      </c>
      <c r="J96" s="1">
        <v>5</v>
      </c>
      <c r="K96" s="1" t="s">
        <v>19</v>
      </c>
      <c r="L96" s="1" t="s">
        <v>115</v>
      </c>
      <c r="M96" s="1">
        <f>orders[[#This Row],[Ship Date]]-orders[[#This Row],[Order Date]]</f>
        <v>1</v>
      </c>
      <c r="N96" s="1">
        <f>WEEKNUM(orders[[#This Row],[Order Date]])</f>
        <v>1</v>
      </c>
      <c r="O96" s="1" t="str" cm="1">
        <f t="array" ref="O96">_xlfn.IFS(orders[[#This Row],[Customer Gender]]="M","Male", orders[[#This Row],[Customer Gender]]="F","Female", orders[[#This Row],[Customer Gender]]="O","Other", TRUE,"Unknown")</f>
        <v>Female</v>
      </c>
    </row>
    <row r="97" spans="1:15">
      <c r="A97" s="1" t="s">
        <v>163</v>
      </c>
      <c r="B97" s="1" t="s">
        <v>26</v>
      </c>
      <c r="C97" s="1">
        <v>5</v>
      </c>
      <c r="D97" s="1">
        <v>74.8</v>
      </c>
      <c r="E97" s="11">
        <v>374</v>
      </c>
      <c r="F97" s="3">
        <v>45661</v>
      </c>
      <c r="G97" s="3">
        <v>45662</v>
      </c>
      <c r="H97" s="1" t="s">
        <v>27</v>
      </c>
      <c r="I97" s="1" t="s">
        <v>35</v>
      </c>
      <c r="J97" s="1">
        <v>4</v>
      </c>
      <c r="K97" s="1" t="s">
        <v>19</v>
      </c>
      <c r="L97" s="1" t="s">
        <v>24</v>
      </c>
      <c r="M97" s="1">
        <f>orders[[#This Row],[Ship Date]]-orders[[#This Row],[Order Date]]</f>
        <v>1</v>
      </c>
      <c r="N97" s="1">
        <f>WEEKNUM(orders[[#This Row],[Order Date]])</f>
        <v>1</v>
      </c>
      <c r="O97" s="1" t="str" cm="1">
        <f t="array" ref="O97">_xlfn.IFS(orders[[#This Row],[Customer Gender]]="M","Male", orders[[#This Row],[Customer Gender]]="F","Female", orders[[#This Row],[Customer Gender]]="O","Other", TRUE,"Unknown")</f>
        <v>Female</v>
      </c>
    </row>
    <row r="98" spans="1:15">
      <c r="A98" s="1" t="s">
        <v>164</v>
      </c>
      <c r="B98" s="1" t="s">
        <v>128</v>
      </c>
      <c r="C98" s="1">
        <v>3</v>
      </c>
      <c r="D98" s="1">
        <v>64.900000000000006</v>
      </c>
      <c r="E98" s="11">
        <v>194.70000000000002</v>
      </c>
      <c r="F98" s="3">
        <v>45661</v>
      </c>
      <c r="G98" s="3">
        <v>45668</v>
      </c>
      <c r="H98" s="1" t="s">
        <v>23</v>
      </c>
      <c r="I98" s="1" t="s">
        <v>18</v>
      </c>
      <c r="J98" s="1">
        <v>4</v>
      </c>
      <c r="K98" s="1" t="s">
        <v>19</v>
      </c>
      <c r="L98" s="1" t="s">
        <v>28</v>
      </c>
      <c r="M98" s="1">
        <f>orders[[#This Row],[Ship Date]]-orders[[#This Row],[Order Date]]</f>
        <v>7</v>
      </c>
      <c r="N98" s="1">
        <f>WEEKNUM(orders[[#This Row],[Order Date]])</f>
        <v>1</v>
      </c>
      <c r="O98" s="1" t="str" cm="1">
        <f t="array" ref="O98">_xlfn.IFS(orders[[#This Row],[Customer Gender]]="M","Male", orders[[#This Row],[Customer Gender]]="F","Female", orders[[#This Row],[Customer Gender]]="O","Other", TRUE,"Unknown")</f>
        <v>Male</v>
      </c>
    </row>
    <row r="99" spans="1:15">
      <c r="A99" s="1" t="s">
        <v>165</v>
      </c>
      <c r="B99" s="1" t="s">
        <v>46</v>
      </c>
      <c r="C99" s="1">
        <v>2</v>
      </c>
      <c r="D99" s="1">
        <v>50.5</v>
      </c>
      <c r="E99" s="11">
        <v>101</v>
      </c>
      <c r="F99" s="3">
        <v>45661</v>
      </c>
      <c r="G99" s="3">
        <v>45663</v>
      </c>
      <c r="H99" s="1" t="s">
        <v>23</v>
      </c>
      <c r="I99" s="1" t="s">
        <v>35</v>
      </c>
      <c r="J99" s="1">
        <v>4</v>
      </c>
      <c r="K99" s="1" t="s">
        <v>19</v>
      </c>
      <c r="L99" s="1" t="s">
        <v>147</v>
      </c>
      <c r="M99" s="1">
        <f>orders[[#This Row],[Ship Date]]-orders[[#This Row],[Order Date]]</f>
        <v>2</v>
      </c>
      <c r="N99" s="1">
        <f>WEEKNUM(orders[[#This Row],[Order Date]])</f>
        <v>1</v>
      </c>
      <c r="O99" s="1" t="str" cm="1">
        <f t="array" ref="O99">_xlfn.IFS(orders[[#This Row],[Customer Gender]]="M","Male", orders[[#This Row],[Customer Gender]]="F","Female", orders[[#This Row],[Customer Gender]]="O","Other", TRUE,"Unknown")</f>
        <v>Male</v>
      </c>
    </row>
    <row r="100" spans="1:15">
      <c r="A100" s="1" t="s">
        <v>166</v>
      </c>
      <c r="B100" s="1" t="s">
        <v>67</v>
      </c>
      <c r="C100" s="1">
        <v>7</v>
      </c>
      <c r="D100" s="1">
        <v>63</v>
      </c>
      <c r="E100" s="11">
        <v>441</v>
      </c>
      <c r="F100" s="3">
        <v>45661</v>
      </c>
      <c r="G100" s="3">
        <v>45664</v>
      </c>
      <c r="H100" s="1" t="s">
        <v>23</v>
      </c>
      <c r="I100" s="1" t="s">
        <v>51</v>
      </c>
      <c r="J100" s="1">
        <v>5</v>
      </c>
      <c r="K100" s="1" t="s">
        <v>19</v>
      </c>
      <c r="L100" s="1" t="s">
        <v>33</v>
      </c>
      <c r="M100" s="1">
        <f>orders[[#This Row],[Ship Date]]-orders[[#This Row],[Order Date]]</f>
        <v>3</v>
      </c>
      <c r="N100" s="1">
        <f>WEEKNUM(orders[[#This Row],[Order Date]])</f>
        <v>1</v>
      </c>
      <c r="O100" s="1" t="str" cm="1">
        <f t="array" ref="O100">_xlfn.IFS(orders[[#This Row],[Customer Gender]]="M","Male", orders[[#This Row],[Customer Gender]]="F","Female", orders[[#This Row],[Customer Gender]]="O","Other", TRUE,"Unknown")</f>
        <v>Male</v>
      </c>
    </row>
    <row r="101" spans="1:15">
      <c r="A101" s="1" t="s">
        <v>167</v>
      </c>
      <c r="B101" s="1" t="s">
        <v>26</v>
      </c>
      <c r="C101" s="1">
        <v>3</v>
      </c>
      <c r="D101" s="1">
        <v>93.6</v>
      </c>
      <c r="E101" s="11">
        <v>280.79999999999995</v>
      </c>
      <c r="F101" s="3">
        <v>45661</v>
      </c>
      <c r="G101" s="3">
        <v>45674</v>
      </c>
      <c r="H101" s="1" t="s">
        <v>27</v>
      </c>
      <c r="I101" s="1" t="s">
        <v>18</v>
      </c>
      <c r="J101" s="1">
        <v>5</v>
      </c>
      <c r="K101" s="1" t="s">
        <v>19</v>
      </c>
      <c r="L101" s="1" t="s">
        <v>33</v>
      </c>
      <c r="M101" s="1">
        <f>orders[[#This Row],[Ship Date]]-orders[[#This Row],[Order Date]]</f>
        <v>13</v>
      </c>
      <c r="N101" s="1">
        <f>WEEKNUM(orders[[#This Row],[Order Date]])</f>
        <v>1</v>
      </c>
      <c r="O101" s="1" t="str" cm="1">
        <f t="array" ref="O101">_xlfn.IFS(orders[[#This Row],[Customer Gender]]="M","Male", orders[[#This Row],[Customer Gender]]="F","Female", orders[[#This Row],[Customer Gender]]="O","Other", TRUE,"Unknown")</f>
        <v>Female</v>
      </c>
    </row>
    <row r="102" spans="1:15">
      <c r="A102" s="1" t="s">
        <v>168</v>
      </c>
      <c r="B102" s="1" t="s">
        <v>37</v>
      </c>
      <c r="C102" s="1">
        <v>30</v>
      </c>
      <c r="D102" s="1">
        <v>41.4</v>
      </c>
      <c r="E102" s="11">
        <v>1242</v>
      </c>
      <c r="F102" s="3">
        <v>45661</v>
      </c>
      <c r="G102" s="3">
        <v>45665</v>
      </c>
      <c r="H102" s="1" t="s">
        <v>23</v>
      </c>
      <c r="I102" s="1" t="s">
        <v>40</v>
      </c>
      <c r="J102" s="1">
        <v>5</v>
      </c>
      <c r="K102" s="1" t="s">
        <v>19</v>
      </c>
      <c r="L102" s="1" t="s">
        <v>33</v>
      </c>
      <c r="M102" s="1">
        <f>orders[[#This Row],[Ship Date]]-orders[[#This Row],[Order Date]]</f>
        <v>4</v>
      </c>
      <c r="N102" s="1">
        <f>WEEKNUM(orders[[#This Row],[Order Date]])</f>
        <v>1</v>
      </c>
      <c r="O102" s="1" t="str" cm="1">
        <f t="array" ref="O102">_xlfn.IFS(orders[[#This Row],[Customer Gender]]="M","Male", orders[[#This Row],[Customer Gender]]="F","Female", orders[[#This Row],[Customer Gender]]="O","Other", TRUE,"Unknown")</f>
        <v>Male</v>
      </c>
    </row>
    <row r="103" spans="1:15">
      <c r="A103" s="1" t="s">
        <v>169</v>
      </c>
      <c r="B103" s="1" t="s">
        <v>26</v>
      </c>
      <c r="C103" s="1">
        <v>2</v>
      </c>
      <c r="D103" s="1">
        <v>160</v>
      </c>
      <c r="E103" s="11">
        <v>320</v>
      </c>
      <c r="F103" s="3">
        <v>45662</v>
      </c>
      <c r="G103" s="3">
        <v>45663</v>
      </c>
      <c r="H103" s="1" t="s">
        <v>23</v>
      </c>
      <c r="I103" s="1" t="s">
        <v>40</v>
      </c>
      <c r="J103" s="1">
        <v>5</v>
      </c>
      <c r="K103" s="1" t="s">
        <v>19</v>
      </c>
      <c r="L103" s="1" t="s">
        <v>52</v>
      </c>
      <c r="M103" s="1">
        <f>orders[[#This Row],[Ship Date]]-orders[[#This Row],[Order Date]]</f>
        <v>1</v>
      </c>
      <c r="N103" s="1">
        <f>WEEKNUM(orders[[#This Row],[Order Date]])</f>
        <v>2</v>
      </c>
      <c r="O103" s="1" t="str" cm="1">
        <f t="array" ref="O103">_xlfn.IFS(orders[[#This Row],[Customer Gender]]="M","Male", orders[[#This Row],[Customer Gender]]="F","Female", orders[[#This Row],[Customer Gender]]="O","Other", TRUE,"Unknown")</f>
        <v>Male</v>
      </c>
    </row>
    <row r="104" spans="1:15">
      <c r="A104" s="1" t="s">
        <v>170</v>
      </c>
      <c r="B104" s="1" t="s">
        <v>171</v>
      </c>
      <c r="C104" s="1">
        <v>11</v>
      </c>
      <c r="D104" s="1">
        <v>10.5</v>
      </c>
      <c r="E104" s="11">
        <v>115.5</v>
      </c>
      <c r="F104" s="3">
        <v>45662</v>
      </c>
      <c r="G104" s="3">
        <v>45665</v>
      </c>
      <c r="H104" s="1" t="s">
        <v>27</v>
      </c>
      <c r="I104" s="1" t="s">
        <v>70</v>
      </c>
      <c r="J104" s="1">
        <v>4</v>
      </c>
      <c r="K104" s="1" t="s">
        <v>19</v>
      </c>
      <c r="L104" s="1" t="s">
        <v>62</v>
      </c>
      <c r="M104" s="1">
        <f>orders[[#This Row],[Ship Date]]-orders[[#This Row],[Order Date]]</f>
        <v>3</v>
      </c>
      <c r="N104" s="1">
        <f>WEEKNUM(orders[[#This Row],[Order Date]])</f>
        <v>2</v>
      </c>
      <c r="O104" s="1" t="str" cm="1">
        <f t="array" ref="O104">_xlfn.IFS(orders[[#This Row],[Customer Gender]]="M","Male", orders[[#This Row],[Customer Gender]]="F","Female", orders[[#This Row],[Customer Gender]]="O","Other", TRUE,"Unknown")</f>
        <v>Female</v>
      </c>
    </row>
    <row r="105" spans="1:15">
      <c r="A105" s="1" t="s">
        <v>172</v>
      </c>
      <c r="B105" s="1" t="s">
        <v>54</v>
      </c>
      <c r="C105" s="1">
        <v>2</v>
      </c>
      <c r="D105" s="1">
        <v>53</v>
      </c>
      <c r="E105" s="11">
        <v>106</v>
      </c>
      <c r="F105" s="3">
        <v>45662</v>
      </c>
      <c r="G105" s="3">
        <v>45662</v>
      </c>
      <c r="H105" s="1" t="s">
        <v>23</v>
      </c>
      <c r="I105" s="1" t="s">
        <v>40</v>
      </c>
      <c r="J105" s="1">
        <v>2</v>
      </c>
      <c r="K105" s="1" t="s">
        <v>19</v>
      </c>
      <c r="L105" s="1" t="s">
        <v>103</v>
      </c>
      <c r="M105" s="1">
        <f>orders[[#This Row],[Ship Date]]-orders[[#This Row],[Order Date]]</f>
        <v>0</v>
      </c>
      <c r="N105" s="1">
        <f>WEEKNUM(orders[[#This Row],[Order Date]])</f>
        <v>2</v>
      </c>
      <c r="O105" s="1" t="str" cm="1">
        <f t="array" ref="O105">_xlfn.IFS(orders[[#This Row],[Customer Gender]]="M","Male", orders[[#This Row],[Customer Gender]]="F","Female", orders[[#This Row],[Customer Gender]]="O","Other", TRUE,"Unknown")</f>
        <v>Male</v>
      </c>
    </row>
    <row r="106" spans="1:15">
      <c r="A106" s="1" t="s">
        <v>173</v>
      </c>
      <c r="B106" s="1" t="s">
        <v>44</v>
      </c>
      <c r="C106" s="1">
        <v>3</v>
      </c>
      <c r="D106" s="1">
        <v>18.5</v>
      </c>
      <c r="E106" s="11">
        <v>55.5</v>
      </c>
      <c r="F106" s="3">
        <v>45662</v>
      </c>
      <c r="G106" s="3">
        <v>45667</v>
      </c>
      <c r="H106" s="1" t="s">
        <v>27</v>
      </c>
      <c r="I106" s="1" t="s">
        <v>35</v>
      </c>
      <c r="J106" s="1">
        <v>5</v>
      </c>
      <c r="K106" s="1" t="s">
        <v>19</v>
      </c>
      <c r="L106" s="1" t="s">
        <v>77</v>
      </c>
      <c r="M106" s="1">
        <f>orders[[#This Row],[Ship Date]]-orders[[#This Row],[Order Date]]</f>
        <v>5</v>
      </c>
      <c r="N106" s="1">
        <f>WEEKNUM(orders[[#This Row],[Order Date]])</f>
        <v>2</v>
      </c>
      <c r="O106" s="1" t="str" cm="1">
        <f t="array" ref="O106">_xlfn.IFS(orders[[#This Row],[Customer Gender]]="M","Male", orders[[#This Row],[Customer Gender]]="F","Female", orders[[#This Row],[Customer Gender]]="O","Other", TRUE,"Unknown")</f>
        <v>Female</v>
      </c>
    </row>
    <row r="107" spans="1:15">
      <c r="A107" s="1" t="s">
        <v>174</v>
      </c>
      <c r="B107" s="1" t="s">
        <v>128</v>
      </c>
      <c r="C107" s="1">
        <v>3</v>
      </c>
      <c r="D107" s="1">
        <v>84.5</v>
      </c>
      <c r="E107" s="11">
        <v>253.5</v>
      </c>
      <c r="F107" s="3">
        <v>45662</v>
      </c>
      <c r="G107" s="3">
        <v>45664</v>
      </c>
      <c r="H107" s="1" t="s">
        <v>27</v>
      </c>
      <c r="I107" s="1" t="s">
        <v>70</v>
      </c>
      <c r="J107" s="1">
        <v>3</v>
      </c>
      <c r="K107" s="1" t="s">
        <v>19</v>
      </c>
      <c r="L107" s="1" t="s">
        <v>82</v>
      </c>
      <c r="M107" s="1">
        <f>orders[[#This Row],[Ship Date]]-orders[[#This Row],[Order Date]]</f>
        <v>2</v>
      </c>
      <c r="N107" s="1">
        <f>WEEKNUM(orders[[#This Row],[Order Date]])</f>
        <v>2</v>
      </c>
      <c r="O107" s="1" t="str" cm="1">
        <f t="array" ref="O107">_xlfn.IFS(orders[[#This Row],[Customer Gender]]="M","Male", orders[[#This Row],[Customer Gender]]="F","Female", orders[[#This Row],[Customer Gender]]="O","Other", TRUE,"Unknown")</f>
        <v>Female</v>
      </c>
    </row>
    <row r="108" spans="1:15">
      <c r="A108" s="1" t="s">
        <v>175</v>
      </c>
      <c r="B108" s="1" t="s">
        <v>123</v>
      </c>
      <c r="C108" s="1">
        <v>7</v>
      </c>
      <c r="D108" s="1">
        <v>31.2</v>
      </c>
      <c r="E108" s="11">
        <v>218.4</v>
      </c>
      <c r="F108" s="3">
        <v>45662</v>
      </c>
      <c r="G108" s="3">
        <v>45662</v>
      </c>
      <c r="H108" s="1" t="s">
        <v>27</v>
      </c>
      <c r="I108" s="1" t="s">
        <v>40</v>
      </c>
      <c r="J108" s="1">
        <v>5</v>
      </c>
      <c r="K108" s="1" t="s">
        <v>19</v>
      </c>
      <c r="L108" s="1" t="s">
        <v>33</v>
      </c>
      <c r="M108" s="1">
        <f>orders[[#This Row],[Ship Date]]-orders[[#This Row],[Order Date]]</f>
        <v>0</v>
      </c>
      <c r="N108" s="1">
        <f>WEEKNUM(orders[[#This Row],[Order Date]])</f>
        <v>2</v>
      </c>
      <c r="O108" s="1" t="str" cm="1">
        <f t="array" ref="O108">_xlfn.IFS(orders[[#This Row],[Customer Gender]]="M","Male", orders[[#This Row],[Customer Gender]]="F","Female", orders[[#This Row],[Customer Gender]]="O","Other", TRUE,"Unknown")</f>
        <v>Female</v>
      </c>
    </row>
    <row r="109" spans="1:15">
      <c r="A109" s="1" t="s">
        <v>176</v>
      </c>
      <c r="B109" s="1" t="s">
        <v>44</v>
      </c>
      <c r="C109" s="1">
        <v>18</v>
      </c>
      <c r="D109" s="1">
        <v>32.6</v>
      </c>
      <c r="E109" s="11">
        <v>586.80000000000007</v>
      </c>
      <c r="F109" s="3">
        <v>45662</v>
      </c>
      <c r="G109" s="3">
        <v>45663</v>
      </c>
      <c r="H109" s="1" t="s">
        <v>23</v>
      </c>
      <c r="I109" s="1" t="s">
        <v>35</v>
      </c>
      <c r="J109" s="1">
        <v>3</v>
      </c>
      <c r="K109" s="1" t="s">
        <v>19</v>
      </c>
      <c r="L109" s="1" t="s">
        <v>33</v>
      </c>
      <c r="M109" s="1">
        <f>orders[[#This Row],[Ship Date]]-orders[[#This Row],[Order Date]]</f>
        <v>1</v>
      </c>
      <c r="N109" s="1">
        <f>WEEKNUM(orders[[#This Row],[Order Date]])</f>
        <v>2</v>
      </c>
      <c r="O109" s="1" t="str" cm="1">
        <f t="array" ref="O109">_xlfn.IFS(orders[[#This Row],[Customer Gender]]="M","Male", orders[[#This Row],[Customer Gender]]="F","Female", orders[[#This Row],[Customer Gender]]="O","Other", TRUE,"Unknown")</f>
        <v>Male</v>
      </c>
    </row>
    <row r="110" spans="1:15">
      <c r="A110" s="1" t="s">
        <v>177</v>
      </c>
      <c r="B110" s="1" t="s">
        <v>54</v>
      </c>
      <c r="C110" s="1">
        <v>4</v>
      </c>
      <c r="D110" s="1">
        <v>45.4</v>
      </c>
      <c r="E110" s="11">
        <v>181.6</v>
      </c>
      <c r="F110" s="3">
        <v>45662</v>
      </c>
      <c r="G110" s="3">
        <v>45664</v>
      </c>
      <c r="H110" s="1" t="s">
        <v>23</v>
      </c>
      <c r="I110" s="1" t="s">
        <v>35</v>
      </c>
      <c r="J110" s="1">
        <v>4</v>
      </c>
      <c r="K110" s="1" t="s">
        <v>19</v>
      </c>
      <c r="L110" s="1" t="s">
        <v>33</v>
      </c>
      <c r="M110" s="1">
        <f>orders[[#This Row],[Ship Date]]-orders[[#This Row],[Order Date]]</f>
        <v>2</v>
      </c>
      <c r="N110" s="1">
        <f>WEEKNUM(orders[[#This Row],[Order Date]])</f>
        <v>2</v>
      </c>
      <c r="O110" s="1" t="str" cm="1">
        <f t="array" ref="O110">_xlfn.IFS(orders[[#This Row],[Customer Gender]]="M","Male", orders[[#This Row],[Customer Gender]]="F","Female", orders[[#This Row],[Customer Gender]]="O","Other", TRUE,"Unknown")</f>
        <v>Male</v>
      </c>
    </row>
    <row r="111" spans="1:15">
      <c r="A111" s="1" t="s">
        <v>178</v>
      </c>
      <c r="B111" s="1" t="s">
        <v>26</v>
      </c>
      <c r="C111" s="1">
        <v>12</v>
      </c>
      <c r="D111" s="1">
        <v>120</v>
      </c>
      <c r="E111" s="11">
        <v>1440</v>
      </c>
      <c r="F111" s="3">
        <v>45662</v>
      </c>
      <c r="G111" s="3">
        <v>45663</v>
      </c>
      <c r="H111" s="1" t="s">
        <v>27</v>
      </c>
      <c r="I111" s="1" t="s">
        <v>40</v>
      </c>
      <c r="J111" s="1">
        <v>2</v>
      </c>
      <c r="K111" s="1" t="s">
        <v>19</v>
      </c>
      <c r="L111" s="1" t="s">
        <v>33</v>
      </c>
      <c r="M111" s="1">
        <f>orders[[#This Row],[Ship Date]]-orders[[#This Row],[Order Date]]</f>
        <v>1</v>
      </c>
      <c r="N111" s="1">
        <f>WEEKNUM(orders[[#This Row],[Order Date]])</f>
        <v>2</v>
      </c>
      <c r="O111" s="1" t="str" cm="1">
        <f t="array" ref="O111">_xlfn.IFS(orders[[#This Row],[Customer Gender]]="M","Male", orders[[#This Row],[Customer Gender]]="F","Female", orders[[#This Row],[Customer Gender]]="O","Other", TRUE,"Unknown")</f>
        <v>Female</v>
      </c>
    </row>
    <row r="112" spans="1:15">
      <c r="A112" s="1" t="s">
        <v>179</v>
      </c>
      <c r="B112" s="1" t="s">
        <v>16</v>
      </c>
      <c r="C112" s="1">
        <v>4</v>
      </c>
      <c r="D112" s="1">
        <v>18.899999999999999</v>
      </c>
      <c r="E112" s="11">
        <v>75.599999999999994</v>
      </c>
      <c r="F112" s="3">
        <v>45662</v>
      </c>
      <c r="G112" s="3">
        <v>45664</v>
      </c>
      <c r="H112" s="1" t="s">
        <v>23</v>
      </c>
      <c r="I112" s="1" t="s">
        <v>18</v>
      </c>
      <c r="J112" s="1">
        <v>5</v>
      </c>
      <c r="K112" s="1" t="s">
        <v>19</v>
      </c>
      <c r="L112" s="1" t="s">
        <v>33</v>
      </c>
      <c r="M112" s="1">
        <f>orders[[#This Row],[Ship Date]]-orders[[#This Row],[Order Date]]</f>
        <v>2</v>
      </c>
      <c r="N112" s="1">
        <f>WEEKNUM(orders[[#This Row],[Order Date]])</f>
        <v>2</v>
      </c>
      <c r="O112" s="1" t="str" cm="1">
        <f t="array" ref="O112">_xlfn.IFS(orders[[#This Row],[Customer Gender]]="M","Male", orders[[#This Row],[Customer Gender]]="F","Female", orders[[#This Row],[Customer Gender]]="O","Other", TRUE,"Unknown")</f>
        <v>Male</v>
      </c>
    </row>
    <row r="113" spans="1:15">
      <c r="A113" s="1" t="s">
        <v>180</v>
      </c>
      <c r="B113" s="1" t="s">
        <v>32</v>
      </c>
      <c r="C113" s="1">
        <v>1</v>
      </c>
      <c r="D113" s="1">
        <v>32</v>
      </c>
      <c r="E113" s="11">
        <v>32</v>
      </c>
      <c r="F113" s="3">
        <v>45662</v>
      </c>
      <c r="G113" s="3">
        <v>45664</v>
      </c>
      <c r="H113" s="1" t="s">
        <v>27</v>
      </c>
      <c r="I113" s="1" t="s">
        <v>70</v>
      </c>
      <c r="J113" s="1">
        <v>4</v>
      </c>
      <c r="K113" s="1" t="s">
        <v>19</v>
      </c>
      <c r="L113" s="1" t="s">
        <v>33</v>
      </c>
      <c r="M113" s="1">
        <f>orders[[#This Row],[Ship Date]]-orders[[#This Row],[Order Date]]</f>
        <v>2</v>
      </c>
      <c r="N113" s="1">
        <f>WEEKNUM(orders[[#This Row],[Order Date]])</f>
        <v>2</v>
      </c>
      <c r="O113" s="1" t="str" cm="1">
        <f t="array" ref="O113">_xlfn.IFS(orders[[#This Row],[Customer Gender]]="M","Male", orders[[#This Row],[Customer Gender]]="F","Female", orders[[#This Row],[Customer Gender]]="O","Other", TRUE,"Unknown")</f>
        <v>Female</v>
      </c>
    </row>
    <row r="114" spans="1:15">
      <c r="A114" s="1" t="s">
        <v>181</v>
      </c>
      <c r="B114" s="1" t="s">
        <v>42</v>
      </c>
      <c r="C114" s="1">
        <v>2</v>
      </c>
      <c r="D114" s="1">
        <v>37.299999999999997</v>
      </c>
      <c r="E114" s="11">
        <v>74.599999999999994</v>
      </c>
      <c r="F114" s="3">
        <v>45662</v>
      </c>
      <c r="G114" s="3">
        <v>45663</v>
      </c>
      <c r="H114" s="1" t="s">
        <v>23</v>
      </c>
      <c r="I114" s="1" t="s">
        <v>40</v>
      </c>
      <c r="J114" s="1">
        <v>4</v>
      </c>
      <c r="K114" s="1" t="s">
        <v>19</v>
      </c>
      <c r="L114" s="1" t="s">
        <v>33</v>
      </c>
      <c r="M114" s="1">
        <f>orders[[#This Row],[Ship Date]]-orders[[#This Row],[Order Date]]</f>
        <v>1</v>
      </c>
      <c r="N114" s="1">
        <f>WEEKNUM(orders[[#This Row],[Order Date]])</f>
        <v>2</v>
      </c>
      <c r="O114" s="1" t="str" cm="1">
        <f t="array" ref="O114">_xlfn.IFS(orders[[#This Row],[Customer Gender]]="M","Male", orders[[#This Row],[Customer Gender]]="F","Female", orders[[#This Row],[Customer Gender]]="O","Other", TRUE,"Unknown")</f>
        <v>Male</v>
      </c>
    </row>
    <row r="115" spans="1:15">
      <c r="A115" s="1" t="s">
        <v>182</v>
      </c>
      <c r="B115" s="1" t="s">
        <v>146</v>
      </c>
      <c r="C115" s="1">
        <v>1</v>
      </c>
      <c r="D115" s="1">
        <v>119.8</v>
      </c>
      <c r="E115" s="11">
        <v>119.8</v>
      </c>
      <c r="F115" s="3">
        <v>45662</v>
      </c>
      <c r="G115" s="3">
        <v>45663</v>
      </c>
      <c r="H115" s="1" t="s">
        <v>23</v>
      </c>
      <c r="I115" s="1" t="s">
        <v>35</v>
      </c>
      <c r="J115" s="1">
        <v>3</v>
      </c>
      <c r="K115" s="1" t="s">
        <v>19</v>
      </c>
      <c r="L115" s="1" t="s">
        <v>33</v>
      </c>
      <c r="M115" s="1">
        <f>orders[[#This Row],[Ship Date]]-orders[[#This Row],[Order Date]]</f>
        <v>1</v>
      </c>
      <c r="N115" s="1">
        <f>WEEKNUM(orders[[#This Row],[Order Date]])</f>
        <v>2</v>
      </c>
      <c r="O115" s="1" t="str" cm="1">
        <f t="array" ref="O115">_xlfn.IFS(orders[[#This Row],[Customer Gender]]="M","Male", orders[[#This Row],[Customer Gender]]="F","Female", orders[[#This Row],[Customer Gender]]="O","Other", TRUE,"Unknown")</f>
        <v>Male</v>
      </c>
    </row>
    <row r="116" spans="1:15">
      <c r="A116" s="1" t="s">
        <v>183</v>
      </c>
      <c r="B116" s="1" t="s">
        <v>54</v>
      </c>
      <c r="C116" s="1">
        <v>2</v>
      </c>
      <c r="D116" s="1">
        <v>26.4</v>
      </c>
      <c r="E116" s="11">
        <v>52.8</v>
      </c>
      <c r="F116" s="3">
        <v>45662</v>
      </c>
      <c r="G116" s="3">
        <v>45665</v>
      </c>
      <c r="H116" s="1" t="s">
        <v>23</v>
      </c>
      <c r="I116" s="1" t="s">
        <v>40</v>
      </c>
      <c r="J116" s="1">
        <v>4</v>
      </c>
      <c r="K116" s="1" t="s">
        <v>19</v>
      </c>
      <c r="L116" s="1" t="s">
        <v>33</v>
      </c>
      <c r="M116" s="1">
        <f>orders[[#This Row],[Ship Date]]-orders[[#This Row],[Order Date]]</f>
        <v>3</v>
      </c>
      <c r="N116" s="1">
        <f>WEEKNUM(orders[[#This Row],[Order Date]])</f>
        <v>2</v>
      </c>
      <c r="O116" s="1" t="str" cm="1">
        <f t="array" ref="O116">_xlfn.IFS(orders[[#This Row],[Customer Gender]]="M","Male", orders[[#This Row],[Customer Gender]]="F","Female", orders[[#This Row],[Customer Gender]]="O","Other", TRUE,"Unknown")</f>
        <v>Male</v>
      </c>
    </row>
    <row r="117" spans="1:15">
      <c r="A117" s="1" t="s">
        <v>184</v>
      </c>
      <c r="B117" s="1" t="s">
        <v>39</v>
      </c>
      <c r="C117" s="1">
        <v>6</v>
      </c>
      <c r="D117" s="1">
        <v>76.5</v>
      </c>
      <c r="E117" s="11">
        <v>459</v>
      </c>
      <c r="F117" s="3">
        <v>45662</v>
      </c>
      <c r="G117" s="3">
        <v>45663</v>
      </c>
      <c r="H117" s="1" t="s">
        <v>27</v>
      </c>
      <c r="I117" s="1" t="s">
        <v>35</v>
      </c>
      <c r="J117" s="1">
        <v>3</v>
      </c>
      <c r="K117" s="1" t="s">
        <v>19</v>
      </c>
      <c r="L117" s="1" t="s">
        <v>33</v>
      </c>
      <c r="M117" s="1">
        <f>orders[[#This Row],[Ship Date]]-orders[[#This Row],[Order Date]]</f>
        <v>1</v>
      </c>
      <c r="N117" s="1">
        <f>WEEKNUM(orders[[#This Row],[Order Date]])</f>
        <v>2</v>
      </c>
      <c r="O117" s="1" t="str" cm="1">
        <f t="array" ref="O117">_xlfn.IFS(orders[[#This Row],[Customer Gender]]="M","Male", orders[[#This Row],[Customer Gender]]="F","Female", orders[[#This Row],[Customer Gender]]="O","Other", TRUE,"Unknown")</f>
        <v>Female</v>
      </c>
    </row>
    <row r="118" spans="1:15">
      <c r="A118" s="1" t="s">
        <v>185</v>
      </c>
      <c r="B118" s="1" t="s">
        <v>32</v>
      </c>
      <c r="C118" s="1">
        <v>10</v>
      </c>
      <c r="D118" s="1">
        <v>45.7</v>
      </c>
      <c r="E118" s="11">
        <v>457</v>
      </c>
      <c r="F118" s="3">
        <v>45662</v>
      </c>
      <c r="G118" s="3">
        <v>45663</v>
      </c>
      <c r="H118" s="1" t="s">
        <v>27</v>
      </c>
      <c r="I118" s="1" t="s">
        <v>40</v>
      </c>
      <c r="J118" s="1">
        <v>4</v>
      </c>
      <c r="K118" s="1" t="s">
        <v>19</v>
      </c>
      <c r="L118" s="1" t="s">
        <v>186</v>
      </c>
      <c r="M118" s="1">
        <f>orders[[#This Row],[Ship Date]]-orders[[#This Row],[Order Date]]</f>
        <v>1</v>
      </c>
      <c r="N118" s="1">
        <f>WEEKNUM(orders[[#This Row],[Order Date]])</f>
        <v>2</v>
      </c>
      <c r="O118" s="1" t="str" cm="1">
        <f t="array" ref="O118">_xlfn.IFS(orders[[#This Row],[Customer Gender]]="M","Male", orders[[#This Row],[Customer Gender]]="F","Female", orders[[#This Row],[Customer Gender]]="O","Other", TRUE,"Unknown")</f>
        <v>Female</v>
      </c>
    </row>
    <row r="119" spans="1:15">
      <c r="A119" s="1" t="s">
        <v>187</v>
      </c>
      <c r="B119" s="1" t="s">
        <v>22</v>
      </c>
      <c r="C119" s="1">
        <v>12</v>
      </c>
      <c r="D119" s="1">
        <v>92.6</v>
      </c>
      <c r="E119" s="11">
        <v>1111.1999999999998</v>
      </c>
      <c r="F119" s="3">
        <v>45662</v>
      </c>
      <c r="G119" s="3">
        <v>45664</v>
      </c>
      <c r="H119" s="1" t="s">
        <v>27</v>
      </c>
      <c r="I119" s="1" t="s">
        <v>40</v>
      </c>
      <c r="J119" s="1">
        <v>4</v>
      </c>
      <c r="K119" s="1" t="s">
        <v>19</v>
      </c>
      <c r="L119" s="1" t="s">
        <v>188</v>
      </c>
      <c r="M119" s="1">
        <f>orders[[#This Row],[Ship Date]]-orders[[#This Row],[Order Date]]</f>
        <v>2</v>
      </c>
      <c r="N119" s="1">
        <f>WEEKNUM(orders[[#This Row],[Order Date]])</f>
        <v>2</v>
      </c>
      <c r="O119" s="1" t="str" cm="1">
        <f t="array" ref="O119">_xlfn.IFS(orders[[#This Row],[Customer Gender]]="M","Male", orders[[#This Row],[Customer Gender]]="F","Female", orders[[#This Row],[Customer Gender]]="O","Other", TRUE,"Unknown")</f>
        <v>Female</v>
      </c>
    </row>
    <row r="120" spans="1:15">
      <c r="A120" s="1" t="s">
        <v>189</v>
      </c>
      <c r="B120" s="1" t="s">
        <v>39</v>
      </c>
      <c r="C120" s="1">
        <v>6</v>
      </c>
      <c r="D120" s="1">
        <v>60.1</v>
      </c>
      <c r="E120" s="11">
        <v>360.6</v>
      </c>
      <c r="F120" s="3">
        <v>45662</v>
      </c>
      <c r="G120" s="3">
        <v>45663</v>
      </c>
      <c r="H120" s="1" t="s">
        <v>23</v>
      </c>
      <c r="I120" s="1" t="s">
        <v>35</v>
      </c>
      <c r="J120" s="1">
        <v>4</v>
      </c>
      <c r="K120" s="1" t="s">
        <v>19</v>
      </c>
      <c r="L120" s="1" t="s">
        <v>158</v>
      </c>
      <c r="M120" s="1">
        <f>orders[[#This Row],[Ship Date]]-orders[[#This Row],[Order Date]]</f>
        <v>1</v>
      </c>
      <c r="N120" s="1">
        <f>WEEKNUM(orders[[#This Row],[Order Date]])</f>
        <v>2</v>
      </c>
      <c r="O120" s="1" t="str" cm="1">
        <f t="array" ref="O120">_xlfn.IFS(orders[[#This Row],[Customer Gender]]="M","Male", orders[[#This Row],[Customer Gender]]="F","Female", orders[[#This Row],[Customer Gender]]="O","Other", TRUE,"Unknown")</f>
        <v>Male</v>
      </c>
    </row>
    <row r="121" spans="1:15">
      <c r="A121" s="1" t="s">
        <v>190</v>
      </c>
      <c r="B121" s="1" t="s">
        <v>22</v>
      </c>
      <c r="C121" s="1">
        <v>3</v>
      </c>
      <c r="D121" s="1">
        <v>73</v>
      </c>
      <c r="E121" s="11">
        <v>219</v>
      </c>
      <c r="F121" s="3">
        <v>45662</v>
      </c>
      <c r="G121" s="3">
        <v>45663</v>
      </c>
      <c r="H121" s="1" t="s">
        <v>27</v>
      </c>
      <c r="I121" s="1" t="s">
        <v>51</v>
      </c>
      <c r="J121" s="1">
        <v>3</v>
      </c>
      <c r="K121" s="1" t="s">
        <v>19</v>
      </c>
      <c r="L121" s="1" t="s">
        <v>55</v>
      </c>
      <c r="M121" s="1">
        <f>orders[[#This Row],[Ship Date]]-orders[[#This Row],[Order Date]]</f>
        <v>1</v>
      </c>
      <c r="N121" s="1">
        <f>WEEKNUM(orders[[#This Row],[Order Date]])</f>
        <v>2</v>
      </c>
      <c r="O121" s="1" t="str" cm="1">
        <f t="array" ref="O121">_xlfn.IFS(orders[[#This Row],[Customer Gender]]="M","Male", orders[[#This Row],[Customer Gender]]="F","Female", orders[[#This Row],[Customer Gender]]="O","Other", TRUE,"Unknown")</f>
        <v>Female</v>
      </c>
    </row>
    <row r="122" spans="1:15">
      <c r="A122" s="1" t="s">
        <v>191</v>
      </c>
      <c r="B122" s="1" t="s">
        <v>39</v>
      </c>
      <c r="C122" s="1">
        <v>3</v>
      </c>
      <c r="D122" s="1">
        <v>44.3</v>
      </c>
      <c r="E122" s="11">
        <v>132.89999999999998</v>
      </c>
      <c r="F122" s="3">
        <v>45662</v>
      </c>
      <c r="G122" s="3">
        <v>45666</v>
      </c>
      <c r="H122" s="1" t="s">
        <v>17</v>
      </c>
      <c r="I122" s="1" t="s">
        <v>40</v>
      </c>
      <c r="J122" s="1">
        <v>5</v>
      </c>
      <c r="K122" s="1" t="s">
        <v>19</v>
      </c>
      <c r="L122" s="1" t="s">
        <v>55</v>
      </c>
      <c r="M122" s="1">
        <f>orders[[#This Row],[Ship Date]]-orders[[#This Row],[Order Date]]</f>
        <v>4</v>
      </c>
      <c r="N122" s="1">
        <f>WEEKNUM(orders[[#This Row],[Order Date]])</f>
        <v>2</v>
      </c>
      <c r="O122" s="1" t="str" cm="1">
        <f t="array" ref="O122">_xlfn.IFS(orders[[#This Row],[Customer Gender]]="M","Male", orders[[#This Row],[Customer Gender]]="F","Female", orders[[#This Row],[Customer Gender]]="O","Other", TRUE,"Unknown")</f>
        <v>Unknown</v>
      </c>
    </row>
    <row r="123" spans="1:15">
      <c r="A123" s="1" t="s">
        <v>192</v>
      </c>
      <c r="B123" s="1" t="s">
        <v>39</v>
      </c>
      <c r="C123" s="1">
        <v>3</v>
      </c>
      <c r="D123" s="1">
        <v>63.3</v>
      </c>
      <c r="E123" s="11">
        <v>189.89999999999998</v>
      </c>
      <c r="F123" s="3">
        <v>45662</v>
      </c>
      <c r="G123" s="3">
        <v>45663</v>
      </c>
      <c r="H123" s="1" t="s">
        <v>23</v>
      </c>
      <c r="I123" s="1" t="s">
        <v>40</v>
      </c>
      <c r="J123" s="1">
        <v>4</v>
      </c>
      <c r="K123" s="1" t="s">
        <v>19</v>
      </c>
      <c r="L123" s="1" t="s">
        <v>55</v>
      </c>
      <c r="M123" s="1">
        <f>orders[[#This Row],[Ship Date]]-orders[[#This Row],[Order Date]]</f>
        <v>1</v>
      </c>
      <c r="N123" s="1">
        <f>WEEKNUM(orders[[#This Row],[Order Date]])</f>
        <v>2</v>
      </c>
      <c r="O123" s="1" t="str" cm="1">
        <f t="array" ref="O123">_xlfn.IFS(orders[[#This Row],[Customer Gender]]="M","Male", orders[[#This Row],[Customer Gender]]="F","Female", orders[[#This Row],[Customer Gender]]="O","Other", TRUE,"Unknown")</f>
        <v>Male</v>
      </c>
    </row>
    <row r="124" spans="1:15">
      <c r="A124" s="1" t="s">
        <v>193</v>
      </c>
      <c r="B124" s="1" t="s">
        <v>69</v>
      </c>
      <c r="C124" s="1">
        <v>1</v>
      </c>
      <c r="D124" s="1">
        <v>66.8</v>
      </c>
      <c r="E124" s="11">
        <v>66.8</v>
      </c>
      <c r="F124" s="3">
        <v>45662</v>
      </c>
      <c r="G124" s="3">
        <v>45663</v>
      </c>
      <c r="H124" s="1" t="s">
        <v>27</v>
      </c>
      <c r="I124" s="1" t="s">
        <v>35</v>
      </c>
      <c r="J124" s="1">
        <v>4</v>
      </c>
      <c r="K124" s="1" t="s">
        <v>19</v>
      </c>
      <c r="L124" s="1" t="s">
        <v>55</v>
      </c>
      <c r="M124" s="1">
        <f>orders[[#This Row],[Ship Date]]-orders[[#This Row],[Order Date]]</f>
        <v>1</v>
      </c>
      <c r="N124" s="1">
        <f>WEEKNUM(orders[[#This Row],[Order Date]])</f>
        <v>2</v>
      </c>
      <c r="O124" s="1" t="str" cm="1">
        <f t="array" ref="O124">_xlfn.IFS(orders[[#This Row],[Customer Gender]]="M","Male", orders[[#This Row],[Customer Gender]]="F","Female", orders[[#This Row],[Customer Gender]]="O","Other", TRUE,"Unknown")</f>
        <v>Female</v>
      </c>
    </row>
    <row r="125" spans="1:15">
      <c r="A125" s="1" t="s">
        <v>194</v>
      </c>
      <c r="B125" s="1" t="s">
        <v>26</v>
      </c>
      <c r="C125" s="1">
        <v>2</v>
      </c>
      <c r="D125" s="1">
        <v>59.7</v>
      </c>
      <c r="E125" s="11">
        <v>119.4</v>
      </c>
      <c r="F125" s="3">
        <v>45662</v>
      </c>
      <c r="G125" s="3">
        <v>45663</v>
      </c>
      <c r="H125" s="1" t="s">
        <v>27</v>
      </c>
      <c r="I125" s="1" t="s">
        <v>18</v>
      </c>
      <c r="J125" s="1">
        <v>4</v>
      </c>
      <c r="K125" s="1" t="s">
        <v>19</v>
      </c>
      <c r="L125" s="1" t="s">
        <v>59</v>
      </c>
      <c r="M125" s="1">
        <f>orders[[#This Row],[Ship Date]]-orders[[#This Row],[Order Date]]</f>
        <v>1</v>
      </c>
      <c r="N125" s="1">
        <f>WEEKNUM(orders[[#This Row],[Order Date]])</f>
        <v>2</v>
      </c>
      <c r="O125" s="1" t="str" cm="1">
        <f t="array" ref="O125">_xlfn.IFS(orders[[#This Row],[Customer Gender]]="M","Male", orders[[#This Row],[Customer Gender]]="F","Female", orders[[#This Row],[Customer Gender]]="O","Other", TRUE,"Unknown")</f>
        <v>Female</v>
      </c>
    </row>
    <row r="126" spans="1:15">
      <c r="A126" s="1" t="s">
        <v>195</v>
      </c>
      <c r="B126" s="1" t="s">
        <v>22</v>
      </c>
      <c r="C126" s="1">
        <v>6</v>
      </c>
      <c r="D126" s="1">
        <v>92</v>
      </c>
      <c r="E126" s="11">
        <v>552</v>
      </c>
      <c r="F126" s="3">
        <v>45662</v>
      </c>
      <c r="G126" s="3">
        <v>45664</v>
      </c>
      <c r="H126" s="1" t="s">
        <v>23</v>
      </c>
      <c r="I126" s="1" t="s">
        <v>18</v>
      </c>
      <c r="J126" s="1">
        <v>2</v>
      </c>
      <c r="K126" s="1" t="s">
        <v>19</v>
      </c>
      <c r="L126" s="1" t="s">
        <v>59</v>
      </c>
      <c r="M126" s="1">
        <f>orders[[#This Row],[Ship Date]]-orders[[#This Row],[Order Date]]</f>
        <v>2</v>
      </c>
      <c r="N126" s="1">
        <f>WEEKNUM(orders[[#This Row],[Order Date]])</f>
        <v>2</v>
      </c>
      <c r="O126" s="1" t="str" cm="1">
        <f t="array" ref="O126">_xlfn.IFS(orders[[#This Row],[Customer Gender]]="M","Male", orders[[#This Row],[Customer Gender]]="F","Female", orders[[#This Row],[Customer Gender]]="O","Other", TRUE,"Unknown")</f>
        <v>Male</v>
      </c>
    </row>
    <row r="127" spans="1:15">
      <c r="A127" s="1" t="s">
        <v>196</v>
      </c>
      <c r="B127" s="1" t="s">
        <v>42</v>
      </c>
      <c r="C127" s="1">
        <v>2</v>
      </c>
      <c r="D127" s="1">
        <v>87.6</v>
      </c>
      <c r="E127" s="11">
        <v>175.2</v>
      </c>
      <c r="F127" s="3">
        <v>45662</v>
      </c>
      <c r="G127" s="3">
        <v>45664</v>
      </c>
      <c r="H127" s="1" t="s">
        <v>23</v>
      </c>
      <c r="I127" s="1" t="s">
        <v>35</v>
      </c>
      <c r="J127" s="1">
        <v>3</v>
      </c>
      <c r="K127" s="1" t="s">
        <v>19</v>
      </c>
      <c r="L127" s="1" t="s">
        <v>62</v>
      </c>
      <c r="M127" s="1">
        <f>orders[[#This Row],[Ship Date]]-orders[[#This Row],[Order Date]]</f>
        <v>2</v>
      </c>
      <c r="N127" s="1">
        <f>WEEKNUM(orders[[#This Row],[Order Date]])</f>
        <v>2</v>
      </c>
      <c r="O127" s="1" t="str" cm="1">
        <f t="array" ref="O127">_xlfn.IFS(orders[[#This Row],[Customer Gender]]="M","Male", orders[[#This Row],[Customer Gender]]="F","Female", orders[[#This Row],[Customer Gender]]="O","Other", TRUE,"Unknown")</f>
        <v>Male</v>
      </c>
    </row>
    <row r="128" spans="1:15">
      <c r="A128" s="1" t="s">
        <v>197</v>
      </c>
      <c r="B128" s="1" t="s">
        <v>39</v>
      </c>
      <c r="C128" s="1">
        <v>3</v>
      </c>
      <c r="D128" s="1">
        <v>84.5</v>
      </c>
      <c r="E128" s="11">
        <v>253.5</v>
      </c>
      <c r="F128" s="3">
        <v>45662</v>
      </c>
      <c r="G128" s="3">
        <v>45663</v>
      </c>
      <c r="H128" s="1" t="s">
        <v>27</v>
      </c>
      <c r="I128" s="1" t="s">
        <v>35</v>
      </c>
      <c r="J128" s="1">
        <v>3</v>
      </c>
      <c r="K128" s="1" t="s">
        <v>19</v>
      </c>
      <c r="L128" s="1" t="s">
        <v>62</v>
      </c>
      <c r="M128" s="1">
        <f>orders[[#This Row],[Ship Date]]-orders[[#This Row],[Order Date]]</f>
        <v>1</v>
      </c>
      <c r="N128" s="1">
        <f>WEEKNUM(orders[[#This Row],[Order Date]])</f>
        <v>2</v>
      </c>
      <c r="O128" s="1" t="str" cm="1">
        <f t="array" ref="O128">_xlfn.IFS(orders[[#This Row],[Customer Gender]]="M","Male", orders[[#This Row],[Customer Gender]]="F","Female", orders[[#This Row],[Customer Gender]]="O","Other", TRUE,"Unknown")</f>
        <v>Female</v>
      </c>
    </row>
    <row r="129" spans="1:15">
      <c r="A129" s="1" t="s">
        <v>198</v>
      </c>
      <c r="B129" s="1" t="s">
        <v>22</v>
      </c>
      <c r="C129" s="1">
        <v>2</v>
      </c>
      <c r="D129" s="1">
        <v>116.3</v>
      </c>
      <c r="E129" s="11">
        <v>232.6</v>
      </c>
      <c r="F129" s="3">
        <v>45663</v>
      </c>
      <c r="G129" s="3">
        <v>45665</v>
      </c>
      <c r="H129" s="1" t="s">
        <v>23</v>
      </c>
      <c r="I129" s="1" t="s">
        <v>40</v>
      </c>
      <c r="J129" s="1">
        <v>5</v>
      </c>
      <c r="K129" s="1" t="s">
        <v>19</v>
      </c>
      <c r="L129" s="1" t="s">
        <v>62</v>
      </c>
      <c r="M129" s="1">
        <f>orders[[#This Row],[Ship Date]]-orders[[#This Row],[Order Date]]</f>
        <v>2</v>
      </c>
      <c r="N129" s="1">
        <f>WEEKNUM(orders[[#This Row],[Order Date]])</f>
        <v>2</v>
      </c>
      <c r="O129" s="1" t="str" cm="1">
        <f t="array" ref="O129">_xlfn.IFS(orders[[#This Row],[Customer Gender]]="M","Male", orders[[#This Row],[Customer Gender]]="F","Female", orders[[#This Row],[Customer Gender]]="O","Other", TRUE,"Unknown")</f>
        <v>Male</v>
      </c>
    </row>
    <row r="130" spans="1:15">
      <c r="A130" s="1" t="s">
        <v>199</v>
      </c>
      <c r="B130" s="1" t="s">
        <v>39</v>
      </c>
      <c r="C130" s="1">
        <v>5</v>
      </c>
      <c r="D130" s="1">
        <v>52.7</v>
      </c>
      <c r="E130" s="11">
        <v>263.5</v>
      </c>
      <c r="F130" s="3">
        <v>45663</v>
      </c>
      <c r="G130" s="3">
        <v>45667</v>
      </c>
      <c r="H130" s="1" t="s">
        <v>23</v>
      </c>
      <c r="I130" s="1" t="s">
        <v>18</v>
      </c>
      <c r="J130" s="1">
        <v>4</v>
      </c>
      <c r="K130" s="1" t="s">
        <v>19</v>
      </c>
      <c r="L130" s="1" t="s">
        <v>62</v>
      </c>
      <c r="M130" s="1">
        <f>orders[[#This Row],[Ship Date]]-orders[[#This Row],[Order Date]]</f>
        <v>4</v>
      </c>
      <c r="N130" s="1">
        <f>WEEKNUM(orders[[#This Row],[Order Date]])</f>
        <v>2</v>
      </c>
      <c r="O130" s="1" t="str" cm="1">
        <f t="array" ref="O130">_xlfn.IFS(orders[[#This Row],[Customer Gender]]="M","Male", orders[[#This Row],[Customer Gender]]="F","Female", orders[[#This Row],[Customer Gender]]="O","Other", TRUE,"Unknown")</f>
        <v>Male</v>
      </c>
    </row>
    <row r="131" spans="1:15">
      <c r="A131" s="1" t="s">
        <v>200</v>
      </c>
      <c r="B131" s="1" t="s">
        <v>128</v>
      </c>
      <c r="C131" s="1">
        <v>3</v>
      </c>
      <c r="D131" s="1">
        <v>34.200000000000003</v>
      </c>
      <c r="E131" s="11">
        <v>102.60000000000001</v>
      </c>
      <c r="F131" s="3">
        <v>45663</v>
      </c>
      <c r="G131" s="3">
        <v>45664</v>
      </c>
      <c r="H131" s="1" t="s">
        <v>23</v>
      </c>
      <c r="I131" s="1" t="s">
        <v>18</v>
      </c>
      <c r="J131" s="1">
        <v>5</v>
      </c>
      <c r="K131" s="1" t="s">
        <v>19</v>
      </c>
      <c r="L131" s="1" t="s">
        <v>201</v>
      </c>
      <c r="M131" s="1">
        <f>orders[[#This Row],[Ship Date]]-orders[[#This Row],[Order Date]]</f>
        <v>1</v>
      </c>
      <c r="N131" s="1">
        <f>WEEKNUM(orders[[#This Row],[Order Date]])</f>
        <v>2</v>
      </c>
      <c r="O131" s="1" t="str" cm="1">
        <f t="array" ref="O131">_xlfn.IFS(orders[[#This Row],[Customer Gender]]="M","Male", orders[[#This Row],[Customer Gender]]="F","Female", orders[[#This Row],[Customer Gender]]="O","Other", TRUE,"Unknown")</f>
        <v>Male</v>
      </c>
    </row>
    <row r="132" spans="1:15">
      <c r="A132" s="1" t="s">
        <v>202</v>
      </c>
      <c r="B132" s="1" t="s">
        <v>46</v>
      </c>
      <c r="C132" s="1">
        <v>1</v>
      </c>
      <c r="D132" s="1">
        <v>23.3</v>
      </c>
      <c r="E132" s="11">
        <v>23.3</v>
      </c>
      <c r="F132" s="3">
        <v>45663</v>
      </c>
      <c r="G132" s="3">
        <v>45672</v>
      </c>
      <c r="H132" s="1" t="s">
        <v>89</v>
      </c>
      <c r="I132" s="1" t="s">
        <v>40</v>
      </c>
      <c r="J132" s="1">
        <v>5</v>
      </c>
      <c r="K132" s="1" t="s">
        <v>19</v>
      </c>
      <c r="L132" s="1" t="s">
        <v>72</v>
      </c>
      <c r="M132" s="1">
        <f>orders[[#This Row],[Ship Date]]-orders[[#This Row],[Order Date]]</f>
        <v>9</v>
      </c>
      <c r="N132" s="1">
        <f>WEEKNUM(orders[[#This Row],[Order Date]])</f>
        <v>2</v>
      </c>
      <c r="O132" s="1" t="str" cm="1">
        <f t="array" ref="O132">_xlfn.IFS(orders[[#This Row],[Customer Gender]]="M","Male", orders[[#This Row],[Customer Gender]]="F","Female", orders[[#This Row],[Customer Gender]]="O","Other", TRUE,"Unknown")</f>
        <v>Other</v>
      </c>
    </row>
    <row r="133" spans="1:15">
      <c r="A133" s="1" t="s">
        <v>203</v>
      </c>
      <c r="B133" s="1" t="s">
        <v>16</v>
      </c>
      <c r="C133" s="1">
        <v>26</v>
      </c>
      <c r="D133" s="1">
        <v>25.9</v>
      </c>
      <c r="E133" s="11">
        <v>673.4</v>
      </c>
      <c r="F133" s="3">
        <v>45663</v>
      </c>
      <c r="G133" s="3">
        <v>45666</v>
      </c>
      <c r="H133" s="1" t="s">
        <v>27</v>
      </c>
      <c r="I133" s="1" t="s">
        <v>70</v>
      </c>
      <c r="J133" s="1">
        <v>3</v>
      </c>
      <c r="K133" s="1" t="s">
        <v>19</v>
      </c>
      <c r="L133" s="1" t="s">
        <v>72</v>
      </c>
      <c r="M133" s="1">
        <f>orders[[#This Row],[Ship Date]]-orders[[#This Row],[Order Date]]</f>
        <v>3</v>
      </c>
      <c r="N133" s="1">
        <f>WEEKNUM(orders[[#This Row],[Order Date]])</f>
        <v>2</v>
      </c>
      <c r="O133" s="1" t="str" cm="1">
        <f t="array" ref="O133">_xlfn.IFS(orders[[#This Row],[Customer Gender]]="M","Male", orders[[#This Row],[Customer Gender]]="F","Female", orders[[#This Row],[Customer Gender]]="O","Other", TRUE,"Unknown")</f>
        <v>Female</v>
      </c>
    </row>
    <row r="134" spans="1:15">
      <c r="A134" s="1" t="s">
        <v>204</v>
      </c>
      <c r="B134" s="1" t="s">
        <v>39</v>
      </c>
      <c r="C134" s="1">
        <v>29</v>
      </c>
      <c r="D134" s="1">
        <v>54.9</v>
      </c>
      <c r="E134" s="11">
        <v>1592.1</v>
      </c>
      <c r="F134" s="3">
        <v>45663</v>
      </c>
      <c r="G134" s="3">
        <v>45664</v>
      </c>
      <c r="H134" s="1" t="s">
        <v>23</v>
      </c>
      <c r="I134" s="1" t="s">
        <v>35</v>
      </c>
      <c r="J134" s="1">
        <v>5</v>
      </c>
      <c r="K134" s="1" t="s">
        <v>19</v>
      </c>
      <c r="L134" s="1" t="s">
        <v>72</v>
      </c>
      <c r="M134" s="1">
        <f>orders[[#This Row],[Ship Date]]-orders[[#This Row],[Order Date]]</f>
        <v>1</v>
      </c>
      <c r="N134" s="1">
        <f>WEEKNUM(orders[[#This Row],[Order Date]])</f>
        <v>2</v>
      </c>
      <c r="O134" s="1" t="str" cm="1">
        <f t="array" ref="O134">_xlfn.IFS(orders[[#This Row],[Customer Gender]]="M","Male", orders[[#This Row],[Customer Gender]]="F","Female", orders[[#This Row],[Customer Gender]]="O","Other", TRUE,"Unknown")</f>
        <v>Male</v>
      </c>
    </row>
    <row r="135" spans="1:15">
      <c r="A135" s="1" t="s">
        <v>205</v>
      </c>
      <c r="B135" s="1" t="s">
        <v>37</v>
      </c>
      <c r="C135" s="1">
        <v>3</v>
      </c>
      <c r="D135" s="1">
        <v>75.8</v>
      </c>
      <c r="E135" s="11">
        <v>227.39999999999998</v>
      </c>
      <c r="F135" s="3">
        <v>45663</v>
      </c>
      <c r="G135" s="3">
        <v>45668</v>
      </c>
      <c r="H135" s="1" t="s">
        <v>89</v>
      </c>
      <c r="I135" s="1" t="s">
        <v>35</v>
      </c>
      <c r="J135" s="1">
        <v>4</v>
      </c>
      <c r="K135" s="1" t="s">
        <v>19</v>
      </c>
      <c r="L135" s="1" t="s">
        <v>108</v>
      </c>
      <c r="M135" s="1">
        <f>orders[[#This Row],[Ship Date]]-orders[[#This Row],[Order Date]]</f>
        <v>5</v>
      </c>
      <c r="N135" s="1">
        <f>WEEKNUM(orders[[#This Row],[Order Date]])</f>
        <v>2</v>
      </c>
      <c r="O135" s="1" t="str" cm="1">
        <f t="array" ref="O135">_xlfn.IFS(orders[[#This Row],[Customer Gender]]="M","Male", orders[[#This Row],[Customer Gender]]="F","Female", orders[[#This Row],[Customer Gender]]="O","Other", TRUE,"Unknown")</f>
        <v>Other</v>
      </c>
    </row>
    <row r="136" spans="1:15">
      <c r="A136" s="1" t="s">
        <v>206</v>
      </c>
      <c r="B136" s="1" t="s">
        <v>22</v>
      </c>
      <c r="C136" s="1">
        <v>9</v>
      </c>
      <c r="D136" s="1">
        <v>44.9</v>
      </c>
      <c r="E136" s="11">
        <v>404.09999999999997</v>
      </c>
      <c r="F136" s="3">
        <v>45663</v>
      </c>
      <c r="G136" s="3">
        <v>45666</v>
      </c>
      <c r="H136" s="1" t="s">
        <v>27</v>
      </c>
      <c r="I136" s="1" t="s">
        <v>40</v>
      </c>
      <c r="J136" s="1">
        <v>5</v>
      </c>
      <c r="K136" s="1" t="s">
        <v>19</v>
      </c>
      <c r="L136" s="1" t="s">
        <v>28</v>
      </c>
      <c r="M136" s="1">
        <f>orders[[#This Row],[Ship Date]]-orders[[#This Row],[Order Date]]</f>
        <v>3</v>
      </c>
      <c r="N136" s="1">
        <f>WEEKNUM(orders[[#This Row],[Order Date]])</f>
        <v>2</v>
      </c>
      <c r="O136" s="1" t="str" cm="1">
        <f t="array" ref="O136">_xlfn.IFS(orders[[#This Row],[Customer Gender]]="M","Male", orders[[#This Row],[Customer Gender]]="F","Female", orders[[#This Row],[Customer Gender]]="O","Other", TRUE,"Unknown")</f>
        <v>Female</v>
      </c>
    </row>
    <row r="137" spans="1:15">
      <c r="A137" s="1" t="s">
        <v>207</v>
      </c>
      <c r="B137" s="1" t="s">
        <v>67</v>
      </c>
      <c r="C137" s="1">
        <v>2</v>
      </c>
      <c r="D137" s="1">
        <v>48.8</v>
      </c>
      <c r="E137" s="11">
        <v>97.6</v>
      </c>
      <c r="F137" s="3">
        <v>45663</v>
      </c>
      <c r="G137" s="3">
        <v>45665</v>
      </c>
      <c r="H137" s="1" t="s">
        <v>27</v>
      </c>
      <c r="I137" s="1" t="s">
        <v>51</v>
      </c>
      <c r="J137" s="1">
        <v>4</v>
      </c>
      <c r="K137" s="1" t="s">
        <v>19</v>
      </c>
      <c r="L137" s="1" t="s">
        <v>208</v>
      </c>
      <c r="M137" s="1">
        <f>orders[[#This Row],[Ship Date]]-orders[[#This Row],[Order Date]]</f>
        <v>2</v>
      </c>
      <c r="N137" s="1">
        <f>WEEKNUM(orders[[#This Row],[Order Date]])</f>
        <v>2</v>
      </c>
      <c r="O137" s="1" t="str" cm="1">
        <f t="array" ref="O137">_xlfn.IFS(orders[[#This Row],[Customer Gender]]="M","Male", orders[[#This Row],[Customer Gender]]="F","Female", orders[[#This Row],[Customer Gender]]="O","Other", TRUE,"Unknown")</f>
        <v>Female</v>
      </c>
    </row>
    <row r="138" spans="1:15">
      <c r="A138" s="1" t="s">
        <v>209</v>
      </c>
      <c r="B138" s="1" t="s">
        <v>123</v>
      </c>
      <c r="C138" s="1">
        <v>1</v>
      </c>
      <c r="D138" s="1">
        <v>20.3</v>
      </c>
      <c r="E138" s="11">
        <v>20.3</v>
      </c>
      <c r="F138" s="3">
        <v>45663</v>
      </c>
      <c r="G138" s="3">
        <v>45664</v>
      </c>
      <c r="H138" s="1" t="s">
        <v>27</v>
      </c>
      <c r="I138" s="1" t="s">
        <v>18</v>
      </c>
      <c r="J138" s="1">
        <v>5</v>
      </c>
      <c r="K138" s="1" t="s">
        <v>19</v>
      </c>
      <c r="L138" s="1" t="s">
        <v>147</v>
      </c>
      <c r="M138" s="1">
        <f>orders[[#This Row],[Ship Date]]-orders[[#This Row],[Order Date]]</f>
        <v>1</v>
      </c>
      <c r="N138" s="1">
        <f>WEEKNUM(orders[[#This Row],[Order Date]])</f>
        <v>2</v>
      </c>
      <c r="O138" s="1" t="str" cm="1">
        <f t="array" ref="O138">_xlfn.IFS(orders[[#This Row],[Customer Gender]]="M","Male", orders[[#This Row],[Customer Gender]]="F","Female", orders[[#This Row],[Customer Gender]]="O","Other", TRUE,"Unknown")</f>
        <v>Female</v>
      </c>
    </row>
    <row r="139" spans="1:15">
      <c r="A139" s="1" t="s">
        <v>210</v>
      </c>
      <c r="B139" s="1" t="s">
        <v>37</v>
      </c>
      <c r="C139" s="1">
        <v>7</v>
      </c>
      <c r="D139" s="1">
        <v>36.4</v>
      </c>
      <c r="E139" s="11">
        <v>254.79999999999998</v>
      </c>
      <c r="F139" s="3">
        <v>45663</v>
      </c>
      <c r="G139" s="3">
        <v>45666</v>
      </c>
      <c r="H139" s="1" t="s">
        <v>27</v>
      </c>
      <c r="I139" s="1" t="s">
        <v>18</v>
      </c>
      <c r="J139" s="1">
        <v>3</v>
      </c>
      <c r="K139" s="1" t="s">
        <v>19</v>
      </c>
      <c r="L139" s="1" t="s">
        <v>33</v>
      </c>
      <c r="M139" s="1">
        <f>orders[[#This Row],[Ship Date]]-orders[[#This Row],[Order Date]]</f>
        <v>3</v>
      </c>
      <c r="N139" s="1">
        <f>WEEKNUM(orders[[#This Row],[Order Date]])</f>
        <v>2</v>
      </c>
      <c r="O139" s="1" t="str" cm="1">
        <f t="array" ref="O139">_xlfn.IFS(orders[[#This Row],[Customer Gender]]="M","Male", orders[[#This Row],[Customer Gender]]="F","Female", orders[[#This Row],[Customer Gender]]="O","Other", TRUE,"Unknown")</f>
        <v>Female</v>
      </c>
    </row>
    <row r="140" spans="1:15">
      <c r="A140" s="1" t="s">
        <v>211</v>
      </c>
      <c r="B140" s="1" t="s">
        <v>16</v>
      </c>
      <c r="C140" s="1">
        <v>1</v>
      </c>
      <c r="D140" s="1">
        <v>19</v>
      </c>
      <c r="E140" s="11">
        <v>19</v>
      </c>
      <c r="F140" s="3">
        <v>45663</v>
      </c>
      <c r="G140" s="3">
        <v>45668</v>
      </c>
      <c r="H140" s="1" t="s">
        <v>27</v>
      </c>
      <c r="I140" s="1" t="s">
        <v>35</v>
      </c>
      <c r="J140" s="1">
        <v>5</v>
      </c>
      <c r="K140" s="1" t="s">
        <v>19</v>
      </c>
      <c r="L140" s="1" t="s">
        <v>33</v>
      </c>
      <c r="M140" s="1">
        <f>orders[[#This Row],[Ship Date]]-orders[[#This Row],[Order Date]]</f>
        <v>5</v>
      </c>
      <c r="N140" s="1">
        <f>WEEKNUM(orders[[#This Row],[Order Date]])</f>
        <v>2</v>
      </c>
      <c r="O140" s="1" t="str" cm="1">
        <f t="array" ref="O140">_xlfn.IFS(orders[[#This Row],[Customer Gender]]="M","Male", orders[[#This Row],[Customer Gender]]="F","Female", orders[[#This Row],[Customer Gender]]="O","Other", TRUE,"Unknown")</f>
        <v>Female</v>
      </c>
    </row>
    <row r="141" spans="1:15">
      <c r="A141" s="1" t="s">
        <v>212</v>
      </c>
      <c r="B141" s="1" t="s">
        <v>44</v>
      </c>
      <c r="C141" s="1">
        <v>1</v>
      </c>
      <c r="D141" s="1">
        <v>17.8</v>
      </c>
      <c r="E141" s="11">
        <v>17.8</v>
      </c>
      <c r="F141" s="3">
        <v>45663</v>
      </c>
      <c r="G141" s="3">
        <v>45663</v>
      </c>
      <c r="H141" s="1" t="s">
        <v>23</v>
      </c>
      <c r="I141" s="1" t="s">
        <v>18</v>
      </c>
      <c r="J141" s="1">
        <v>4</v>
      </c>
      <c r="K141" s="1" t="s">
        <v>19</v>
      </c>
      <c r="L141" s="1" t="s">
        <v>33</v>
      </c>
      <c r="M141" s="1">
        <f>orders[[#This Row],[Ship Date]]-orders[[#This Row],[Order Date]]</f>
        <v>0</v>
      </c>
      <c r="N141" s="1">
        <f>WEEKNUM(orders[[#This Row],[Order Date]])</f>
        <v>2</v>
      </c>
      <c r="O141" s="1" t="str" cm="1">
        <f t="array" ref="O141">_xlfn.IFS(orders[[#This Row],[Customer Gender]]="M","Male", orders[[#This Row],[Customer Gender]]="F","Female", orders[[#This Row],[Customer Gender]]="O","Other", TRUE,"Unknown")</f>
        <v>Male</v>
      </c>
    </row>
    <row r="142" spans="1:15">
      <c r="A142" s="1" t="s">
        <v>213</v>
      </c>
      <c r="B142" s="1" t="s">
        <v>26</v>
      </c>
      <c r="C142" s="1">
        <v>6</v>
      </c>
      <c r="D142" s="1">
        <v>139.6</v>
      </c>
      <c r="E142" s="11">
        <v>837.59999999999991</v>
      </c>
      <c r="F142" s="3">
        <v>45663</v>
      </c>
      <c r="G142" s="3">
        <v>45666</v>
      </c>
      <c r="H142" s="1" t="s">
        <v>23</v>
      </c>
      <c r="I142" s="1" t="s">
        <v>18</v>
      </c>
      <c r="J142" s="1">
        <v>4</v>
      </c>
      <c r="K142" s="1" t="s">
        <v>19</v>
      </c>
      <c r="L142" s="1" t="s">
        <v>33</v>
      </c>
      <c r="M142" s="1">
        <f>orders[[#This Row],[Ship Date]]-orders[[#This Row],[Order Date]]</f>
        <v>3</v>
      </c>
      <c r="N142" s="1">
        <f>WEEKNUM(orders[[#This Row],[Order Date]])</f>
        <v>2</v>
      </c>
      <c r="O142" s="1" t="str" cm="1">
        <f t="array" ref="O142">_xlfn.IFS(orders[[#This Row],[Customer Gender]]="M","Male", orders[[#This Row],[Customer Gender]]="F","Female", orders[[#This Row],[Customer Gender]]="O","Other", TRUE,"Unknown")</f>
        <v>Male</v>
      </c>
    </row>
    <row r="143" spans="1:15">
      <c r="A143" s="1" t="s">
        <v>214</v>
      </c>
      <c r="B143" s="1" t="s">
        <v>46</v>
      </c>
      <c r="C143" s="1">
        <v>1</v>
      </c>
      <c r="D143" s="1">
        <v>31.7</v>
      </c>
      <c r="E143" s="11">
        <v>31.7</v>
      </c>
      <c r="F143" s="3">
        <v>45663</v>
      </c>
      <c r="G143" s="3">
        <v>45663</v>
      </c>
      <c r="H143" s="1" t="s">
        <v>17</v>
      </c>
      <c r="I143" s="1" t="s">
        <v>18</v>
      </c>
      <c r="J143" s="1">
        <v>4</v>
      </c>
      <c r="K143" s="1" t="s">
        <v>19</v>
      </c>
      <c r="L143" s="1" t="s">
        <v>33</v>
      </c>
      <c r="M143" s="1">
        <f>orders[[#This Row],[Ship Date]]-orders[[#This Row],[Order Date]]</f>
        <v>0</v>
      </c>
      <c r="N143" s="1">
        <f>WEEKNUM(orders[[#This Row],[Order Date]])</f>
        <v>2</v>
      </c>
      <c r="O143" s="1" t="str" cm="1">
        <f t="array" ref="O143">_xlfn.IFS(orders[[#This Row],[Customer Gender]]="M","Male", orders[[#This Row],[Customer Gender]]="F","Female", orders[[#This Row],[Customer Gender]]="O","Other", TRUE,"Unknown")</f>
        <v>Unknown</v>
      </c>
    </row>
    <row r="144" spans="1:15">
      <c r="A144" s="1" t="s">
        <v>215</v>
      </c>
      <c r="B144" s="1" t="s">
        <v>44</v>
      </c>
      <c r="C144" s="1">
        <v>8</v>
      </c>
      <c r="D144" s="1">
        <v>26.3</v>
      </c>
      <c r="E144" s="11">
        <v>210.4</v>
      </c>
      <c r="F144" s="3">
        <v>45663</v>
      </c>
      <c r="G144" s="3">
        <v>45666</v>
      </c>
      <c r="H144" s="1" t="s">
        <v>27</v>
      </c>
      <c r="I144" s="1" t="s">
        <v>70</v>
      </c>
      <c r="J144" s="1">
        <v>2</v>
      </c>
      <c r="K144" s="1" t="s">
        <v>19</v>
      </c>
      <c r="L144" s="1" t="s">
        <v>33</v>
      </c>
      <c r="M144" s="1">
        <f>orders[[#This Row],[Ship Date]]-orders[[#This Row],[Order Date]]</f>
        <v>3</v>
      </c>
      <c r="N144" s="1">
        <f>WEEKNUM(orders[[#This Row],[Order Date]])</f>
        <v>2</v>
      </c>
      <c r="O144" s="1" t="str" cm="1">
        <f t="array" ref="O144">_xlfn.IFS(orders[[#This Row],[Customer Gender]]="M","Male", orders[[#This Row],[Customer Gender]]="F","Female", orders[[#This Row],[Customer Gender]]="O","Other", TRUE,"Unknown")</f>
        <v>Female</v>
      </c>
    </row>
    <row r="145" spans="1:15">
      <c r="A145" s="1" t="s">
        <v>216</v>
      </c>
      <c r="B145" s="1" t="s">
        <v>32</v>
      </c>
      <c r="C145" s="1">
        <v>2</v>
      </c>
      <c r="D145" s="1">
        <v>47.8</v>
      </c>
      <c r="E145" s="11">
        <v>95.6</v>
      </c>
      <c r="F145" s="3">
        <v>45663</v>
      </c>
      <c r="G145" s="3">
        <v>45664</v>
      </c>
      <c r="H145" s="1" t="s">
        <v>17</v>
      </c>
      <c r="I145" s="1" t="s">
        <v>18</v>
      </c>
      <c r="J145" s="1">
        <v>4</v>
      </c>
      <c r="K145" s="1" t="s">
        <v>19</v>
      </c>
      <c r="L145" s="1" t="s">
        <v>33</v>
      </c>
      <c r="M145" s="1">
        <f>orders[[#This Row],[Ship Date]]-orders[[#This Row],[Order Date]]</f>
        <v>1</v>
      </c>
      <c r="N145" s="1">
        <f>WEEKNUM(orders[[#This Row],[Order Date]])</f>
        <v>2</v>
      </c>
      <c r="O145" s="1" t="str" cm="1">
        <f t="array" ref="O145">_xlfn.IFS(orders[[#This Row],[Customer Gender]]="M","Male", orders[[#This Row],[Customer Gender]]="F","Female", orders[[#This Row],[Customer Gender]]="O","Other", TRUE,"Unknown")</f>
        <v>Unknown</v>
      </c>
    </row>
    <row r="146" spans="1:15">
      <c r="A146" s="1" t="s">
        <v>217</v>
      </c>
      <c r="B146" s="1" t="s">
        <v>46</v>
      </c>
      <c r="C146" s="1">
        <v>3</v>
      </c>
      <c r="D146" s="1">
        <v>69.400000000000006</v>
      </c>
      <c r="E146" s="11">
        <v>208.20000000000002</v>
      </c>
      <c r="F146" s="3">
        <v>45663</v>
      </c>
      <c r="G146" s="3">
        <v>45667</v>
      </c>
      <c r="H146" s="1" t="s">
        <v>27</v>
      </c>
      <c r="I146" s="1" t="s">
        <v>18</v>
      </c>
      <c r="J146" s="1">
        <v>4</v>
      </c>
      <c r="K146" s="1" t="s">
        <v>19</v>
      </c>
      <c r="L146" s="1" t="s">
        <v>33</v>
      </c>
      <c r="M146" s="1">
        <f>orders[[#This Row],[Ship Date]]-orders[[#This Row],[Order Date]]</f>
        <v>4</v>
      </c>
      <c r="N146" s="1">
        <f>WEEKNUM(orders[[#This Row],[Order Date]])</f>
        <v>2</v>
      </c>
      <c r="O146" s="1" t="str" cm="1">
        <f t="array" ref="O146">_xlfn.IFS(orders[[#This Row],[Customer Gender]]="M","Male", orders[[#This Row],[Customer Gender]]="F","Female", orders[[#This Row],[Customer Gender]]="O","Other", TRUE,"Unknown")</f>
        <v>Female</v>
      </c>
    </row>
    <row r="147" spans="1:15">
      <c r="A147" s="1" t="s">
        <v>218</v>
      </c>
      <c r="B147" s="1" t="s">
        <v>146</v>
      </c>
      <c r="C147" s="1">
        <v>12</v>
      </c>
      <c r="D147" s="1">
        <v>25.8</v>
      </c>
      <c r="E147" s="11">
        <v>309.60000000000002</v>
      </c>
      <c r="F147" s="3">
        <v>45663</v>
      </c>
      <c r="G147" s="3">
        <v>45664</v>
      </c>
      <c r="H147" s="1" t="s">
        <v>23</v>
      </c>
      <c r="I147" s="1" t="s">
        <v>70</v>
      </c>
      <c r="J147" s="1">
        <v>2</v>
      </c>
      <c r="K147" s="1" t="s">
        <v>19</v>
      </c>
      <c r="L147" s="1" t="s">
        <v>33</v>
      </c>
      <c r="M147" s="1">
        <f>orders[[#This Row],[Ship Date]]-orders[[#This Row],[Order Date]]</f>
        <v>1</v>
      </c>
      <c r="N147" s="1">
        <f>WEEKNUM(orders[[#This Row],[Order Date]])</f>
        <v>2</v>
      </c>
      <c r="O147" s="1" t="str" cm="1">
        <f t="array" ref="O147">_xlfn.IFS(orders[[#This Row],[Customer Gender]]="M","Male", orders[[#This Row],[Customer Gender]]="F","Female", orders[[#This Row],[Customer Gender]]="O","Other", TRUE,"Unknown")</f>
        <v>Male</v>
      </c>
    </row>
    <row r="148" spans="1:15">
      <c r="A148" s="1" t="s">
        <v>219</v>
      </c>
      <c r="B148" s="1" t="s">
        <v>16</v>
      </c>
      <c r="C148" s="1">
        <v>4</v>
      </c>
      <c r="D148" s="1">
        <v>26.4</v>
      </c>
      <c r="E148" s="11">
        <v>105.6</v>
      </c>
      <c r="F148" s="3">
        <v>45663</v>
      </c>
      <c r="G148" s="3">
        <v>45664</v>
      </c>
      <c r="H148" s="1" t="s">
        <v>23</v>
      </c>
      <c r="I148" s="1" t="s">
        <v>35</v>
      </c>
      <c r="J148" s="1">
        <v>5</v>
      </c>
      <c r="K148" s="1" t="s">
        <v>19</v>
      </c>
      <c r="L148" s="1" t="s">
        <v>33</v>
      </c>
      <c r="M148" s="1">
        <f>orders[[#This Row],[Ship Date]]-orders[[#This Row],[Order Date]]</f>
        <v>1</v>
      </c>
      <c r="N148" s="1">
        <f>WEEKNUM(orders[[#This Row],[Order Date]])</f>
        <v>2</v>
      </c>
      <c r="O148" s="1" t="str" cm="1">
        <f t="array" ref="O148">_xlfn.IFS(orders[[#This Row],[Customer Gender]]="M","Male", orders[[#This Row],[Customer Gender]]="F","Female", orders[[#This Row],[Customer Gender]]="O","Other", TRUE,"Unknown")</f>
        <v>Male</v>
      </c>
    </row>
    <row r="149" spans="1:15">
      <c r="A149" s="1" t="s">
        <v>220</v>
      </c>
      <c r="B149" s="1" t="s">
        <v>44</v>
      </c>
      <c r="C149" s="1">
        <v>4</v>
      </c>
      <c r="D149" s="1">
        <v>15.7</v>
      </c>
      <c r="E149" s="11">
        <v>62.8</v>
      </c>
      <c r="F149" s="3">
        <v>45663</v>
      </c>
      <c r="G149" s="3">
        <v>45664</v>
      </c>
      <c r="H149" s="1" t="s">
        <v>23</v>
      </c>
      <c r="I149" s="1" t="s">
        <v>40</v>
      </c>
      <c r="J149" s="1">
        <v>4</v>
      </c>
      <c r="K149" s="1" t="s">
        <v>19</v>
      </c>
      <c r="L149" s="1" t="s">
        <v>33</v>
      </c>
      <c r="M149" s="1">
        <f>orders[[#This Row],[Ship Date]]-orders[[#This Row],[Order Date]]</f>
        <v>1</v>
      </c>
      <c r="N149" s="1">
        <f>WEEKNUM(orders[[#This Row],[Order Date]])</f>
        <v>2</v>
      </c>
      <c r="O149" s="1" t="str" cm="1">
        <f t="array" ref="O149">_xlfn.IFS(orders[[#This Row],[Customer Gender]]="M","Male", orders[[#This Row],[Customer Gender]]="F","Female", orders[[#This Row],[Customer Gender]]="O","Other", TRUE,"Unknown")</f>
        <v>Male</v>
      </c>
    </row>
    <row r="150" spans="1:15">
      <c r="A150" s="1" t="s">
        <v>221</v>
      </c>
      <c r="B150" s="1" t="s">
        <v>44</v>
      </c>
      <c r="C150" s="1">
        <v>1</v>
      </c>
      <c r="D150" s="1">
        <v>39.700000000000003</v>
      </c>
      <c r="E150" s="11">
        <v>39.700000000000003</v>
      </c>
      <c r="F150" s="3">
        <v>45663</v>
      </c>
      <c r="G150" s="3">
        <v>45667</v>
      </c>
      <c r="H150" s="1" t="s">
        <v>23</v>
      </c>
      <c r="I150" s="1" t="s">
        <v>18</v>
      </c>
      <c r="J150" s="1">
        <v>4</v>
      </c>
      <c r="K150" s="1" t="s">
        <v>19</v>
      </c>
      <c r="L150" s="1" t="s">
        <v>33</v>
      </c>
      <c r="M150" s="1">
        <f>orders[[#This Row],[Ship Date]]-orders[[#This Row],[Order Date]]</f>
        <v>4</v>
      </c>
      <c r="N150" s="1">
        <f>WEEKNUM(orders[[#This Row],[Order Date]])</f>
        <v>2</v>
      </c>
      <c r="O150" s="1" t="str" cm="1">
        <f t="array" ref="O150">_xlfn.IFS(orders[[#This Row],[Customer Gender]]="M","Male", orders[[#This Row],[Customer Gender]]="F","Female", orders[[#This Row],[Customer Gender]]="O","Other", TRUE,"Unknown")</f>
        <v>Male</v>
      </c>
    </row>
    <row r="151" spans="1:15">
      <c r="A151" s="1" t="s">
        <v>222</v>
      </c>
      <c r="B151" s="1" t="s">
        <v>54</v>
      </c>
      <c r="C151" s="1">
        <v>4</v>
      </c>
      <c r="D151" s="1">
        <v>31.1</v>
      </c>
      <c r="E151" s="11">
        <v>124.4</v>
      </c>
      <c r="F151" s="3">
        <v>45663</v>
      </c>
      <c r="G151" s="3">
        <v>45665</v>
      </c>
      <c r="H151" s="1" t="s">
        <v>27</v>
      </c>
      <c r="I151" s="1" t="s">
        <v>40</v>
      </c>
      <c r="J151" s="1">
        <v>3</v>
      </c>
      <c r="K151" s="1" t="s">
        <v>19</v>
      </c>
      <c r="L151" s="1" t="s">
        <v>33</v>
      </c>
      <c r="M151" s="1">
        <f>orders[[#This Row],[Ship Date]]-orders[[#This Row],[Order Date]]</f>
        <v>2</v>
      </c>
      <c r="N151" s="1">
        <f>WEEKNUM(orders[[#This Row],[Order Date]])</f>
        <v>2</v>
      </c>
      <c r="O151" s="1" t="str" cm="1">
        <f t="array" ref="O151">_xlfn.IFS(orders[[#This Row],[Customer Gender]]="M","Male", orders[[#This Row],[Customer Gender]]="F","Female", orders[[#This Row],[Customer Gender]]="O","Other", TRUE,"Unknown")</f>
        <v>Female</v>
      </c>
    </row>
    <row r="152" spans="1:15">
      <c r="A152" s="1" t="s">
        <v>223</v>
      </c>
      <c r="B152" s="1" t="s">
        <v>76</v>
      </c>
      <c r="C152" s="1">
        <v>15</v>
      </c>
      <c r="D152" s="1">
        <v>23.4</v>
      </c>
      <c r="E152" s="11">
        <v>351</v>
      </c>
      <c r="F152" s="3">
        <v>45663</v>
      </c>
      <c r="G152" s="3">
        <v>45672</v>
      </c>
      <c r="H152" s="1" t="s">
        <v>23</v>
      </c>
      <c r="I152" s="1" t="s">
        <v>18</v>
      </c>
      <c r="J152" s="1">
        <v>4</v>
      </c>
      <c r="K152" s="1" t="s">
        <v>19</v>
      </c>
      <c r="L152" s="1" t="s">
        <v>33</v>
      </c>
      <c r="M152" s="1">
        <f>orders[[#This Row],[Ship Date]]-orders[[#This Row],[Order Date]]</f>
        <v>9</v>
      </c>
      <c r="N152" s="1">
        <f>WEEKNUM(orders[[#This Row],[Order Date]])</f>
        <v>2</v>
      </c>
      <c r="O152" s="1" t="str" cm="1">
        <f t="array" ref="O152">_xlfn.IFS(orders[[#This Row],[Customer Gender]]="M","Male", orders[[#This Row],[Customer Gender]]="F","Female", orders[[#This Row],[Customer Gender]]="O","Other", TRUE,"Unknown")</f>
        <v>Male</v>
      </c>
    </row>
    <row r="153" spans="1:15">
      <c r="A153" s="1" t="s">
        <v>224</v>
      </c>
      <c r="B153" s="1" t="s">
        <v>22</v>
      </c>
      <c r="C153" s="1">
        <v>4</v>
      </c>
      <c r="D153" s="1">
        <v>57.1</v>
      </c>
      <c r="E153" s="11">
        <v>228.4</v>
      </c>
      <c r="F153" s="3">
        <v>45664</v>
      </c>
      <c r="G153" s="3">
        <v>45665</v>
      </c>
      <c r="H153" s="1" t="s">
        <v>23</v>
      </c>
      <c r="I153" s="1" t="s">
        <v>40</v>
      </c>
      <c r="J153" s="1">
        <v>4</v>
      </c>
      <c r="K153" s="1" t="s">
        <v>19</v>
      </c>
      <c r="L153" s="1" t="s">
        <v>188</v>
      </c>
      <c r="M153" s="1">
        <f>orders[[#This Row],[Ship Date]]-orders[[#This Row],[Order Date]]</f>
        <v>1</v>
      </c>
      <c r="N153" s="1">
        <f>WEEKNUM(orders[[#This Row],[Order Date]])</f>
        <v>2</v>
      </c>
      <c r="O153" s="1" t="str" cm="1">
        <f t="array" ref="O153">_xlfn.IFS(orders[[#This Row],[Customer Gender]]="M","Male", orders[[#This Row],[Customer Gender]]="F","Female", orders[[#This Row],[Customer Gender]]="O","Other", TRUE,"Unknown")</f>
        <v>Male</v>
      </c>
    </row>
    <row r="154" spans="1:15">
      <c r="A154" s="1" t="s">
        <v>225</v>
      </c>
      <c r="B154" s="1" t="s">
        <v>26</v>
      </c>
      <c r="C154" s="1">
        <v>5</v>
      </c>
      <c r="D154" s="1">
        <v>89.9</v>
      </c>
      <c r="E154" s="11">
        <v>449.5</v>
      </c>
      <c r="F154" s="3">
        <v>45664</v>
      </c>
      <c r="G154" s="3">
        <v>45664</v>
      </c>
      <c r="H154" s="1" t="s">
        <v>27</v>
      </c>
      <c r="I154" s="1" t="s">
        <v>18</v>
      </c>
      <c r="J154" s="1">
        <v>1</v>
      </c>
      <c r="K154" s="1" t="s">
        <v>19</v>
      </c>
      <c r="L154" s="1" t="s">
        <v>158</v>
      </c>
      <c r="M154" s="1">
        <f>orders[[#This Row],[Ship Date]]-orders[[#This Row],[Order Date]]</f>
        <v>0</v>
      </c>
      <c r="N154" s="1">
        <f>WEEKNUM(orders[[#This Row],[Order Date]])</f>
        <v>2</v>
      </c>
      <c r="O154" s="1" t="str" cm="1">
        <f t="array" ref="O154">_xlfn.IFS(orders[[#This Row],[Customer Gender]]="M","Male", orders[[#This Row],[Customer Gender]]="F","Female", orders[[#This Row],[Customer Gender]]="O","Other", TRUE,"Unknown")</f>
        <v>Female</v>
      </c>
    </row>
    <row r="155" spans="1:15">
      <c r="A155" s="1" t="s">
        <v>226</v>
      </c>
      <c r="B155" s="1" t="s">
        <v>54</v>
      </c>
      <c r="C155" s="1">
        <v>7</v>
      </c>
      <c r="D155" s="1">
        <v>48.1</v>
      </c>
      <c r="E155" s="11">
        <v>336.7</v>
      </c>
      <c r="F155" s="3">
        <v>45664</v>
      </c>
      <c r="G155" s="3">
        <v>45666</v>
      </c>
      <c r="H155" s="1" t="s">
        <v>27</v>
      </c>
      <c r="I155" s="1" t="s">
        <v>35</v>
      </c>
      <c r="J155" s="1">
        <v>5</v>
      </c>
      <c r="K155" s="1" t="s">
        <v>19</v>
      </c>
      <c r="L155" s="1" t="s">
        <v>55</v>
      </c>
      <c r="M155" s="1">
        <f>orders[[#This Row],[Ship Date]]-orders[[#This Row],[Order Date]]</f>
        <v>2</v>
      </c>
      <c r="N155" s="1">
        <f>WEEKNUM(orders[[#This Row],[Order Date]])</f>
        <v>2</v>
      </c>
      <c r="O155" s="1" t="str" cm="1">
        <f t="array" ref="O155">_xlfn.IFS(orders[[#This Row],[Customer Gender]]="M","Male", orders[[#This Row],[Customer Gender]]="F","Female", orders[[#This Row],[Customer Gender]]="O","Other", TRUE,"Unknown")</f>
        <v>Female</v>
      </c>
    </row>
    <row r="156" spans="1:15">
      <c r="A156" s="1" t="s">
        <v>227</v>
      </c>
      <c r="B156" s="1" t="s">
        <v>44</v>
      </c>
      <c r="C156" s="1">
        <v>2</v>
      </c>
      <c r="D156" s="1">
        <v>29.3</v>
      </c>
      <c r="E156" s="11">
        <v>58.6</v>
      </c>
      <c r="F156" s="3">
        <v>45664</v>
      </c>
      <c r="G156" s="3">
        <v>45664</v>
      </c>
      <c r="H156" s="1" t="s">
        <v>27</v>
      </c>
      <c r="I156" s="1" t="s">
        <v>35</v>
      </c>
      <c r="J156" s="1">
        <v>3</v>
      </c>
      <c r="K156" s="1" t="s">
        <v>19</v>
      </c>
      <c r="L156" s="1" t="s">
        <v>55</v>
      </c>
      <c r="M156" s="1">
        <f>orders[[#This Row],[Ship Date]]-orders[[#This Row],[Order Date]]</f>
        <v>0</v>
      </c>
      <c r="N156" s="1">
        <f>WEEKNUM(orders[[#This Row],[Order Date]])</f>
        <v>2</v>
      </c>
      <c r="O156" s="1" t="str" cm="1">
        <f t="array" ref="O156">_xlfn.IFS(orders[[#This Row],[Customer Gender]]="M","Male", orders[[#This Row],[Customer Gender]]="F","Female", orders[[#This Row],[Customer Gender]]="O","Other", TRUE,"Unknown")</f>
        <v>Female</v>
      </c>
    </row>
    <row r="157" spans="1:15">
      <c r="A157" s="1" t="s">
        <v>228</v>
      </c>
      <c r="B157" s="1" t="s">
        <v>44</v>
      </c>
      <c r="C157" s="1">
        <v>4</v>
      </c>
      <c r="D157" s="1">
        <v>28.8</v>
      </c>
      <c r="E157" s="11">
        <v>115.2</v>
      </c>
      <c r="F157" s="3">
        <v>45664</v>
      </c>
      <c r="G157" s="3">
        <v>45665</v>
      </c>
      <c r="H157" s="1" t="s">
        <v>27</v>
      </c>
      <c r="I157" s="1" t="s">
        <v>18</v>
      </c>
      <c r="J157" s="1">
        <v>2</v>
      </c>
      <c r="K157" s="1" t="s">
        <v>19</v>
      </c>
      <c r="L157" s="1" t="s">
        <v>55</v>
      </c>
      <c r="M157" s="1">
        <f>orders[[#This Row],[Ship Date]]-orders[[#This Row],[Order Date]]</f>
        <v>1</v>
      </c>
      <c r="N157" s="1">
        <f>WEEKNUM(orders[[#This Row],[Order Date]])</f>
        <v>2</v>
      </c>
      <c r="O157" s="1" t="str" cm="1">
        <f t="array" ref="O157">_xlfn.IFS(orders[[#This Row],[Customer Gender]]="M","Male", orders[[#This Row],[Customer Gender]]="F","Female", orders[[#This Row],[Customer Gender]]="O","Other", TRUE,"Unknown")</f>
        <v>Female</v>
      </c>
    </row>
    <row r="158" spans="1:15">
      <c r="A158" s="1" t="s">
        <v>229</v>
      </c>
      <c r="B158" s="1" t="s">
        <v>54</v>
      </c>
      <c r="C158" s="1">
        <v>5</v>
      </c>
      <c r="D158" s="1">
        <v>40.5</v>
      </c>
      <c r="E158" s="11">
        <v>202.5</v>
      </c>
      <c r="F158" s="3">
        <v>45664</v>
      </c>
      <c r="G158" s="3">
        <v>45668</v>
      </c>
      <c r="H158" s="1" t="s">
        <v>27</v>
      </c>
      <c r="I158" s="1" t="s">
        <v>51</v>
      </c>
      <c r="J158" s="1">
        <v>4</v>
      </c>
      <c r="K158" s="1" t="s">
        <v>19</v>
      </c>
      <c r="L158" s="1" t="s">
        <v>55</v>
      </c>
      <c r="M158" s="1">
        <f>orders[[#This Row],[Ship Date]]-orders[[#This Row],[Order Date]]</f>
        <v>4</v>
      </c>
      <c r="N158" s="1">
        <f>WEEKNUM(orders[[#This Row],[Order Date]])</f>
        <v>2</v>
      </c>
      <c r="O158" s="1" t="str" cm="1">
        <f t="array" ref="O158">_xlfn.IFS(orders[[#This Row],[Customer Gender]]="M","Male", orders[[#This Row],[Customer Gender]]="F","Female", orders[[#This Row],[Customer Gender]]="O","Other", TRUE,"Unknown")</f>
        <v>Female</v>
      </c>
    </row>
    <row r="159" spans="1:15">
      <c r="A159" s="1" t="s">
        <v>230</v>
      </c>
      <c r="B159" s="1" t="s">
        <v>146</v>
      </c>
      <c r="C159" s="1">
        <v>14</v>
      </c>
      <c r="D159" s="1">
        <v>65.099999999999994</v>
      </c>
      <c r="E159" s="11">
        <v>911.39999999999986</v>
      </c>
      <c r="F159" s="3">
        <v>45664</v>
      </c>
      <c r="G159" s="3">
        <v>45665</v>
      </c>
      <c r="H159" s="1" t="s">
        <v>27</v>
      </c>
      <c r="I159" s="1" t="s">
        <v>70</v>
      </c>
      <c r="J159" s="1">
        <v>4</v>
      </c>
      <c r="K159" s="1" t="s">
        <v>19</v>
      </c>
      <c r="L159" s="1" t="s">
        <v>59</v>
      </c>
      <c r="M159" s="1">
        <f>orders[[#This Row],[Ship Date]]-orders[[#This Row],[Order Date]]</f>
        <v>1</v>
      </c>
      <c r="N159" s="1">
        <f>WEEKNUM(orders[[#This Row],[Order Date]])</f>
        <v>2</v>
      </c>
      <c r="O159" s="1" t="str" cm="1">
        <f t="array" ref="O159">_xlfn.IFS(orders[[#This Row],[Customer Gender]]="M","Male", orders[[#This Row],[Customer Gender]]="F","Female", orders[[#This Row],[Customer Gender]]="O","Other", TRUE,"Unknown")</f>
        <v>Female</v>
      </c>
    </row>
    <row r="160" spans="1:15">
      <c r="A160" s="1" t="s">
        <v>231</v>
      </c>
      <c r="B160" s="1" t="s">
        <v>44</v>
      </c>
      <c r="C160" s="1">
        <v>4</v>
      </c>
      <c r="D160" s="1">
        <v>40.299999999999997</v>
      </c>
      <c r="E160" s="11">
        <v>161.19999999999999</v>
      </c>
      <c r="F160" s="3">
        <v>45664</v>
      </c>
      <c r="G160" s="3">
        <v>45669</v>
      </c>
      <c r="H160" s="1" t="s">
        <v>27</v>
      </c>
      <c r="I160" s="1" t="s">
        <v>40</v>
      </c>
      <c r="J160" s="1">
        <v>4</v>
      </c>
      <c r="K160" s="1" t="s">
        <v>19</v>
      </c>
      <c r="L160" s="1" t="s">
        <v>59</v>
      </c>
      <c r="M160" s="1">
        <f>orders[[#This Row],[Ship Date]]-orders[[#This Row],[Order Date]]</f>
        <v>5</v>
      </c>
      <c r="N160" s="1">
        <f>WEEKNUM(orders[[#This Row],[Order Date]])</f>
        <v>2</v>
      </c>
      <c r="O160" s="1" t="str" cm="1">
        <f t="array" ref="O160">_xlfn.IFS(orders[[#This Row],[Customer Gender]]="M","Male", orders[[#This Row],[Customer Gender]]="F","Female", orders[[#This Row],[Customer Gender]]="O","Other", TRUE,"Unknown")</f>
        <v>Female</v>
      </c>
    </row>
    <row r="161" spans="1:15">
      <c r="A161" s="1" t="s">
        <v>232</v>
      </c>
      <c r="B161" s="1" t="s">
        <v>39</v>
      </c>
      <c r="C161" s="1">
        <v>5</v>
      </c>
      <c r="D161" s="1">
        <v>51.8</v>
      </c>
      <c r="E161" s="11">
        <v>259</v>
      </c>
      <c r="F161" s="3">
        <v>45664</v>
      </c>
      <c r="G161" s="3">
        <v>45665</v>
      </c>
      <c r="H161" s="1" t="s">
        <v>23</v>
      </c>
      <c r="I161" s="1" t="s">
        <v>40</v>
      </c>
      <c r="J161" s="1">
        <v>5</v>
      </c>
      <c r="K161" s="1" t="s">
        <v>19</v>
      </c>
      <c r="L161" s="1" t="s">
        <v>62</v>
      </c>
      <c r="M161" s="1">
        <f>orders[[#This Row],[Ship Date]]-orders[[#This Row],[Order Date]]</f>
        <v>1</v>
      </c>
      <c r="N161" s="1">
        <f>WEEKNUM(orders[[#This Row],[Order Date]])</f>
        <v>2</v>
      </c>
      <c r="O161" s="1" t="str" cm="1">
        <f t="array" ref="O161">_xlfn.IFS(orders[[#This Row],[Customer Gender]]="M","Male", orders[[#This Row],[Customer Gender]]="F","Female", orders[[#This Row],[Customer Gender]]="O","Other", TRUE,"Unknown")</f>
        <v>Male</v>
      </c>
    </row>
    <row r="162" spans="1:15">
      <c r="A162" s="1" t="s">
        <v>233</v>
      </c>
      <c r="B162" s="1" t="s">
        <v>39</v>
      </c>
      <c r="C162" s="1">
        <v>3</v>
      </c>
      <c r="D162" s="1">
        <v>61.3</v>
      </c>
      <c r="E162" s="11">
        <v>183.89999999999998</v>
      </c>
      <c r="F162" s="3">
        <v>45664</v>
      </c>
      <c r="G162" s="3">
        <v>45665</v>
      </c>
      <c r="H162" s="1" t="s">
        <v>27</v>
      </c>
      <c r="I162" s="1" t="s">
        <v>51</v>
      </c>
      <c r="J162" s="1">
        <v>4</v>
      </c>
      <c r="K162" s="1" t="s">
        <v>19</v>
      </c>
      <c r="L162" s="1" t="s">
        <v>62</v>
      </c>
      <c r="M162" s="1">
        <f>orders[[#This Row],[Ship Date]]-orders[[#This Row],[Order Date]]</f>
        <v>1</v>
      </c>
      <c r="N162" s="1">
        <f>WEEKNUM(orders[[#This Row],[Order Date]])</f>
        <v>2</v>
      </c>
      <c r="O162" s="1" t="str" cm="1">
        <f t="array" ref="O162">_xlfn.IFS(orders[[#This Row],[Customer Gender]]="M","Male", orders[[#This Row],[Customer Gender]]="F","Female", orders[[#This Row],[Customer Gender]]="O","Other", TRUE,"Unknown")</f>
        <v>Female</v>
      </c>
    </row>
    <row r="163" spans="1:15">
      <c r="A163" s="1" t="s">
        <v>234</v>
      </c>
      <c r="B163" s="1" t="s">
        <v>26</v>
      </c>
      <c r="C163" s="1">
        <v>4</v>
      </c>
      <c r="D163" s="1">
        <v>122.5</v>
      </c>
      <c r="E163" s="11">
        <v>490</v>
      </c>
      <c r="F163" s="3">
        <v>45664</v>
      </c>
      <c r="G163" s="3">
        <v>45665</v>
      </c>
      <c r="H163" s="1" t="s">
        <v>23</v>
      </c>
      <c r="I163" s="1" t="s">
        <v>18</v>
      </c>
      <c r="J163" s="1">
        <v>4</v>
      </c>
      <c r="K163" s="1" t="s">
        <v>19</v>
      </c>
      <c r="L163" s="1" t="s">
        <v>62</v>
      </c>
      <c r="M163" s="1">
        <f>orders[[#This Row],[Ship Date]]-orders[[#This Row],[Order Date]]</f>
        <v>1</v>
      </c>
      <c r="N163" s="1">
        <f>WEEKNUM(orders[[#This Row],[Order Date]])</f>
        <v>2</v>
      </c>
      <c r="O163" s="1" t="str" cm="1">
        <f t="array" ref="O163">_xlfn.IFS(orders[[#This Row],[Customer Gender]]="M","Male", orders[[#This Row],[Customer Gender]]="F","Female", orders[[#This Row],[Customer Gender]]="O","Other", TRUE,"Unknown")</f>
        <v>Male</v>
      </c>
    </row>
    <row r="164" spans="1:15">
      <c r="A164" s="1" t="s">
        <v>235</v>
      </c>
      <c r="B164" s="1" t="s">
        <v>16</v>
      </c>
      <c r="C164" s="1">
        <v>9</v>
      </c>
      <c r="D164" s="1">
        <v>12.5</v>
      </c>
      <c r="E164" s="11">
        <v>112.5</v>
      </c>
      <c r="F164" s="3">
        <v>45664</v>
      </c>
      <c r="G164" s="3">
        <v>45665</v>
      </c>
      <c r="H164" s="1" t="s">
        <v>17</v>
      </c>
      <c r="I164" s="1" t="s">
        <v>35</v>
      </c>
      <c r="J164" s="1">
        <v>5</v>
      </c>
      <c r="K164" s="1" t="s">
        <v>19</v>
      </c>
      <c r="L164" s="1" t="s">
        <v>62</v>
      </c>
      <c r="M164" s="1">
        <f>orders[[#This Row],[Ship Date]]-orders[[#This Row],[Order Date]]</f>
        <v>1</v>
      </c>
      <c r="N164" s="1">
        <f>WEEKNUM(orders[[#This Row],[Order Date]])</f>
        <v>2</v>
      </c>
      <c r="O164" s="1" t="str" cm="1">
        <f t="array" ref="O164">_xlfn.IFS(orders[[#This Row],[Customer Gender]]="M","Male", orders[[#This Row],[Customer Gender]]="F","Female", orders[[#This Row],[Customer Gender]]="O","Other", TRUE,"Unknown")</f>
        <v>Unknown</v>
      </c>
    </row>
    <row r="165" spans="1:15">
      <c r="A165" s="1" t="s">
        <v>236</v>
      </c>
      <c r="B165" s="1" t="s">
        <v>123</v>
      </c>
      <c r="C165" s="1">
        <v>8</v>
      </c>
      <c r="D165" s="1">
        <v>37.5</v>
      </c>
      <c r="E165" s="11">
        <v>300</v>
      </c>
      <c r="F165" s="3">
        <v>45664</v>
      </c>
      <c r="G165" s="3">
        <v>45665</v>
      </c>
      <c r="H165" s="1" t="s">
        <v>27</v>
      </c>
      <c r="I165" s="1" t="s">
        <v>18</v>
      </c>
      <c r="J165" s="1">
        <v>4</v>
      </c>
      <c r="K165" s="1" t="s">
        <v>19</v>
      </c>
      <c r="L165" s="1" t="s">
        <v>72</v>
      </c>
      <c r="M165" s="1">
        <f>orders[[#This Row],[Ship Date]]-orders[[#This Row],[Order Date]]</f>
        <v>1</v>
      </c>
      <c r="N165" s="1">
        <f>WEEKNUM(orders[[#This Row],[Order Date]])</f>
        <v>2</v>
      </c>
      <c r="O165" s="1" t="str" cm="1">
        <f t="array" ref="O165">_xlfn.IFS(orders[[#This Row],[Customer Gender]]="M","Male", orders[[#This Row],[Customer Gender]]="F","Female", orders[[#This Row],[Customer Gender]]="O","Other", TRUE,"Unknown")</f>
        <v>Female</v>
      </c>
    </row>
    <row r="166" spans="1:15">
      <c r="A166" s="1" t="s">
        <v>237</v>
      </c>
      <c r="B166" s="1" t="s">
        <v>39</v>
      </c>
      <c r="C166" s="1">
        <v>3</v>
      </c>
      <c r="D166" s="1">
        <v>40</v>
      </c>
      <c r="E166" s="11">
        <v>120</v>
      </c>
      <c r="F166" s="3">
        <v>45664</v>
      </c>
      <c r="G166" s="3">
        <v>45667</v>
      </c>
      <c r="H166" s="1" t="s">
        <v>23</v>
      </c>
      <c r="I166" s="1" t="s">
        <v>18</v>
      </c>
      <c r="J166" s="1">
        <v>2</v>
      </c>
      <c r="K166" s="1" t="s">
        <v>19</v>
      </c>
      <c r="L166" s="1" t="s">
        <v>77</v>
      </c>
      <c r="M166" s="1">
        <f>orders[[#This Row],[Ship Date]]-orders[[#This Row],[Order Date]]</f>
        <v>3</v>
      </c>
      <c r="N166" s="1">
        <f>WEEKNUM(orders[[#This Row],[Order Date]])</f>
        <v>2</v>
      </c>
      <c r="O166" s="1" t="str" cm="1">
        <f t="array" ref="O166">_xlfn.IFS(orders[[#This Row],[Customer Gender]]="M","Male", orders[[#This Row],[Customer Gender]]="F","Female", orders[[#This Row],[Customer Gender]]="O","Other", TRUE,"Unknown")</f>
        <v>Male</v>
      </c>
    </row>
    <row r="167" spans="1:15">
      <c r="A167" s="1" t="s">
        <v>238</v>
      </c>
      <c r="B167" s="1" t="s">
        <v>135</v>
      </c>
      <c r="C167" s="1">
        <v>8</v>
      </c>
      <c r="D167" s="1">
        <v>38.5</v>
      </c>
      <c r="E167" s="11">
        <v>308</v>
      </c>
      <c r="F167" s="3">
        <v>45664</v>
      </c>
      <c r="G167" s="3">
        <v>45669</v>
      </c>
      <c r="H167" s="1" t="s">
        <v>27</v>
      </c>
      <c r="I167" s="1" t="s">
        <v>40</v>
      </c>
      <c r="J167" s="1">
        <v>3</v>
      </c>
      <c r="K167" s="1" t="s">
        <v>19</v>
      </c>
      <c r="L167" s="1" t="s">
        <v>77</v>
      </c>
      <c r="M167" s="1">
        <f>orders[[#This Row],[Ship Date]]-orders[[#This Row],[Order Date]]</f>
        <v>5</v>
      </c>
      <c r="N167" s="1">
        <f>WEEKNUM(orders[[#This Row],[Order Date]])</f>
        <v>2</v>
      </c>
      <c r="O167" s="1" t="str" cm="1">
        <f t="array" ref="O167">_xlfn.IFS(orders[[#This Row],[Customer Gender]]="M","Male", orders[[#This Row],[Customer Gender]]="F","Female", orders[[#This Row],[Customer Gender]]="O","Other", TRUE,"Unknown")</f>
        <v>Female</v>
      </c>
    </row>
    <row r="168" spans="1:15">
      <c r="A168" s="1" t="s">
        <v>239</v>
      </c>
      <c r="B168" s="1" t="s">
        <v>26</v>
      </c>
      <c r="C168" s="1">
        <v>2</v>
      </c>
      <c r="D168" s="1">
        <v>86.4</v>
      </c>
      <c r="E168" s="11">
        <v>172.8</v>
      </c>
      <c r="F168" s="3">
        <v>45664</v>
      </c>
      <c r="G168" s="3">
        <v>45666</v>
      </c>
      <c r="H168" s="1" t="s">
        <v>27</v>
      </c>
      <c r="I168" s="1" t="s">
        <v>18</v>
      </c>
      <c r="J168" s="1">
        <v>4</v>
      </c>
      <c r="K168" s="1" t="s">
        <v>19</v>
      </c>
      <c r="L168" s="1" t="s">
        <v>108</v>
      </c>
      <c r="M168" s="1">
        <f>orders[[#This Row],[Ship Date]]-orders[[#This Row],[Order Date]]</f>
        <v>2</v>
      </c>
      <c r="N168" s="1">
        <f>WEEKNUM(orders[[#This Row],[Order Date]])</f>
        <v>2</v>
      </c>
      <c r="O168" s="1" t="str" cm="1">
        <f t="array" ref="O168">_xlfn.IFS(orders[[#This Row],[Customer Gender]]="M","Male", orders[[#This Row],[Customer Gender]]="F","Female", orders[[#This Row],[Customer Gender]]="O","Other", TRUE,"Unknown")</f>
        <v>Female</v>
      </c>
    </row>
    <row r="169" spans="1:15">
      <c r="A169" s="1" t="s">
        <v>240</v>
      </c>
      <c r="B169" s="1" t="s">
        <v>54</v>
      </c>
      <c r="C169" s="1">
        <v>1</v>
      </c>
      <c r="D169" s="1">
        <v>50.7</v>
      </c>
      <c r="E169" s="11">
        <v>50.7</v>
      </c>
      <c r="F169" s="3">
        <v>45664</v>
      </c>
      <c r="G169" s="3">
        <v>45668</v>
      </c>
      <c r="H169" s="1" t="s">
        <v>27</v>
      </c>
      <c r="I169" s="1" t="s">
        <v>35</v>
      </c>
      <c r="J169" s="1">
        <v>4</v>
      </c>
      <c r="K169" s="1" t="s">
        <v>19</v>
      </c>
      <c r="L169" s="1" t="s">
        <v>108</v>
      </c>
      <c r="M169" s="1">
        <f>orders[[#This Row],[Ship Date]]-orders[[#This Row],[Order Date]]</f>
        <v>4</v>
      </c>
      <c r="N169" s="1">
        <f>WEEKNUM(orders[[#This Row],[Order Date]])</f>
        <v>2</v>
      </c>
      <c r="O169" s="1" t="str" cm="1">
        <f t="array" ref="O169">_xlfn.IFS(orders[[#This Row],[Customer Gender]]="M","Male", orders[[#This Row],[Customer Gender]]="F","Female", orders[[#This Row],[Customer Gender]]="O","Other", TRUE,"Unknown")</f>
        <v>Female</v>
      </c>
    </row>
    <row r="170" spans="1:15">
      <c r="A170" s="1" t="s">
        <v>241</v>
      </c>
      <c r="B170" s="1" t="s">
        <v>54</v>
      </c>
      <c r="C170" s="1">
        <v>2</v>
      </c>
      <c r="D170" s="1">
        <v>61</v>
      </c>
      <c r="E170" s="11">
        <v>122</v>
      </c>
      <c r="F170" s="3">
        <v>45664</v>
      </c>
      <c r="G170" s="3">
        <v>45675</v>
      </c>
      <c r="H170" s="1" t="s">
        <v>27</v>
      </c>
      <c r="I170" s="1" t="s">
        <v>70</v>
      </c>
      <c r="J170" s="1">
        <v>3</v>
      </c>
      <c r="K170" s="1" t="s">
        <v>19</v>
      </c>
      <c r="L170" s="1" t="s">
        <v>108</v>
      </c>
      <c r="M170" s="1">
        <f>orders[[#This Row],[Ship Date]]-orders[[#This Row],[Order Date]]</f>
        <v>11</v>
      </c>
      <c r="N170" s="1">
        <f>WEEKNUM(orders[[#This Row],[Order Date]])</f>
        <v>2</v>
      </c>
      <c r="O170" s="1" t="str" cm="1">
        <f t="array" ref="O170">_xlfn.IFS(orders[[#This Row],[Customer Gender]]="M","Male", orders[[#This Row],[Customer Gender]]="F","Female", orders[[#This Row],[Customer Gender]]="O","Other", TRUE,"Unknown")</f>
        <v>Female</v>
      </c>
    </row>
    <row r="171" spans="1:15">
      <c r="A171" s="1" t="s">
        <v>242</v>
      </c>
      <c r="B171" s="1" t="s">
        <v>32</v>
      </c>
      <c r="C171" s="1">
        <v>2</v>
      </c>
      <c r="D171" s="1">
        <v>19.899999999999999</v>
      </c>
      <c r="E171" s="11">
        <v>39.799999999999997</v>
      </c>
      <c r="F171" s="3">
        <v>45664</v>
      </c>
      <c r="G171" s="3">
        <v>45667</v>
      </c>
      <c r="H171" s="1" t="s">
        <v>27</v>
      </c>
      <c r="I171" s="1" t="s">
        <v>35</v>
      </c>
      <c r="J171" s="1">
        <v>4</v>
      </c>
      <c r="K171" s="1" t="s">
        <v>19</v>
      </c>
      <c r="L171" s="1" t="s">
        <v>243</v>
      </c>
      <c r="M171" s="1">
        <f>orders[[#This Row],[Ship Date]]-orders[[#This Row],[Order Date]]</f>
        <v>3</v>
      </c>
      <c r="N171" s="1">
        <f>WEEKNUM(orders[[#This Row],[Order Date]])</f>
        <v>2</v>
      </c>
      <c r="O171" s="1" t="str" cm="1">
        <f t="array" ref="O171">_xlfn.IFS(orders[[#This Row],[Customer Gender]]="M","Male", orders[[#This Row],[Customer Gender]]="F","Female", orders[[#This Row],[Customer Gender]]="O","Other", TRUE,"Unknown")</f>
        <v>Female</v>
      </c>
    </row>
    <row r="172" spans="1:15">
      <c r="A172" s="1" t="s">
        <v>244</v>
      </c>
      <c r="B172" s="1" t="s">
        <v>37</v>
      </c>
      <c r="C172" s="1">
        <v>1</v>
      </c>
      <c r="D172" s="1">
        <v>78.3</v>
      </c>
      <c r="E172" s="11">
        <v>78.3</v>
      </c>
      <c r="F172" s="3">
        <v>45664</v>
      </c>
      <c r="G172" s="3">
        <v>45664</v>
      </c>
      <c r="H172" s="1" t="s">
        <v>27</v>
      </c>
      <c r="I172" s="1" t="s">
        <v>18</v>
      </c>
      <c r="J172" s="1">
        <v>5</v>
      </c>
      <c r="K172" s="1" t="s">
        <v>19</v>
      </c>
      <c r="L172" s="1" t="s">
        <v>24</v>
      </c>
      <c r="M172" s="1">
        <f>orders[[#This Row],[Ship Date]]-orders[[#This Row],[Order Date]]</f>
        <v>0</v>
      </c>
      <c r="N172" s="1">
        <f>WEEKNUM(orders[[#This Row],[Order Date]])</f>
        <v>2</v>
      </c>
      <c r="O172" s="1" t="str" cm="1">
        <f t="array" ref="O172">_xlfn.IFS(orders[[#This Row],[Customer Gender]]="M","Male", orders[[#This Row],[Customer Gender]]="F","Female", orders[[#This Row],[Customer Gender]]="O","Other", TRUE,"Unknown")</f>
        <v>Female</v>
      </c>
    </row>
    <row r="173" spans="1:15">
      <c r="A173" s="1" t="s">
        <v>245</v>
      </c>
      <c r="B173" s="1" t="s">
        <v>16</v>
      </c>
      <c r="C173" s="1">
        <v>19</v>
      </c>
      <c r="D173" s="1">
        <v>10.4</v>
      </c>
      <c r="E173" s="11">
        <v>197.6</v>
      </c>
      <c r="F173" s="3">
        <v>45664</v>
      </c>
      <c r="G173" s="3">
        <v>45666</v>
      </c>
      <c r="H173" s="1" t="s">
        <v>23</v>
      </c>
      <c r="I173" s="1" t="s">
        <v>18</v>
      </c>
      <c r="J173" s="1">
        <v>5</v>
      </c>
      <c r="K173" s="1" t="s">
        <v>19</v>
      </c>
      <c r="L173" s="1" t="s">
        <v>28</v>
      </c>
      <c r="M173" s="1">
        <f>orders[[#This Row],[Ship Date]]-orders[[#This Row],[Order Date]]</f>
        <v>2</v>
      </c>
      <c r="N173" s="1">
        <f>WEEKNUM(orders[[#This Row],[Order Date]])</f>
        <v>2</v>
      </c>
      <c r="O173" s="1" t="str" cm="1">
        <f t="array" ref="O173">_xlfn.IFS(orders[[#This Row],[Customer Gender]]="M","Male", orders[[#This Row],[Customer Gender]]="F","Female", orders[[#This Row],[Customer Gender]]="O","Other", TRUE,"Unknown")</f>
        <v>Male</v>
      </c>
    </row>
    <row r="174" spans="1:15">
      <c r="A174" s="1" t="s">
        <v>246</v>
      </c>
      <c r="B174" s="1" t="s">
        <v>54</v>
      </c>
      <c r="C174" s="1">
        <v>1</v>
      </c>
      <c r="D174" s="1">
        <v>36.1</v>
      </c>
      <c r="E174" s="11">
        <v>36.1</v>
      </c>
      <c r="F174" s="3">
        <v>45664</v>
      </c>
      <c r="G174" s="3">
        <v>45667</v>
      </c>
      <c r="H174" s="1" t="s">
        <v>23</v>
      </c>
      <c r="I174" s="1" t="s">
        <v>51</v>
      </c>
      <c r="J174" s="1">
        <v>5</v>
      </c>
      <c r="K174" s="1" t="s">
        <v>19</v>
      </c>
      <c r="L174" s="1" t="s">
        <v>33</v>
      </c>
      <c r="M174" s="1">
        <f>orders[[#This Row],[Ship Date]]-orders[[#This Row],[Order Date]]</f>
        <v>3</v>
      </c>
      <c r="N174" s="1">
        <f>WEEKNUM(orders[[#This Row],[Order Date]])</f>
        <v>2</v>
      </c>
      <c r="O174" s="1" t="str" cm="1">
        <f t="array" ref="O174">_xlfn.IFS(orders[[#This Row],[Customer Gender]]="M","Male", orders[[#This Row],[Customer Gender]]="F","Female", orders[[#This Row],[Customer Gender]]="O","Other", TRUE,"Unknown")</f>
        <v>Male</v>
      </c>
    </row>
    <row r="175" spans="1:15">
      <c r="A175" s="1" t="s">
        <v>247</v>
      </c>
      <c r="B175" s="1" t="s">
        <v>81</v>
      </c>
      <c r="C175" s="1">
        <v>2</v>
      </c>
      <c r="D175" s="1">
        <v>17.3</v>
      </c>
      <c r="E175" s="11">
        <v>34.6</v>
      </c>
      <c r="F175" s="3">
        <v>45664</v>
      </c>
      <c r="G175" s="3">
        <v>45666</v>
      </c>
      <c r="H175" s="1" t="s">
        <v>27</v>
      </c>
      <c r="I175" s="1" t="s">
        <v>35</v>
      </c>
      <c r="J175" s="1">
        <v>5</v>
      </c>
      <c r="K175" s="1" t="s">
        <v>19</v>
      </c>
      <c r="L175" s="1" t="s">
        <v>33</v>
      </c>
      <c r="M175" s="1">
        <f>orders[[#This Row],[Ship Date]]-orders[[#This Row],[Order Date]]</f>
        <v>2</v>
      </c>
      <c r="N175" s="1">
        <f>WEEKNUM(orders[[#This Row],[Order Date]])</f>
        <v>2</v>
      </c>
      <c r="O175" s="1" t="str" cm="1">
        <f t="array" ref="O175">_xlfn.IFS(orders[[#This Row],[Customer Gender]]="M","Male", orders[[#This Row],[Customer Gender]]="F","Female", orders[[#This Row],[Customer Gender]]="O","Other", TRUE,"Unknown")</f>
        <v>Female</v>
      </c>
    </row>
    <row r="176" spans="1:15">
      <c r="A176" s="1" t="s">
        <v>248</v>
      </c>
      <c r="B176" s="1" t="s">
        <v>54</v>
      </c>
      <c r="C176" s="1">
        <v>2</v>
      </c>
      <c r="D176" s="1">
        <v>30.5</v>
      </c>
      <c r="E176" s="11">
        <v>61</v>
      </c>
      <c r="F176" s="3">
        <v>45664</v>
      </c>
      <c r="G176" s="3">
        <v>45665</v>
      </c>
      <c r="H176" s="1" t="s">
        <v>27</v>
      </c>
      <c r="I176" s="1" t="s">
        <v>35</v>
      </c>
      <c r="J176" s="1">
        <v>5</v>
      </c>
      <c r="K176" s="1" t="s">
        <v>19</v>
      </c>
      <c r="L176" s="1" t="s">
        <v>33</v>
      </c>
      <c r="M176" s="1">
        <f>orders[[#This Row],[Ship Date]]-orders[[#This Row],[Order Date]]</f>
        <v>1</v>
      </c>
      <c r="N176" s="1">
        <f>WEEKNUM(orders[[#This Row],[Order Date]])</f>
        <v>2</v>
      </c>
      <c r="O176" s="1" t="str" cm="1">
        <f t="array" ref="O176">_xlfn.IFS(orders[[#This Row],[Customer Gender]]="M","Male", orders[[#This Row],[Customer Gender]]="F","Female", orders[[#This Row],[Customer Gender]]="O","Other", TRUE,"Unknown")</f>
        <v>Female</v>
      </c>
    </row>
    <row r="177" spans="1:15">
      <c r="A177" s="1" t="s">
        <v>249</v>
      </c>
      <c r="B177" s="1" t="s">
        <v>146</v>
      </c>
      <c r="C177" s="1">
        <v>62</v>
      </c>
      <c r="D177" s="1">
        <v>70.099999999999994</v>
      </c>
      <c r="E177" s="11">
        <v>4346.2</v>
      </c>
      <c r="F177" s="3">
        <v>45664</v>
      </c>
      <c r="G177" s="3">
        <v>45664</v>
      </c>
      <c r="H177" s="1" t="s">
        <v>27</v>
      </c>
      <c r="I177" s="1" t="s">
        <v>40</v>
      </c>
      <c r="J177" s="1">
        <v>4</v>
      </c>
      <c r="K177" s="1" t="s">
        <v>19</v>
      </c>
      <c r="L177" s="1" t="s">
        <v>33</v>
      </c>
      <c r="M177" s="1">
        <f>orders[[#This Row],[Ship Date]]-orders[[#This Row],[Order Date]]</f>
        <v>0</v>
      </c>
      <c r="N177" s="1">
        <f>WEEKNUM(orders[[#This Row],[Order Date]])</f>
        <v>2</v>
      </c>
      <c r="O177" s="1" t="str" cm="1">
        <f t="array" ref="O177">_xlfn.IFS(orders[[#This Row],[Customer Gender]]="M","Male", orders[[#This Row],[Customer Gender]]="F","Female", orders[[#This Row],[Customer Gender]]="O","Other", TRUE,"Unknown")</f>
        <v>Female</v>
      </c>
    </row>
    <row r="178" spans="1:15">
      <c r="A178" s="1" t="s">
        <v>250</v>
      </c>
      <c r="B178" s="1" t="s">
        <v>30</v>
      </c>
      <c r="C178" s="1">
        <v>1</v>
      </c>
      <c r="D178" s="1">
        <v>76.099999999999994</v>
      </c>
      <c r="E178" s="11">
        <v>76.099999999999994</v>
      </c>
      <c r="F178" s="3">
        <v>45664</v>
      </c>
      <c r="G178" s="3">
        <v>45664</v>
      </c>
      <c r="H178" s="1" t="s">
        <v>27</v>
      </c>
      <c r="I178" s="1" t="s">
        <v>40</v>
      </c>
      <c r="J178" s="1">
        <v>3</v>
      </c>
      <c r="K178" s="1" t="s">
        <v>19</v>
      </c>
      <c r="L178" s="1" t="s">
        <v>33</v>
      </c>
      <c r="M178" s="1">
        <f>orders[[#This Row],[Ship Date]]-orders[[#This Row],[Order Date]]</f>
        <v>0</v>
      </c>
      <c r="N178" s="1">
        <f>WEEKNUM(orders[[#This Row],[Order Date]])</f>
        <v>2</v>
      </c>
      <c r="O178" s="1" t="str" cm="1">
        <f t="array" ref="O178">_xlfn.IFS(orders[[#This Row],[Customer Gender]]="M","Male", orders[[#This Row],[Customer Gender]]="F","Female", orders[[#This Row],[Customer Gender]]="O","Other", TRUE,"Unknown")</f>
        <v>Female</v>
      </c>
    </row>
    <row r="179" spans="1:15">
      <c r="A179" s="1" t="s">
        <v>251</v>
      </c>
      <c r="B179" s="1" t="s">
        <v>123</v>
      </c>
      <c r="C179" s="1">
        <v>13</v>
      </c>
      <c r="D179" s="1">
        <v>34.200000000000003</v>
      </c>
      <c r="E179" s="11">
        <v>444.6</v>
      </c>
      <c r="F179" s="3">
        <v>45664</v>
      </c>
      <c r="G179" s="3">
        <v>45665</v>
      </c>
      <c r="H179" s="1" t="s">
        <v>23</v>
      </c>
      <c r="I179" s="1" t="s">
        <v>18</v>
      </c>
      <c r="J179" s="1">
        <v>4</v>
      </c>
      <c r="K179" s="1" t="s">
        <v>19</v>
      </c>
      <c r="L179" s="1" t="s">
        <v>33</v>
      </c>
      <c r="M179" s="1">
        <f>orders[[#This Row],[Ship Date]]-orders[[#This Row],[Order Date]]</f>
        <v>1</v>
      </c>
      <c r="N179" s="1">
        <f>WEEKNUM(orders[[#This Row],[Order Date]])</f>
        <v>2</v>
      </c>
      <c r="O179" s="1" t="str" cm="1">
        <f t="array" ref="O179">_xlfn.IFS(orders[[#This Row],[Customer Gender]]="M","Male", orders[[#This Row],[Customer Gender]]="F","Female", orders[[#This Row],[Customer Gender]]="O","Other", TRUE,"Unknown")</f>
        <v>Male</v>
      </c>
    </row>
    <row r="180" spans="1:15">
      <c r="A180" s="1" t="s">
        <v>252</v>
      </c>
      <c r="B180" s="1" t="s">
        <v>44</v>
      </c>
      <c r="C180" s="1">
        <v>5</v>
      </c>
      <c r="D180" s="1">
        <v>30.3</v>
      </c>
      <c r="E180" s="11">
        <v>151.5</v>
      </c>
      <c r="F180" s="3">
        <v>45664</v>
      </c>
      <c r="G180" s="3">
        <v>45669</v>
      </c>
      <c r="H180" s="1" t="s">
        <v>27</v>
      </c>
      <c r="I180" s="1" t="s">
        <v>70</v>
      </c>
      <c r="J180" s="1">
        <v>4</v>
      </c>
      <c r="K180" s="1" t="s">
        <v>19</v>
      </c>
      <c r="L180" s="1" t="s">
        <v>33</v>
      </c>
      <c r="M180" s="1">
        <f>orders[[#This Row],[Ship Date]]-orders[[#This Row],[Order Date]]</f>
        <v>5</v>
      </c>
      <c r="N180" s="1">
        <f>WEEKNUM(orders[[#This Row],[Order Date]])</f>
        <v>2</v>
      </c>
      <c r="O180" s="1" t="str" cm="1">
        <f t="array" ref="O180">_xlfn.IFS(orders[[#This Row],[Customer Gender]]="M","Male", orders[[#This Row],[Customer Gender]]="F","Female", orders[[#This Row],[Customer Gender]]="O","Other", TRUE,"Unknown")</f>
        <v>Female</v>
      </c>
    </row>
    <row r="181" spans="1:15">
      <c r="A181" s="1" t="s">
        <v>253</v>
      </c>
      <c r="B181" s="1" t="s">
        <v>39</v>
      </c>
      <c r="C181" s="1">
        <v>5</v>
      </c>
      <c r="D181" s="1">
        <v>52.5</v>
      </c>
      <c r="E181" s="11">
        <v>262.5</v>
      </c>
      <c r="F181" s="3">
        <v>45664</v>
      </c>
      <c r="G181" s="3">
        <v>45668</v>
      </c>
      <c r="H181" s="1" t="s">
        <v>17</v>
      </c>
      <c r="I181" s="1" t="s">
        <v>51</v>
      </c>
      <c r="J181" s="1">
        <v>4</v>
      </c>
      <c r="K181" s="1" t="s">
        <v>19</v>
      </c>
      <c r="L181" s="1" t="s">
        <v>33</v>
      </c>
      <c r="M181" s="1">
        <f>orders[[#This Row],[Ship Date]]-orders[[#This Row],[Order Date]]</f>
        <v>4</v>
      </c>
      <c r="N181" s="1">
        <f>WEEKNUM(orders[[#This Row],[Order Date]])</f>
        <v>2</v>
      </c>
      <c r="O181" s="1" t="str" cm="1">
        <f t="array" ref="O181">_xlfn.IFS(orders[[#This Row],[Customer Gender]]="M","Male", orders[[#This Row],[Customer Gender]]="F","Female", orders[[#This Row],[Customer Gender]]="O","Other", TRUE,"Unknown")</f>
        <v>Unknown</v>
      </c>
    </row>
    <row r="182" spans="1:15">
      <c r="A182" s="1" t="s">
        <v>254</v>
      </c>
      <c r="B182" s="1" t="s">
        <v>46</v>
      </c>
      <c r="C182" s="1">
        <v>11</v>
      </c>
      <c r="D182" s="1">
        <v>28.7</v>
      </c>
      <c r="E182" s="11">
        <v>315.7</v>
      </c>
      <c r="F182" s="3">
        <v>45664</v>
      </c>
      <c r="G182" s="3">
        <v>45665</v>
      </c>
      <c r="H182" s="1" t="s">
        <v>27</v>
      </c>
      <c r="I182" s="1" t="s">
        <v>40</v>
      </c>
      <c r="J182" s="1">
        <v>4</v>
      </c>
      <c r="K182" s="1" t="s">
        <v>19</v>
      </c>
      <c r="L182" s="1" t="s">
        <v>33</v>
      </c>
      <c r="M182" s="1">
        <f>orders[[#This Row],[Ship Date]]-orders[[#This Row],[Order Date]]</f>
        <v>1</v>
      </c>
      <c r="N182" s="1">
        <f>WEEKNUM(orders[[#This Row],[Order Date]])</f>
        <v>2</v>
      </c>
      <c r="O182" s="1" t="str" cm="1">
        <f t="array" ref="O182">_xlfn.IFS(orders[[#This Row],[Customer Gender]]="M","Male", orders[[#This Row],[Customer Gender]]="F","Female", orders[[#This Row],[Customer Gender]]="O","Other", TRUE,"Unknown")</f>
        <v>Female</v>
      </c>
    </row>
    <row r="183" spans="1:15">
      <c r="A183" s="1" t="s">
        <v>255</v>
      </c>
      <c r="B183" s="1" t="s">
        <v>42</v>
      </c>
      <c r="C183" s="1">
        <v>7</v>
      </c>
      <c r="D183" s="1">
        <v>52</v>
      </c>
      <c r="E183" s="11">
        <v>364</v>
      </c>
      <c r="F183" s="3">
        <v>45664</v>
      </c>
      <c r="G183" s="3">
        <v>45665</v>
      </c>
      <c r="H183" s="1" t="s">
        <v>23</v>
      </c>
      <c r="I183" s="1" t="s">
        <v>35</v>
      </c>
      <c r="J183" s="1">
        <v>2</v>
      </c>
      <c r="K183" s="1" t="s">
        <v>19</v>
      </c>
      <c r="L183" s="1" t="s">
        <v>33</v>
      </c>
      <c r="M183" s="1">
        <f>orders[[#This Row],[Ship Date]]-orders[[#This Row],[Order Date]]</f>
        <v>1</v>
      </c>
      <c r="N183" s="1">
        <f>WEEKNUM(orders[[#This Row],[Order Date]])</f>
        <v>2</v>
      </c>
      <c r="O183" s="1" t="str" cm="1">
        <f t="array" ref="O183">_xlfn.IFS(orders[[#This Row],[Customer Gender]]="M","Male", orders[[#This Row],[Customer Gender]]="F","Female", orders[[#This Row],[Customer Gender]]="O","Other", TRUE,"Unknown")</f>
        <v>Male</v>
      </c>
    </row>
    <row r="184" spans="1:15">
      <c r="A184" s="1" t="s">
        <v>256</v>
      </c>
      <c r="B184" s="1" t="s">
        <v>16</v>
      </c>
      <c r="C184" s="1">
        <v>1</v>
      </c>
      <c r="D184" s="1">
        <v>13.3</v>
      </c>
      <c r="E184" s="11">
        <v>13.3</v>
      </c>
      <c r="F184" s="3">
        <v>45665</v>
      </c>
      <c r="G184" s="3">
        <v>45669</v>
      </c>
      <c r="H184" s="1" t="s">
        <v>27</v>
      </c>
      <c r="I184" s="1" t="s">
        <v>40</v>
      </c>
      <c r="J184" s="1">
        <v>3</v>
      </c>
      <c r="K184" s="1" t="s">
        <v>19</v>
      </c>
      <c r="L184" s="1" t="s">
        <v>33</v>
      </c>
      <c r="M184" s="1">
        <f>orders[[#This Row],[Ship Date]]-orders[[#This Row],[Order Date]]</f>
        <v>4</v>
      </c>
      <c r="N184" s="1">
        <f>WEEKNUM(orders[[#This Row],[Order Date]])</f>
        <v>2</v>
      </c>
      <c r="O184" s="1" t="str" cm="1">
        <f t="array" ref="O184">_xlfn.IFS(orders[[#This Row],[Customer Gender]]="M","Male", orders[[#This Row],[Customer Gender]]="F","Female", orders[[#This Row],[Customer Gender]]="O","Other", TRUE,"Unknown")</f>
        <v>Female</v>
      </c>
    </row>
    <row r="185" spans="1:15">
      <c r="A185" s="1" t="s">
        <v>257</v>
      </c>
      <c r="B185" s="1" t="s">
        <v>16</v>
      </c>
      <c r="C185" s="1">
        <v>3</v>
      </c>
      <c r="D185" s="1">
        <v>15.7</v>
      </c>
      <c r="E185" s="11">
        <v>47.099999999999994</v>
      </c>
      <c r="F185" s="3">
        <v>45665</v>
      </c>
      <c r="G185" s="3">
        <v>45666</v>
      </c>
      <c r="H185" s="1" t="s">
        <v>27</v>
      </c>
      <c r="I185" s="1" t="s">
        <v>35</v>
      </c>
      <c r="J185" s="1">
        <v>4</v>
      </c>
      <c r="K185" s="1" t="s">
        <v>19</v>
      </c>
      <c r="L185" s="1" t="s">
        <v>258</v>
      </c>
      <c r="M185" s="1">
        <f>orders[[#This Row],[Ship Date]]-orders[[#This Row],[Order Date]]</f>
        <v>1</v>
      </c>
      <c r="N185" s="1">
        <f>WEEKNUM(orders[[#This Row],[Order Date]])</f>
        <v>2</v>
      </c>
      <c r="O185" s="1" t="str" cm="1">
        <f t="array" ref="O185">_xlfn.IFS(orders[[#This Row],[Customer Gender]]="M","Male", orders[[#This Row],[Customer Gender]]="F","Female", orders[[#This Row],[Customer Gender]]="O","Other", TRUE,"Unknown")</f>
        <v>Female</v>
      </c>
    </row>
    <row r="186" spans="1:15">
      <c r="A186" s="1" t="s">
        <v>259</v>
      </c>
      <c r="B186" s="1" t="s">
        <v>44</v>
      </c>
      <c r="C186" s="1">
        <v>2</v>
      </c>
      <c r="D186" s="1">
        <v>25.6</v>
      </c>
      <c r="E186" s="11">
        <v>51.2</v>
      </c>
      <c r="F186" s="3">
        <v>45665</v>
      </c>
      <c r="G186" s="3">
        <v>45666</v>
      </c>
      <c r="H186" s="1" t="s">
        <v>23</v>
      </c>
      <c r="I186" s="1" t="s">
        <v>18</v>
      </c>
      <c r="J186" s="1">
        <v>5</v>
      </c>
      <c r="K186" s="1" t="s">
        <v>19</v>
      </c>
      <c r="L186" s="1" t="s">
        <v>158</v>
      </c>
      <c r="M186" s="1">
        <f>orders[[#This Row],[Ship Date]]-orders[[#This Row],[Order Date]]</f>
        <v>1</v>
      </c>
      <c r="N186" s="1">
        <f>WEEKNUM(orders[[#This Row],[Order Date]])</f>
        <v>2</v>
      </c>
      <c r="O186" s="1" t="str" cm="1">
        <f t="array" ref="O186">_xlfn.IFS(orders[[#This Row],[Customer Gender]]="M","Male", orders[[#This Row],[Customer Gender]]="F","Female", orders[[#This Row],[Customer Gender]]="O","Other", TRUE,"Unknown")</f>
        <v>Male</v>
      </c>
    </row>
    <row r="187" spans="1:15">
      <c r="A187" s="1" t="s">
        <v>260</v>
      </c>
      <c r="B187" s="1" t="s">
        <v>44</v>
      </c>
      <c r="C187" s="1">
        <v>1</v>
      </c>
      <c r="D187" s="1">
        <v>43.4</v>
      </c>
      <c r="E187" s="11">
        <v>43.4</v>
      </c>
      <c r="F187" s="3">
        <v>45665</v>
      </c>
      <c r="G187" s="3">
        <v>45670</v>
      </c>
      <c r="H187" s="1" t="s">
        <v>23</v>
      </c>
      <c r="I187" s="1" t="s">
        <v>18</v>
      </c>
      <c r="J187" s="1">
        <v>4</v>
      </c>
      <c r="K187" s="1" t="s">
        <v>19</v>
      </c>
      <c r="L187" s="1" t="s">
        <v>55</v>
      </c>
      <c r="M187" s="1">
        <f>orders[[#This Row],[Ship Date]]-orders[[#This Row],[Order Date]]</f>
        <v>5</v>
      </c>
      <c r="N187" s="1">
        <f>WEEKNUM(orders[[#This Row],[Order Date]])</f>
        <v>2</v>
      </c>
      <c r="O187" s="1" t="str" cm="1">
        <f t="array" ref="O187">_xlfn.IFS(orders[[#This Row],[Customer Gender]]="M","Male", orders[[#This Row],[Customer Gender]]="F","Female", orders[[#This Row],[Customer Gender]]="O","Other", TRUE,"Unknown")</f>
        <v>Male</v>
      </c>
    </row>
    <row r="188" spans="1:15">
      <c r="A188" s="1" t="s">
        <v>261</v>
      </c>
      <c r="B188" s="1" t="s">
        <v>67</v>
      </c>
      <c r="C188" s="1">
        <v>9</v>
      </c>
      <c r="D188" s="1">
        <v>33.4</v>
      </c>
      <c r="E188" s="11">
        <v>300.59999999999997</v>
      </c>
      <c r="F188" s="3">
        <v>45665</v>
      </c>
      <c r="G188" s="3">
        <v>45665</v>
      </c>
      <c r="H188" s="1" t="s">
        <v>27</v>
      </c>
      <c r="I188" s="1" t="s">
        <v>18</v>
      </c>
      <c r="J188" s="1">
        <v>4</v>
      </c>
      <c r="K188" s="1" t="s">
        <v>19</v>
      </c>
      <c r="L188" s="1" t="s">
        <v>62</v>
      </c>
      <c r="M188" s="1">
        <f>orders[[#This Row],[Ship Date]]-orders[[#This Row],[Order Date]]</f>
        <v>0</v>
      </c>
      <c r="N188" s="1">
        <f>WEEKNUM(orders[[#This Row],[Order Date]])</f>
        <v>2</v>
      </c>
      <c r="O188" s="1" t="str" cm="1">
        <f t="array" ref="O188">_xlfn.IFS(orders[[#This Row],[Customer Gender]]="M","Male", orders[[#This Row],[Customer Gender]]="F","Female", orders[[#This Row],[Customer Gender]]="O","Other", TRUE,"Unknown")</f>
        <v>Female</v>
      </c>
    </row>
    <row r="189" spans="1:15">
      <c r="A189" s="1" t="s">
        <v>262</v>
      </c>
      <c r="B189" s="1" t="s">
        <v>44</v>
      </c>
      <c r="C189" s="1">
        <v>19</v>
      </c>
      <c r="D189" s="1">
        <v>55</v>
      </c>
      <c r="E189" s="11">
        <v>1045</v>
      </c>
      <c r="F189" s="3">
        <v>45665</v>
      </c>
      <c r="G189" s="3">
        <v>45666</v>
      </c>
      <c r="H189" s="1" t="s">
        <v>27</v>
      </c>
      <c r="I189" s="1" t="s">
        <v>35</v>
      </c>
      <c r="J189" s="1">
        <v>5</v>
      </c>
      <c r="K189" s="1" t="s">
        <v>19</v>
      </c>
      <c r="L189" s="1" t="s">
        <v>62</v>
      </c>
      <c r="M189" s="1">
        <f>orders[[#This Row],[Ship Date]]-orders[[#This Row],[Order Date]]</f>
        <v>1</v>
      </c>
      <c r="N189" s="1">
        <f>WEEKNUM(orders[[#This Row],[Order Date]])</f>
        <v>2</v>
      </c>
      <c r="O189" s="1" t="str" cm="1">
        <f t="array" ref="O189">_xlfn.IFS(orders[[#This Row],[Customer Gender]]="M","Male", orders[[#This Row],[Customer Gender]]="F","Female", orders[[#This Row],[Customer Gender]]="O","Other", TRUE,"Unknown")</f>
        <v>Female</v>
      </c>
    </row>
    <row r="190" spans="1:15">
      <c r="A190" s="1" t="s">
        <v>263</v>
      </c>
      <c r="B190" s="1" t="s">
        <v>44</v>
      </c>
      <c r="C190" s="1">
        <v>3</v>
      </c>
      <c r="D190" s="1">
        <v>23.6</v>
      </c>
      <c r="E190" s="11">
        <v>70.800000000000011</v>
      </c>
      <c r="F190" s="3">
        <v>45665</v>
      </c>
      <c r="G190" s="3">
        <v>45666</v>
      </c>
      <c r="H190" s="1" t="s">
        <v>23</v>
      </c>
      <c r="I190" s="1" t="s">
        <v>18</v>
      </c>
      <c r="J190" s="1">
        <v>5</v>
      </c>
      <c r="K190" s="1" t="s">
        <v>19</v>
      </c>
      <c r="L190" s="1" t="s">
        <v>62</v>
      </c>
      <c r="M190" s="1">
        <f>orders[[#This Row],[Ship Date]]-orders[[#This Row],[Order Date]]</f>
        <v>1</v>
      </c>
      <c r="N190" s="1">
        <f>WEEKNUM(orders[[#This Row],[Order Date]])</f>
        <v>2</v>
      </c>
      <c r="O190" s="1" t="str" cm="1">
        <f t="array" ref="O190">_xlfn.IFS(orders[[#This Row],[Customer Gender]]="M","Male", orders[[#This Row],[Customer Gender]]="F","Female", orders[[#This Row],[Customer Gender]]="O","Other", TRUE,"Unknown")</f>
        <v>Male</v>
      </c>
    </row>
    <row r="191" spans="1:15">
      <c r="A191" s="1" t="s">
        <v>264</v>
      </c>
      <c r="B191" s="1" t="s">
        <v>69</v>
      </c>
      <c r="C191" s="1">
        <v>9</v>
      </c>
      <c r="D191" s="1">
        <v>104</v>
      </c>
      <c r="E191" s="11">
        <v>936</v>
      </c>
      <c r="F191" s="3">
        <v>45665</v>
      </c>
      <c r="G191" s="3">
        <v>45667</v>
      </c>
      <c r="H191" s="1" t="s">
        <v>27</v>
      </c>
      <c r="I191" s="1" t="s">
        <v>40</v>
      </c>
      <c r="J191" s="1">
        <v>5</v>
      </c>
      <c r="K191" s="1" t="s">
        <v>19</v>
      </c>
      <c r="L191" s="1" t="s">
        <v>103</v>
      </c>
      <c r="M191" s="1">
        <f>orders[[#This Row],[Ship Date]]-orders[[#This Row],[Order Date]]</f>
        <v>2</v>
      </c>
      <c r="N191" s="1">
        <f>WEEKNUM(orders[[#This Row],[Order Date]])</f>
        <v>2</v>
      </c>
      <c r="O191" s="1" t="str" cm="1">
        <f t="array" ref="O191">_xlfn.IFS(orders[[#This Row],[Customer Gender]]="M","Male", orders[[#This Row],[Customer Gender]]="F","Female", orders[[#This Row],[Customer Gender]]="O","Other", TRUE,"Unknown")</f>
        <v>Female</v>
      </c>
    </row>
    <row r="192" spans="1:15">
      <c r="A192" s="1" t="s">
        <v>265</v>
      </c>
      <c r="B192" s="1" t="s">
        <v>39</v>
      </c>
      <c r="C192" s="1">
        <v>2</v>
      </c>
      <c r="D192" s="1">
        <v>51.8</v>
      </c>
      <c r="E192" s="11">
        <v>103.6</v>
      </c>
      <c r="F192" s="3">
        <v>45665</v>
      </c>
      <c r="G192" s="3">
        <v>45669</v>
      </c>
      <c r="H192" s="1" t="s">
        <v>17</v>
      </c>
      <c r="I192" s="1" t="s">
        <v>18</v>
      </c>
      <c r="J192" s="1">
        <v>5</v>
      </c>
      <c r="K192" s="1" t="s">
        <v>19</v>
      </c>
      <c r="L192" s="1" t="s">
        <v>74</v>
      </c>
      <c r="M192" s="1">
        <f>orders[[#This Row],[Ship Date]]-orders[[#This Row],[Order Date]]</f>
        <v>4</v>
      </c>
      <c r="N192" s="1">
        <f>WEEKNUM(orders[[#This Row],[Order Date]])</f>
        <v>2</v>
      </c>
      <c r="O192" s="1" t="str" cm="1">
        <f t="array" ref="O192">_xlfn.IFS(orders[[#This Row],[Customer Gender]]="M","Male", orders[[#This Row],[Customer Gender]]="F","Female", orders[[#This Row],[Customer Gender]]="O","Other", TRUE,"Unknown")</f>
        <v>Unknown</v>
      </c>
    </row>
    <row r="193" spans="1:15">
      <c r="A193" s="1" t="s">
        <v>266</v>
      </c>
      <c r="B193" s="1" t="s">
        <v>54</v>
      </c>
      <c r="C193" s="1">
        <v>5</v>
      </c>
      <c r="D193" s="1">
        <v>34.5</v>
      </c>
      <c r="E193" s="11">
        <v>172.5</v>
      </c>
      <c r="F193" s="3">
        <v>45665</v>
      </c>
      <c r="G193" s="3">
        <v>45667</v>
      </c>
      <c r="H193" s="1" t="s">
        <v>17</v>
      </c>
      <c r="I193" s="1" t="s">
        <v>40</v>
      </c>
      <c r="J193" s="1">
        <v>5</v>
      </c>
      <c r="K193" s="1" t="s">
        <v>19</v>
      </c>
      <c r="L193" s="1" t="s">
        <v>77</v>
      </c>
      <c r="M193" s="1">
        <f>orders[[#This Row],[Ship Date]]-orders[[#This Row],[Order Date]]</f>
        <v>2</v>
      </c>
      <c r="N193" s="1">
        <f>WEEKNUM(orders[[#This Row],[Order Date]])</f>
        <v>2</v>
      </c>
      <c r="O193" s="1" t="str" cm="1">
        <f t="array" ref="O193">_xlfn.IFS(orders[[#This Row],[Customer Gender]]="M","Male", orders[[#This Row],[Customer Gender]]="F","Female", orders[[#This Row],[Customer Gender]]="O","Other", TRUE,"Unknown")</f>
        <v>Unknown</v>
      </c>
    </row>
    <row r="194" spans="1:15">
      <c r="A194" s="1" t="s">
        <v>267</v>
      </c>
      <c r="B194" s="1" t="s">
        <v>39</v>
      </c>
      <c r="C194" s="1">
        <v>2</v>
      </c>
      <c r="D194" s="1">
        <v>51.8</v>
      </c>
      <c r="E194" s="11">
        <v>103.6</v>
      </c>
      <c r="F194" s="3">
        <v>45665</v>
      </c>
      <c r="G194" s="3">
        <v>45667</v>
      </c>
      <c r="H194" s="1" t="s">
        <v>23</v>
      </c>
      <c r="I194" s="1" t="s">
        <v>35</v>
      </c>
      <c r="J194" s="1">
        <v>5</v>
      </c>
      <c r="K194" s="1" t="s">
        <v>19</v>
      </c>
      <c r="L194" s="1" t="s">
        <v>268</v>
      </c>
      <c r="M194" s="1">
        <f>orders[[#This Row],[Ship Date]]-orders[[#This Row],[Order Date]]</f>
        <v>2</v>
      </c>
      <c r="N194" s="1">
        <f>WEEKNUM(orders[[#This Row],[Order Date]])</f>
        <v>2</v>
      </c>
      <c r="O194" s="1" t="str" cm="1">
        <f t="array" ref="O194">_xlfn.IFS(orders[[#This Row],[Customer Gender]]="M","Male", orders[[#This Row],[Customer Gender]]="F","Female", orders[[#This Row],[Customer Gender]]="O","Other", TRUE,"Unknown")</f>
        <v>Male</v>
      </c>
    </row>
    <row r="195" spans="1:15">
      <c r="A195" s="1" t="s">
        <v>269</v>
      </c>
      <c r="B195" s="1" t="s">
        <v>146</v>
      </c>
      <c r="C195" s="1">
        <v>43</v>
      </c>
      <c r="D195" s="1">
        <v>131.5</v>
      </c>
      <c r="E195" s="11">
        <v>5654.5</v>
      </c>
      <c r="F195" s="3">
        <v>45665</v>
      </c>
      <c r="G195" s="3">
        <v>45666</v>
      </c>
      <c r="H195" s="1" t="s">
        <v>27</v>
      </c>
      <c r="I195" s="1" t="s">
        <v>18</v>
      </c>
      <c r="J195" s="1">
        <v>5</v>
      </c>
      <c r="K195" s="1" t="s">
        <v>19</v>
      </c>
      <c r="L195" s="1" t="s">
        <v>108</v>
      </c>
      <c r="M195" s="1">
        <f>orders[[#This Row],[Ship Date]]-orders[[#This Row],[Order Date]]</f>
        <v>1</v>
      </c>
      <c r="N195" s="1">
        <f>WEEKNUM(orders[[#This Row],[Order Date]])</f>
        <v>2</v>
      </c>
      <c r="O195" s="1" t="str" cm="1">
        <f t="array" ref="O195">_xlfn.IFS(orders[[#This Row],[Customer Gender]]="M","Male", orders[[#This Row],[Customer Gender]]="F","Female", orders[[#This Row],[Customer Gender]]="O","Other", TRUE,"Unknown")</f>
        <v>Female</v>
      </c>
    </row>
    <row r="196" spans="1:15">
      <c r="A196" s="1" t="s">
        <v>270</v>
      </c>
      <c r="B196" s="1" t="s">
        <v>44</v>
      </c>
      <c r="C196" s="1">
        <v>7</v>
      </c>
      <c r="D196" s="1">
        <v>47.8</v>
      </c>
      <c r="E196" s="11">
        <v>334.59999999999997</v>
      </c>
      <c r="F196" s="3">
        <v>45665</v>
      </c>
      <c r="G196" s="3">
        <v>45665</v>
      </c>
      <c r="H196" s="1" t="s">
        <v>27</v>
      </c>
      <c r="I196" s="1" t="s">
        <v>18</v>
      </c>
      <c r="J196" s="1">
        <v>4</v>
      </c>
      <c r="K196" s="1" t="s">
        <v>19</v>
      </c>
      <c r="L196" s="1" t="s">
        <v>110</v>
      </c>
      <c r="M196" s="1">
        <f>orders[[#This Row],[Ship Date]]-orders[[#This Row],[Order Date]]</f>
        <v>0</v>
      </c>
      <c r="N196" s="1">
        <f>WEEKNUM(orders[[#This Row],[Order Date]])</f>
        <v>2</v>
      </c>
      <c r="O196" s="1" t="str" cm="1">
        <f t="array" ref="O196">_xlfn.IFS(orders[[#This Row],[Customer Gender]]="M","Male", orders[[#This Row],[Customer Gender]]="F","Female", orders[[#This Row],[Customer Gender]]="O","Other", TRUE,"Unknown")</f>
        <v>Female</v>
      </c>
    </row>
    <row r="197" spans="1:15">
      <c r="A197" s="1" t="s">
        <v>271</v>
      </c>
      <c r="B197" s="1" t="s">
        <v>16</v>
      </c>
      <c r="C197" s="1">
        <v>2</v>
      </c>
      <c r="D197" s="1">
        <v>10.199999999999999</v>
      </c>
      <c r="E197" s="11">
        <v>20.399999999999999</v>
      </c>
      <c r="F197" s="3">
        <v>45665</v>
      </c>
      <c r="G197" s="3">
        <v>45667</v>
      </c>
      <c r="H197" s="1" t="s">
        <v>27</v>
      </c>
      <c r="I197" s="1" t="s">
        <v>18</v>
      </c>
      <c r="J197" s="1">
        <v>4</v>
      </c>
      <c r="K197" s="1" t="s">
        <v>19</v>
      </c>
      <c r="L197" s="1" t="s">
        <v>110</v>
      </c>
      <c r="M197" s="1">
        <f>orders[[#This Row],[Ship Date]]-orders[[#This Row],[Order Date]]</f>
        <v>2</v>
      </c>
      <c r="N197" s="1">
        <f>WEEKNUM(orders[[#This Row],[Order Date]])</f>
        <v>2</v>
      </c>
      <c r="O197" s="1" t="str" cm="1">
        <f t="array" ref="O197">_xlfn.IFS(orders[[#This Row],[Customer Gender]]="M","Male", orders[[#This Row],[Customer Gender]]="F","Female", orders[[#This Row],[Customer Gender]]="O","Other", TRUE,"Unknown")</f>
        <v>Female</v>
      </c>
    </row>
    <row r="198" spans="1:15">
      <c r="A198" s="1" t="s">
        <v>272</v>
      </c>
      <c r="B198" s="1" t="s">
        <v>44</v>
      </c>
      <c r="C198" s="1">
        <v>8</v>
      </c>
      <c r="D198" s="1">
        <v>41</v>
      </c>
      <c r="E198" s="11">
        <v>328</v>
      </c>
      <c r="F198" s="3">
        <v>45665</v>
      </c>
      <c r="G198" s="3">
        <v>45665</v>
      </c>
      <c r="H198" s="1" t="s">
        <v>27</v>
      </c>
      <c r="I198" s="1" t="s">
        <v>35</v>
      </c>
      <c r="J198" s="1">
        <v>5</v>
      </c>
      <c r="K198" s="1" t="s">
        <v>19</v>
      </c>
      <c r="L198" s="1" t="s">
        <v>110</v>
      </c>
      <c r="M198" s="1">
        <f>orders[[#This Row],[Ship Date]]-orders[[#This Row],[Order Date]]</f>
        <v>0</v>
      </c>
      <c r="N198" s="1">
        <f>WEEKNUM(orders[[#This Row],[Order Date]])</f>
        <v>2</v>
      </c>
      <c r="O198" s="1" t="str" cm="1">
        <f t="array" ref="O198">_xlfn.IFS(orders[[#This Row],[Customer Gender]]="M","Male", orders[[#This Row],[Customer Gender]]="F","Female", orders[[#This Row],[Customer Gender]]="O","Other", TRUE,"Unknown")</f>
        <v>Female</v>
      </c>
    </row>
    <row r="199" spans="1:15">
      <c r="A199" s="1" t="s">
        <v>273</v>
      </c>
      <c r="B199" s="1" t="s">
        <v>54</v>
      </c>
      <c r="C199" s="1">
        <v>7</v>
      </c>
      <c r="D199" s="1">
        <v>50.8</v>
      </c>
      <c r="E199" s="11">
        <v>355.59999999999997</v>
      </c>
      <c r="F199" s="3">
        <v>45665</v>
      </c>
      <c r="G199" s="3">
        <v>45668</v>
      </c>
      <c r="H199" s="1" t="s">
        <v>27</v>
      </c>
      <c r="I199" s="1" t="s">
        <v>35</v>
      </c>
      <c r="J199" s="1">
        <v>4</v>
      </c>
      <c r="K199" s="1" t="s">
        <v>19</v>
      </c>
      <c r="L199" s="1" t="s">
        <v>115</v>
      </c>
      <c r="M199" s="1">
        <f>orders[[#This Row],[Ship Date]]-orders[[#This Row],[Order Date]]</f>
        <v>3</v>
      </c>
      <c r="N199" s="1">
        <f>WEEKNUM(orders[[#This Row],[Order Date]])</f>
        <v>2</v>
      </c>
      <c r="O199" s="1" t="str" cm="1">
        <f t="array" ref="O199">_xlfn.IFS(orders[[#This Row],[Customer Gender]]="M","Male", orders[[#This Row],[Customer Gender]]="F","Female", orders[[#This Row],[Customer Gender]]="O","Other", TRUE,"Unknown")</f>
        <v>Female</v>
      </c>
    </row>
    <row r="200" spans="1:15">
      <c r="A200" s="1" t="s">
        <v>274</v>
      </c>
      <c r="B200" s="1" t="s">
        <v>146</v>
      </c>
      <c r="C200" s="1">
        <v>3</v>
      </c>
      <c r="D200" s="1">
        <v>39.6</v>
      </c>
      <c r="E200" s="11">
        <v>118.80000000000001</v>
      </c>
      <c r="F200" s="3">
        <v>45665</v>
      </c>
      <c r="G200" s="3">
        <v>45666</v>
      </c>
      <c r="H200" s="1" t="s">
        <v>23</v>
      </c>
      <c r="I200" s="1" t="s">
        <v>40</v>
      </c>
      <c r="J200" s="1">
        <v>5</v>
      </c>
      <c r="K200" s="1" t="s">
        <v>19</v>
      </c>
      <c r="L200" s="1" t="s">
        <v>24</v>
      </c>
      <c r="M200" s="1">
        <f>orders[[#This Row],[Ship Date]]-orders[[#This Row],[Order Date]]</f>
        <v>1</v>
      </c>
      <c r="N200" s="1">
        <f>WEEKNUM(orders[[#This Row],[Order Date]])</f>
        <v>2</v>
      </c>
      <c r="O200" s="1" t="str" cm="1">
        <f t="array" ref="O200">_xlfn.IFS(orders[[#This Row],[Customer Gender]]="M","Male", orders[[#This Row],[Customer Gender]]="F","Female", orders[[#This Row],[Customer Gender]]="O","Other", TRUE,"Unknown")</f>
        <v>Male</v>
      </c>
    </row>
    <row r="201" spans="1:15">
      <c r="A201" s="1" t="s">
        <v>275</v>
      </c>
      <c r="B201" s="1" t="s">
        <v>37</v>
      </c>
      <c r="C201" s="1">
        <v>2</v>
      </c>
      <c r="D201" s="1">
        <v>69.5</v>
      </c>
      <c r="E201" s="11">
        <v>139</v>
      </c>
      <c r="F201" s="3">
        <v>45665</v>
      </c>
      <c r="G201" s="3">
        <v>45667</v>
      </c>
      <c r="H201" s="1" t="s">
        <v>23</v>
      </c>
      <c r="I201" s="1" t="s">
        <v>18</v>
      </c>
      <c r="J201" s="1">
        <v>5</v>
      </c>
      <c r="K201" s="1" t="s">
        <v>19</v>
      </c>
      <c r="L201" s="1" t="s">
        <v>28</v>
      </c>
      <c r="M201" s="1">
        <f>orders[[#This Row],[Ship Date]]-orders[[#This Row],[Order Date]]</f>
        <v>2</v>
      </c>
      <c r="N201" s="1">
        <f>WEEKNUM(orders[[#This Row],[Order Date]])</f>
        <v>2</v>
      </c>
      <c r="O201" s="1" t="str" cm="1">
        <f t="array" ref="O201">_xlfn.IFS(orders[[#This Row],[Customer Gender]]="M","Male", orders[[#This Row],[Customer Gender]]="F","Female", orders[[#This Row],[Customer Gender]]="O","Other", TRUE,"Unknown")</f>
        <v>Male</v>
      </c>
    </row>
    <row r="202" spans="1:15">
      <c r="A202" s="1" t="s">
        <v>276</v>
      </c>
      <c r="B202" s="1" t="s">
        <v>44</v>
      </c>
      <c r="C202" s="1">
        <v>8</v>
      </c>
      <c r="D202" s="1">
        <v>32.6</v>
      </c>
      <c r="E202" s="11">
        <v>260.8</v>
      </c>
      <c r="F202" s="3">
        <v>45665</v>
      </c>
      <c r="G202" s="3">
        <v>45668</v>
      </c>
      <c r="H202" s="1" t="s">
        <v>23</v>
      </c>
      <c r="I202" s="1" t="s">
        <v>35</v>
      </c>
      <c r="J202" s="1">
        <v>4</v>
      </c>
      <c r="K202" s="1" t="s">
        <v>19</v>
      </c>
      <c r="L202" s="1" t="s">
        <v>33</v>
      </c>
      <c r="M202" s="1">
        <f>orders[[#This Row],[Ship Date]]-orders[[#This Row],[Order Date]]</f>
        <v>3</v>
      </c>
      <c r="N202" s="1">
        <f>WEEKNUM(orders[[#This Row],[Order Date]])</f>
        <v>2</v>
      </c>
      <c r="O202" s="1" t="str" cm="1">
        <f t="array" ref="O202">_xlfn.IFS(orders[[#This Row],[Customer Gender]]="M","Male", orders[[#This Row],[Customer Gender]]="F","Female", orders[[#This Row],[Customer Gender]]="O","Other", TRUE,"Unknown")</f>
        <v>Male</v>
      </c>
    </row>
    <row r="203" spans="1:15">
      <c r="A203" s="1" t="s">
        <v>277</v>
      </c>
      <c r="B203" s="1" t="s">
        <v>42</v>
      </c>
      <c r="C203" s="1">
        <v>2</v>
      </c>
      <c r="D203" s="1">
        <v>49.1</v>
      </c>
      <c r="E203" s="11">
        <v>98.2</v>
      </c>
      <c r="F203" s="3">
        <v>45665</v>
      </c>
      <c r="G203" s="3">
        <v>45673</v>
      </c>
      <c r="H203" s="1" t="s">
        <v>23</v>
      </c>
      <c r="I203" s="1" t="s">
        <v>51</v>
      </c>
      <c r="J203" s="1">
        <v>5</v>
      </c>
      <c r="K203" s="1" t="s">
        <v>19</v>
      </c>
      <c r="L203" s="1" t="s">
        <v>33</v>
      </c>
      <c r="M203" s="1">
        <f>orders[[#This Row],[Ship Date]]-orders[[#This Row],[Order Date]]</f>
        <v>8</v>
      </c>
      <c r="N203" s="1">
        <f>WEEKNUM(orders[[#This Row],[Order Date]])</f>
        <v>2</v>
      </c>
      <c r="O203" s="1" t="str" cm="1">
        <f t="array" ref="O203">_xlfn.IFS(orders[[#This Row],[Customer Gender]]="M","Male", orders[[#This Row],[Customer Gender]]="F","Female", orders[[#This Row],[Customer Gender]]="O","Other", TRUE,"Unknown")</f>
        <v>Male</v>
      </c>
    </row>
    <row r="204" spans="1:15">
      <c r="A204" s="1" t="s">
        <v>278</v>
      </c>
      <c r="B204" s="1" t="s">
        <v>39</v>
      </c>
      <c r="C204" s="1">
        <v>2</v>
      </c>
      <c r="D204" s="1">
        <v>49.4</v>
      </c>
      <c r="E204" s="11">
        <v>98.8</v>
      </c>
      <c r="F204" s="3">
        <v>45666</v>
      </c>
      <c r="G204" s="3">
        <v>45667</v>
      </c>
      <c r="H204" s="1" t="s">
        <v>27</v>
      </c>
      <c r="I204" s="1" t="s">
        <v>40</v>
      </c>
      <c r="J204" s="1">
        <v>4</v>
      </c>
      <c r="K204" s="1" t="s">
        <v>19</v>
      </c>
      <c r="L204" s="1" t="s">
        <v>33</v>
      </c>
      <c r="M204" s="1">
        <f>orders[[#This Row],[Ship Date]]-orders[[#This Row],[Order Date]]</f>
        <v>1</v>
      </c>
      <c r="N204" s="1">
        <f>WEEKNUM(orders[[#This Row],[Order Date]])</f>
        <v>2</v>
      </c>
      <c r="O204" s="1" t="str" cm="1">
        <f t="array" ref="O204">_xlfn.IFS(orders[[#This Row],[Customer Gender]]="M","Male", orders[[#This Row],[Customer Gender]]="F","Female", orders[[#This Row],[Customer Gender]]="O","Other", TRUE,"Unknown")</f>
        <v>Female</v>
      </c>
    </row>
    <row r="205" spans="1:15">
      <c r="A205" s="1" t="s">
        <v>279</v>
      </c>
      <c r="B205" s="1" t="s">
        <v>42</v>
      </c>
      <c r="C205" s="1">
        <v>7</v>
      </c>
      <c r="D205" s="1">
        <v>65.099999999999994</v>
      </c>
      <c r="E205" s="11">
        <v>455.69999999999993</v>
      </c>
      <c r="F205" s="3">
        <v>45666</v>
      </c>
      <c r="G205" s="3">
        <v>45669</v>
      </c>
      <c r="H205" s="1" t="s">
        <v>27</v>
      </c>
      <c r="I205" s="1" t="s">
        <v>40</v>
      </c>
      <c r="J205" s="1">
        <v>5</v>
      </c>
      <c r="K205" s="1" t="s">
        <v>19</v>
      </c>
      <c r="L205" s="1" t="s">
        <v>33</v>
      </c>
      <c r="M205" s="1">
        <f>orders[[#This Row],[Ship Date]]-orders[[#This Row],[Order Date]]</f>
        <v>3</v>
      </c>
      <c r="N205" s="1">
        <f>WEEKNUM(orders[[#This Row],[Order Date]])</f>
        <v>2</v>
      </c>
      <c r="O205" s="1" t="str" cm="1">
        <f t="array" ref="O205">_xlfn.IFS(orders[[#This Row],[Customer Gender]]="M","Male", orders[[#This Row],[Customer Gender]]="F","Female", orders[[#This Row],[Customer Gender]]="O","Other", TRUE,"Unknown")</f>
        <v>Female</v>
      </c>
    </row>
    <row r="206" spans="1:15">
      <c r="A206" s="1" t="s">
        <v>280</v>
      </c>
      <c r="B206" s="1" t="s">
        <v>30</v>
      </c>
      <c r="C206" s="1">
        <v>2</v>
      </c>
      <c r="D206" s="1">
        <v>52.1</v>
      </c>
      <c r="E206" s="11">
        <v>104.2</v>
      </c>
      <c r="F206" s="3">
        <v>45666</v>
      </c>
      <c r="G206" s="3">
        <v>45670</v>
      </c>
      <c r="H206" s="1" t="s">
        <v>27</v>
      </c>
      <c r="I206" s="1" t="s">
        <v>40</v>
      </c>
      <c r="J206" s="1">
        <v>4</v>
      </c>
      <c r="K206" s="1" t="s">
        <v>19</v>
      </c>
      <c r="L206" s="1" t="s">
        <v>33</v>
      </c>
      <c r="M206" s="1">
        <f>orders[[#This Row],[Ship Date]]-orders[[#This Row],[Order Date]]</f>
        <v>4</v>
      </c>
      <c r="N206" s="1">
        <f>WEEKNUM(orders[[#This Row],[Order Date]])</f>
        <v>2</v>
      </c>
      <c r="O206" s="1" t="str" cm="1">
        <f t="array" ref="O206">_xlfn.IFS(orders[[#This Row],[Customer Gender]]="M","Male", orders[[#This Row],[Customer Gender]]="F","Female", orders[[#This Row],[Customer Gender]]="O","Other", TRUE,"Unknown")</f>
        <v>Female</v>
      </c>
    </row>
    <row r="207" spans="1:15">
      <c r="A207" s="1" t="s">
        <v>281</v>
      </c>
      <c r="B207" s="1" t="s">
        <v>26</v>
      </c>
      <c r="C207" s="1">
        <v>4</v>
      </c>
      <c r="D207" s="1">
        <v>129.19999999999999</v>
      </c>
      <c r="E207" s="11">
        <v>516.79999999999995</v>
      </c>
      <c r="F207" s="3">
        <v>45666</v>
      </c>
      <c r="G207" s="3">
        <v>45667</v>
      </c>
      <c r="H207" s="1" t="s">
        <v>27</v>
      </c>
      <c r="I207" s="1" t="s">
        <v>35</v>
      </c>
      <c r="J207" s="1">
        <v>4</v>
      </c>
      <c r="K207" s="1" t="s">
        <v>19</v>
      </c>
      <c r="L207" s="1" t="s">
        <v>33</v>
      </c>
      <c r="M207" s="1">
        <f>orders[[#This Row],[Ship Date]]-orders[[#This Row],[Order Date]]</f>
        <v>1</v>
      </c>
      <c r="N207" s="1">
        <f>WEEKNUM(orders[[#This Row],[Order Date]])</f>
        <v>2</v>
      </c>
      <c r="O207" s="1" t="str" cm="1">
        <f t="array" ref="O207">_xlfn.IFS(orders[[#This Row],[Customer Gender]]="M","Male", orders[[#This Row],[Customer Gender]]="F","Female", orders[[#This Row],[Customer Gender]]="O","Other", TRUE,"Unknown")</f>
        <v>Female</v>
      </c>
    </row>
    <row r="208" spans="1:15">
      <c r="A208" s="1" t="s">
        <v>282</v>
      </c>
      <c r="B208" s="1" t="s">
        <v>22</v>
      </c>
      <c r="C208" s="1">
        <v>19</v>
      </c>
      <c r="D208" s="1">
        <v>81.8</v>
      </c>
      <c r="E208" s="11">
        <v>1554.2</v>
      </c>
      <c r="F208" s="3">
        <v>45666</v>
      </c>
      <c r="G208" s="3">
        <v>45666</v>
      </c>
      <c r="H208" s="1" t="s">
        <v>27</v>
      </c>
      <c r="I208" s="1" t="s">
        <v>35</v>
      </c>
      <c r="J208" s="1">
        <v>3</v>
      </c>
      <c r="K208" s="1" t="s">
        <v>19</v>
      </c>
      <c r="L208" s="1" t="s">
        <v>33</v>
      </c>
      <c r="M208" s="1">
        <f>orders[[#This Row],[Ship Date]]-orders[[#This Row],[Order Date]]</f>
        <v>0</v>
      </c>
      <c r="N208" s="1">
        <f>WEEKNUM(orders[[#This Row],[Order Date]])</f>
        <v>2</v>
      </c>
      <c r="O208" s="1" t="str" cm="1">
        <f t="array" ref="O208">_xlfn.IFS(orders[[#This Row],[Customer Gender]]="M","Male", orders[[#This Row],[Customer Gender]]="F","Female", orders[[#This Row],[Customer Gender]]="O","Other", TRUE,"Unknown")</f>
        <v>Female</v>
      </c>
    </row>
    <row r="209" spans="1:15">
      <c r="A209" s="1" t="s">
        <v>283</v>
      </c>
      <c r="B209" s="1" t="s">
        <v>135</v>
      </c>
      <c r="C209" s="1">
        <v>1</v>
      </c>
      <c r="D209" s="1">
        <v>24.9</v>
      </c>
      <c r="E209" s="11">
        <v>24.9</v>
      </c>
      <c r="F209" s="3">
        <v>45666</v>
      </c>
      <c r="G209" s="3">
        <v>45670</v>
      </c>
      <c r="H209" s="1" t="s">
        <v>27</v>
      </c>
      <c r="I209" s="1" t="s">
        <v>35</v>
      </c>
      <c r="J209" s="1">
        <v>4</v>
      </c>
      <c r="K209" s="1" t="s">
        <v>19</v>
      </c>
      <c r="L209" s="1" t="s">
        <v>33</v>
      </c>
      <c r="M209" s="1">
        <f>orders[[#This Row],[Ship Date]]-orders[[#This Row],[Order Date]]</f>
        <v>4</v>
      </c>
      <c r="N209" s="1">
        <f>WEEKNUM(orders[[#This Row],[Order Date]])</f>
        <v>2</v>
      </c>
      <c r="O209" s="1" t="str" cm="1">
        <f t="array" ref="O209">_xlfn.IFS(orders[[#This Row],[Customer Gender]]="M","Male", orders[[#This Row],[Customer Gender]]="F","Female", orders[[#This Row],[Customer Gender]]="O","Other", TRUE,"Unknown")</f>
        <v>Female</v>
      </c>
    </row>
    <row r="210" spans="1:15">
      <c r="A210" s="1" t="s">
        <v>284</v>
      </c>
      <c r="B210" s="1" t="s">
        <v>16</v>
      </c>
      <c r="C210" s="1">
        <v>3</v>
      </c>
      <c r="D210" s="1">
        <v>49.4</v>
      </c>
      <c r="E210" s="11">
        <v>148.19999999999999</v>
      </c>
      <c r="F210" s="3">
        <v>45666</v>
      </c>
      <c r="G210" s="3">
        <v>45669</v>
      </c>
      <c r="H210" s="1" t="s">
        <v>27</v>
      </c>
      <c r="I210" s="1" t="s">
        <v>70</v>
      </c>
      <c r="J210" s="1">
        <v>2</v>
      </c>
      <c r="K210" s="1" t="s">
        <v>19</v>
      </c>
      <c r="L210" s="1" t="s">
        <v>33</v>
      </c>
      <c r="M210" s="1">
        <f>orders[[#This Row],[Ship Date]]-orders[[#This Row],[Order Date]]</f>
        <v>3</v>
      </c>
      <c r="N210" s="1">
        <f>WEEKNUM(orders[[#This Row],[Order Date]])</f>
        <v>2</v>
      </c>
      <c r="O210" s="1" t="str" cm="1">
        <f t="array" ref="O210">_xlfn.IFS(orders[[#This Row],[Customer Gender]]="M","Male", orders[[#This Row],[Customer Gender]]="F","Female", orders[[#This Row],[Customer Gender]]="O","Other", TRUE,"Unknown")</f>
        <v>Female</v>
      </c>
    </row>
    <row r="211" spans="1:15">
      <c r="A211" s="1" t="s">
        <v>285</v>
      </c>
      <c r="B211" s="1" t="s">
        <v>44</v>
      </c>
      <c r="C211" s="1">
        <v>2</v>
      </c>
      <c r="D211" s="1">
        <v>22.7</v>
      </c>
      <c r="E211" s="11">
        <v>45.4</v>
      </c>
      <c r="F211" s="3">
        <v>45666</v>
      </c>
      <c r="G211" s="3">
        <v>45667</v>
      </c>
      <c r="H211" s="1" t="s">
        <v>23</v>
      </c>
      <c r="I211" s="1" t="s">
        <v>51</v>
      </c>
      <c r="J211" s="1">
        <v>5</v>
      </c>
      <c r="K211" s="1" t="s">
        <v>19</v>
      </c>
      <c r="L211" s="1" t="s">
        <v>33</v>
      </c>
      <c r="M211" s="1">
        <f>orders[[#This Row],[Ship Date]]-orders[[#This Row],[Order Date]]</f>
        <v>1</v>
      </c>
      <c r="N211" s="1">
        <f>WEEKNUM(orders[[#This Row],[Order Date]])</f>
        <v>2</v>
      </c>
      <c r="O211" s="1" t="str" cm="1">
        <f t="array" ref="O211">_xlfn.IFS(orders[[#This Row],[Customer Gender]]="M","Male", orders[[#This Row],[Customer Gender]]="F","Female", orders[[#This Row],[Customer Gender]]="O","Other", TRUE,"Unknown")</f>
        <v>Male</v>
      </c>
    </row>
    <row r="212" spans="1:15">
      <c r="A212" s="1" t="s">
        <v>286</v>
      </c>
      <c r="B212" s="1" t="s">
        <v>22</v>
      </c>
      <c r="C212" s="1">
        <v>1</v>
      </c>
      <c r="D212" s="1">
        <v>77.3</v>
      </c>
      <c r="E212" s="11">
        <v>77.3</v>
      </c>
      <c r="F212" s="3">
        <v>45666</v>
      </c>
      <c r="G212" s="3">
        <v>45666</v>
      </c>
      <c r="H212" s="1" t="s">
        <v>27</v>
      </c>
      <c r="I212" s="1" t="s">
        <v>18</v>
      </c>
      <c r="J212" s="1">
        <v>5</v>
      </c>
      <c r="K212" s="1" t="s">
        <v>19</v>
      </c>
      <c r="L212" s="1" t="s">
        <v>55</v>
      </c>
      <c r="M212" s="1">
        <f>orders[[#This Row],[Ship Date]]-orders[[#This Row],[Order Date]]</f>
        <v>0</v>
      </c>
      <c r="N212" s="1">
        <f>WEEKNUM(orders[[#This Row],[Order Date]])</f>
        <v>2</v>
      </c>
      <c r="O212" s="1" t="str" cm="1">
        <f t="array" ref="O212">_xlfn.IFS(orders[[#This Row],[Customer Gender]]="M","Male", orders[[#This Row],[Customer Gender]]="F","Female", orders[[#This Row],[Customer Gender]]="O","Other", TRUE,"Unknown")</f>
        <v>Female</v>
      </c>
    </row>
    <row r="213" spans="1:15">
      <c r="A213" s="1" t="s">
        <v>287</v>
      </c>
      <c r="B213" s="1" t="s">
        <v>22</v>
      </c>
      <c r="C213" s="1">
        <v>5</v>
      </c>
      <c r="D213" s="1">
        <v>109.1</v>
      </c>
      <c r="E213" s="11">
        <v>545.5</v>
      </c>
      <c r="F213" s="3">
        <v>45666</v>
      </c>
      <c r="G213" s="3">
        <v>45669</v>
      </c>
      <c r="H213" s="1" t="s">
        <v>27</v>
      </c>
      <c r="I213" s="1" t="s">
        <v>18</v>
      </c>
      <c r="J213" s="1">
        <v>4</v>
      </c>
      <c r="K213" s="1" t="s">
        <v>19</v>
      </c>
      <c r="L213" s="1" t="s">
        <v>55</v>
      </c>
      <c r="M213" s="1">
        <f>orders[[#This Row],[Ship Date]]-orders[[#This Row],[Order Date]]</f>
        <v>3</v>
      </c>
      <c r="N213" s="1">
        <f>WEEKNUM(orders[[#This Row],[Order Date]])</f>
        <v>2</v>
      </c>
      <c r="O213" s="1" t="str" cm="1">
        <f t="array" ref="O213">_xlfn.IFS(orders[[#This Row],[Customer Gender]]="M","Male", orders[[#This Row],[Customer Gender]]="F","Female", orders[[#This Row],[Customer Gender]]="O","Other", TRUE,"Unknown")</f>
        <v>Female</v>
      </c>
    </row>
    <row r="214" spans="1:15">
      <c r="A214" s="1" t="s">
        <v>288</v>
      </c>
      <c r="B214" s="1" t="s">
        <v>26</v>
      </c>
      <c r="C214" s="1">
        <v>4</v>
      </c>
      <c r="D214" s="1">
        <v>53.9</v>
      </c>
      <c r="E214" s="11">
        <v>215.6</v>
      </c>
      <c r="F214" s="3">
        <v>45666</v>
      </c>
      <c r="G214" s="3">
        <v>45667</v>
      </c>
      <c r="H214" s="1" t="s">
        <v>23</v>
      </c>
      <c r="I214" s="1" t="s">
        <v>18</v>
      </c>
      <c r="J214" s="1">
        <v>3</v>
      </c>
      <c r="K214" s="1" t="s">
        <v>19</v>
      </c>
      <c r="L214" s="1" t="s">
        <v>62</v>
      </c>
      <c r="M214" s="1">
        <f>orders[[#This Row],[Ship Date]]-orders[[#This Row],[Order Date]]</f>
        <v>1</v>
      </c>
      <c r="N214" s="1">
        <f>WEEKNUM(orders[[#This Row],[Order Date]])</f>
        <v>2</v>
      </c>
      <c r="O214" s="1" t="str" cm="1">
        <f t="array" ref="O214">_xlfn.IFS(orders[[#This Row],[Customer Gender]]="M","Male", orders[[#This Row],[Customer Gender]]="F","Female", orders[[#This Row],[Customer Gender]]="O","Other", TRUE,"Unknown")</f>
        <v>Male</v>
      </c>
    </row>
    <row r="215" spans="1:15">
      <c r="A215" s="1" t="s">
        <v>289</v>
      </c>
      <c r="B215" s="1" t="s">
        <v>46</v>
      </c>
      <c r="C215" s="1">
        <v>26</v>
      </c>
      <c r="D215" s="1">
        <v>21.2</v>
      </c>
      <c r="E215" s="11">
        <v>551.19999999999993</v>
      </c>
      <c r="F215" s="3">
        <v>45666</v>
      </c>
      <c r="G215" s="3">
        <v>45666</v>
      </c>
      <c r="H215" s="1" t="s">
        <v>27</v>
      </c>
      <c r="I215" s="1" t="s">
        <v>18</v>
      </c>
      <c r="J215" s="1">
        <v>4</v>
      </c>
      <c r="K215" s="1" t="s">
        <v>19</v>
      </c>
      <c r="L215" s="1" t="s">
        <v>72</v>
      </c>
      <c r="M215" s="1">
        <f>orders[[#This Row],[Ship Date]]-orders[[#This Row],[Order Date]]</f>
        <v>0</v>
      </c>
      <c r="N215" s="1">
        <f>WEEKNUM(orders[[#This Row],[Order Date]])</f>
        <v>2</v>
      </c>
      <c r="O215" s="1" t="str" cm="1">
        <f t="array" ref="O215">_xlfn.IFS(orders[[#This Row],[Customer Gender]]="M","Male", orders[[#This Row],[Customer Gender]]="F","Female", orders[[#This Row],[Customer Gender]]="O","Other", TRUE,"Unknown")</f>
        <v>Female</v>
      </c>
    </row>
    <row r="216" spans="1:15">
      <c r="A216" s="1" t="s">
        <v>290</v>
      </c>
      <c r="B216" s="1" t="s">
        <v>128</v>
      </c>
      <c r="C216" s="1">
        <v>4</v>
      </c>
      <c r="D216" s="1">
        <v>69</v>
      </c>
      <c r="E216" s="11">
        <v>276</v>
      </c>
      <c r="F216" s="3">
        <v>45666</v>
      </c>
      <c r="G216" s="3">
        <v>45668</v>
      </c>
      <c r="H216" s="1" t="s">
        <v>27</v>
      </c>
      <c r="I216" s="1" t="s">
        <v>35</v>
      </c>
      <c r="J216" s="1">
        <v>3</v>
      </c>
      <c r="K216" s="1" t="s">
        <v>19</v>
      </c>
      <c r="L216" s="1" t="s">
        <v>108</v>
      </c>
      <c r="M216" s="1">
        <f>orders[[#This Row],[Ship Date]]-orders[[#This Row],[Order Date]]</f>
        <v>2</v>
      </c>
      <c r="N216" s="1">
        <f>WEEKNUM(orders[[#This Row],[Order Date]])</f>
        <v>2</v>
      </c>
      <c r="O216" s="1" t="str" cm="1">
        <f t="array" ref="O216">_xlfn.IFS(orders[[#This Row],[Customer Gender]]="M","Male", orders[[#This Row],[Customer Gender]]="F","Female", orders[[#This Row],[Customer Gender]]="O","Other", TRUE,"Unknown")</f>
        <v>Female</v>
      </c>
    </row>
    <row r="217" spans="1:15">
      <c r="A217" s="1" t="s">
        <v>291</v>
      </c>
      <c r="B217" s="1" t="s">
        <v>39</v>
      </c>
      <c r="C217" s="1">
        <v>3</v>
      </c>
      <c r="D217" s="1">
        <v>46.2</v>
      </c>
      <c r="E217" s="11">
        <v>138.60000000000002</v>
      </c>
      <c r="F217" s="3">
        <v>45666</v>
      </c>
      <c r="G217" s="3">
        <v>45668</v>
      </c>
      <c r="H217" s="1" t="s">
        <v>27</v>
      </c>
      <c r="I217" s="1" t="s">
        <v>18</v>
      </c>
      <c r="J217" s="1">
        <v>5</v>
      </c>
      <c r="K217" s="1" t="s">
        <v>19</v>
      </c>
      <c r="L217" s="1" t="s">
        <v>292</v>
      </c>
      <c r="M217" s="1">
        <f>orders[[#This Row],[Ship Date]]-orders[[#This Row],[Order Date]]</f>
        <v>2</v>
      </c>
      <c r="N217" s="1">
        <f>WEEKNUM(orders[[#This Row],[Order Date]])</f>
        <v>2</v>
      </c>
      <c r="O217" s="1" t="str" cm="1">
        <f t="array" ref="O217">_xlfn.IFS(orders[[#This Row],[Customer Gender]]="M","Male", orders[[#This Row],[Customer Gender]]="F","Female", orders[[#This Row],[Customer Gender]]="O","Other", TRUE,"Unknown")</f>
        <v>Female</v>
      </c>
    </row>
    <row r="218" spans="1:15">
      <c r="A218" s="1" t="s">
        <v>293</v>
      </c>
      <c r="B218" s="1" t="s">
        <v>22</v>
      </c>
      <c r="C218" s="1">
        <v>5</v>
      </c>
      <c r="D218" s="1">
        <v>97.4</v>
      </c>
      <c r="E218" s="11">
        <v>487</v>
      </c>
      <c r="F218" s="3">
        <v>45666</v>
      </c>
      <c r="G218" s="3">
        <v>45670</v>
      </c>
      <c r="H218" s="1" t="s">
        <v>27</v>
      </c>
      <c r="I218" s="1" t="s">
        <v>70</v>
      </c>
      <c r="J218" s="1">
        <v>5</v>
      </c>
      <c r="K218" s="1" t="s">
        <v>19</v>
      </c>
      <c r="L218" s="1" t="s">
        <v>115</v>
      </c>
      <c r="M218" s="1">
        <f>orders[[#This Row],[Ship Date]]-orders[[#This Row],[Order Date]]</f>
        <v>4</v>
      </c>
      <c r="N218" s="1">
        <f>WEEKNUM(orders[[#This Row],[Order Date]])</f>
        <v>2</v>
      </c>
      <c r="O218" s="1" t="str" cm="1">
        <f t="array" ref="O218">_xlfn.IFS(orders[[#This Row],[Customer Gender]]="M","Male", orders[[#This Row],[Customer Gender]]="F","Female", orders[[#This Row],[Customer Gender]]="O","Other", TRUE,"Unknown")</f>
        <v>Female</v>
      </c>
    </row>
    <row r="219" spans="1:15">
      <c r="A219" s="1" t="s">
        <v>294</v>
      </c>
      <c r="B219" s="1" t="s">
        <v>44</v>
      </c>
      <c r="C219" s="1">
        <v>5</v>
      </c>
      <c r="D219" s="1">
        <v>21</v>
      </c>
      <c r="E219" s="11">
        <v>105</v>
      </c>
      <c r="F219" s="3">
        <v>45666</v>
      </c>
      <c r="G219" s="3">
        <v>45667</v>
      </c>
      <c r="H219" s="1" t="s">
        <v>23</v>
      </c>
      <c r="I219" s="1" t="s">
        <v>18</v>
      </c>
      <c r="J219" s="1">
        <v>3</v>
      </c>
      <c r="K219" s="1" t="s">
        <v>19</v>
      </c>
      <c r="L219" s="1" t="s">
        <v>115</v>
      </c>
      <c r="M219" s="1">
        <f>orders[[#This Row],[Ship Date]]-orders[[#This Row],[Order Date]]</f>
        <v>1</v>
      </c>
      <c r="N219" s="1">
        <f>WEEKNUM(orders[[#This Row],[Order Date]])</f>
        <v>2</v>
      </c>
      <c r="O219" s="1" t="str" cm="1">
        <f t="array" ref="O219">_xlfn.IFS(orders[[#This Row],[Customer Gender]]="M","Male", orders[[#This Row],[Customer Gender]]="F","Female", orders[[#This Row],[Customer Gender]]="O","Other", TRUE,"Unknown")</f>
        <v>Male</v>
      </c>
    </row>
    <row r="220" spans="1:15">
      <c r="A220" s="1" t="s">
        <v>295</v>
      </c>
      <c r="B220" s="1" t="s">
        <v>37</v>
      </c>
      <c r="C220" s="1">
        <v>2</v>
      </c>
      <c r="D220" s="1">
        <v>32.700000000000003</v>
      </c>
      <c r="E220" s="11">
        <v>65.400000000000006</v>
      </c>
      <c r="F220" s="3">
        <v>45667</v>
      </c>
      <c r="G220" s="3">
        <v>45670</v>
      </c>
      <c r="H220" s="1" t="s">
        <v>27</v>
      </c>
      <c r="I220" s="1" t="s">
        <v>35</v>
      </c>
      <c r="J220" s="1">
        <v>4</v>
      </c>
      <c r="K220" s="1" t="s">
        <v>19</v>
      </c>
      <c r="L220" s="1" t="s">
        <v>28</v>
      </c>
      <c r="M220" s="1">
        <f>orders[[#This Row],[Ship Date]]-orders[[#This Row],[Order Date]]</f>
        <v>3</v>
      </c>
      <c r="N220" s="1">
        <f>WEEKNUM(orders[[#This Row],[Order Date]])</f>
        <v>2</v>
      </c>
      <c r="O220" s="1" t="str" cm="1">
        <f t="array" ref="O220">_xlfn.IFS(orders[[#This Row],[Customer Gender]]="M","Male", orders[[#This Row],[Customer Gender]]="F","Female", orders[[#This Row],[Customer Gender]]="O","Other", TRUE,"Unknown")</f>
        <v>Female</v>
      </c>
    </row>
    <row r="221" spans="1:15">
      <c r="A221" s="1" t="s">
        <v>296</v>
      </c>
      <c r="B221" s="1" t="s">
        <v>39</v>
      </c>
      <c r="C221" s="1">
        <v>4</v>
      </c>
      <c r="D221" s="1">
        <v>48</v>
      </c>
      <c r="E221" s="11">
        <v>192</v>
      </c>
      <c r="F221" s="3">
        <v>45667</v>
      </c>
      <c r="G221" s="3">
        <v>45668</v>
      </c>
      <c r="H221" s="1" t="s">
        <v>23</v>
      </c>
      <c r="I221" s="1" t="s">
        <v>51</v>
      </c>
      <c r="J221" s="1">
        <v>4</v>
      </c>
      <c r="K221" s="1" t="s">
        <v>19</v>
      </c>
      <c r="L221" s="1" t="s">
        <v>33</v>
      </c>
      <c r="M221" s="1">
        <f>orders[[#This Row],[Ship Date]]-orders[[#This Row],[Order Date]]</f>
        <v>1</v>
      </c>
      <c r="N221" s="1">
        <f>WEEKNUM(orders[[#This Row],[Order Date]])</f>
        <v>2</v>
      </c>
      <c r="O221" s="1" t="str" cm="1">
        <f t="array" ref="O221">_xlfn.IFS(orders[[#This Row],[Customer Gender]]="M","Male", orders[[#This Row],[Customer Gender]]="F","Female", orders[[#This Row],[Customer Gender]]="O","Other", TRUE,"Unknown")</f>
        <v>Male</v>
      </c>
    </row>
    <row r="222" spans="1:15">
      <c r="A222" s="1" t="s">
        <v>297</v>
      </c>
      <c r="B222" s="1" t="s">
        <v>39</v>
      </c>
      <c r="C222" s="1">
        <v>3</v>
      </c>
      <c r="D222" s="1">
        <v>68.2</v>
      </c>
      <c r="E222" s="11">
        <v>204.60000000000002</v>
      </c>
      <c r="F222" s="3">
        <v>45667</v>
      </c>
      <c r="G222" s="3">
        <v>45671</v>
      </c>
      <c r="H222" s="1" t="s">
        <v>17</v>
      </c>
      <c r="I222" s="1" t="s">
        <v>18</v>
      </c>
      <c r="J222" s="1">
        <v>5</v>
      </c>
      <c r="K222" s="1" t="s">
        <v>19</v>
      </c>
      <c r="L222" s="1" t="s">
        <v>33</v>
      </c>
      <c r="M222" s="1">
        <f>orders[[#This Row],[Ship Date]]-orders[[#This Row],[Order Date]]</f>
        <v>4</v>
      </c>
      <c r="N222" s="1">
        <f>WEEKNUM(orders[[#This Row],[Order Date]])</f>
        <v>2</v>
      </c>
      <c r="O222" s="1" t="str" cm="1">
        <f t="array" ref="O222">_xlfn.IFS(orders[[#This Row],[Customer Gender]]="M","Male", orders[[#This Row],[Customer Gender]]="F","Female", orders[[#This Row],[Customer Gender]]="O","Other", TRUE,"Unknown")</f>
        <v>Unknown</v>
      </c>
    </row>
    <row r="223" spans="1:15">
      <c r="A223" s="1" t="s">
        <v>298</v>
      </c>
      <c r="B223" s="1" t="s">
        <v>37</v>
      </c>
      <c r="C223" s="1">
        <v>1</v>
      </c>
      <c r="D223" s="1">
        <v>45.4</v>
      </c>
      <c r="E223" s="11">
        <v>45.4</v>
      </c>
      <c r="F223" s="3">
        <v>45667</v>
      </c>
      <c r="G223" s="3">
        <v>45669</v>
      </c>
      <c r="H223" s="1" t="s">
        <v>23</v>
      </c>
      <c r="I223" s="1" t="s">
        <v>35</v>
      </c>
      <c r="J223" s="1">
        <v>4</v>
      </c>
      <c r="K223" s="1" t="s">
        <v>19</v>
      </c>
      <c r="L223" s="1" t="s">
        <v>33</v>
      </c>
      <c r="M223" s="1">
        <f>orders[[#This Row],[Ship Date]]-orders[[#This Row],[Order Date]]</f>
        <v>2</v>
      </c>
      <c r="N223" s="1">
        <f>WEEKNUM(orders[[#This Row],[Order Date]])</f>
        <v>2</v>
      </c>
      <c r="O223" s="1" t="str" cm="1">
        <f t="array" ref="O223">_xlfn.IFS(orders[[#This Row],[Customer Gender]]="M","Male", orders[[#This Row],[Customer Gender]]="F","Female", orders[[#This Row],[Customer Gender]]="O","Other", TRUE,"Unknown")</f>
        <v>Male</v>
      </c>
    </row>
    <row r="224" spans="1:15">
      <c r="A224" s="1" t="s">
        <v>299</v>
      </c>
      <c r="B224" s="1" t="s">
        <v>69</v>
      </c>
      <c r="C224" s="1">
        <v>2</v>
      </c>
      <c r="D224" s="1">
        <v>53.9</v>
      </c>
      <c r="E224" s="11">
        <v>107.8</v>
      </c>
      <c r="F224" s="3">
        <v>45667</v>
      </c>
      <c r="G224" s="3">
        <v>45668</v>
      </c>
      <c r="H224" s="1" t="s">
        <v>27</v>
      </c>
      <c r="I224" s="1" t="s">
        <v>40</v>
      </c>
      <c r="J224" s="1">
        <v>4</v>
      </c>
      <c r="K224" s="1" t="s">
        <v>19</v>
      </c>
      <c r="L224" s="1" t="s">
        <v>33</v>
      </c>
      <c r="M224" s="1">
        <f>orders[[#This Row],[Ship Date]]-orders[[#This Row],[Order Date]]</f>
        <v>1</v>
      </c>
      <c r="N224" s="1">
        <f>WEEKNUM(orders[[#This Row],[Order Date]])</f>
        <v>2</v>
      </c>
      <c r="O224" s="1" t="str" cm="1">
        <f t="array" ref="O224">_xlfn.IFS(orders[[#This Row],[Customer Gender]]="M","Male", orders[[#This Row],[Customer Gender]]="F","Female", orders[[#This Row],[Customer Gender]]="O","Other", TRUE,"Unknown")</f>
        <v>Female</v>
      </c>
    </row>
    <row r="225" spans="1:15">
      <c r="A225" s="1" t="s">
        <v>300</v>
      </c>
      <c r="B225" s="1" t="s">
        <v>26</v>
      </c>
      <c r="C225" s="1">
        <v>4</v>
      </c>
      <c r="D225" s="1">
        <v>62.1</v>
      </c>
      <c r="E225" s="11">
        <v>248.4</v>
      </c>
      <c r="F225" s="3">
        <v>45667</v>
      </c>
      <c r="G225" s="3">
        <v>45671</v>
      </c>
      <c r="H225" s="1" t="s">
        <v>27</v>
      </c>
      <c r="I225" s="1" t="s">
        <v>18</v>
      </c>
      <c r="J225" s="1">
        <v>4</v>
      </c>
      <c r="K225" s="1" t="s">
        <v>19</v>
      </c>
      <c r="L225" s="1" t="s">
        <v>49</v>
      </c>
      <c r="M225" s="1">
        <f>orders[[#This Row],[Ship Date]]-orders[[#This Row],[Order Date]]</f>
        <v>4</v>
      </c>
      <c r="N225" s="1">
        <f>WEEKNUM(orders[[#This Row],[Order Date]])</f>
        <v>2</v>
      </c>
      <c r="O225" s="1" t="str" cm="1">
        <f t="array" ref="O225">_xlfn.IFS(orders[[#This Row],[Customer Gender]]="M","Male", orders[[#This Row],[Customer Gender]]="F","Female", orders[[#This Row],[Customer Gender]]="O","Other", TRUE,"Unknown")</f>
        <v>Female</v>
      </c>
    </row>
    <row r="226" spans="1:15">
      <c r="A226" s="1" t="s">
        <v>301</v>
      </c>
      <c r="B226" s="1" t="s">
        <v>76</v>
      </c>
      <c r="C226" s="1">
        <v>7</v>
      </c>
      <c r="D226" s="1">
        <v>33.1</v>
      </c>
      <c r="E226" s="11">
        <v>231.70000000000002</v>
      </c>
      <c r="F226" s="3">
        <v>45667</v>
      </c>
      <c r="G226" s="3">
        <v>45672</v>
      </c>
      <c r="H226" s="1" t="s">
        <v>23</v>
      </c>
      <c r="I226" s="1" t="s">
        <v>35</v>
      </c>
      <c r="J226" s="1">
        <v>4</v>
      </c>
      <c r="K226" s="1" t="s">
        <v>19</v>
      </c>
      <c r="L226" s="1" t="s">
        <v>55</v>
      </c>
      <c r="M226" s="1">
        <f>orders[[#This Row],[Ship Date]]-orders[[#This Row],[Order Date]]</f>
        <v>5</v>
      </c>
      <c r="N226" s="1">
        <f>WEEKNUM(orders[[#This Row],[Order Date]])</f>
        <v>2</v>
      </c>
      <c r="O226" s="1" t="str" cm="1">
        <f t="array" ref="O226">_xlfn.IFS(orders[[#This Row],[Customer Gender]]="M","Male", orders[[#This Row],[Customer Gender]]="F","Female", orders[[#This Row],[Customer Gender]]="O","Other", TRUE,"Unknown")</f>
        <v>Male</v>
      </c>
    </row>
    <row r="227" spans="1:15">
      <c r="A227" s="1" t="s">
        <v>302</v>
      </c>
      <c r="B227" s="1" t="s">
        <v>146</v>
      </c>
      <c r="C227" s="1">
        <v>5</v>
      </c>
      <c r="D227" s="1">
        <v>35.200000000000003</v>
      </c>
      <c r="E227" s="11">
        <v>176</v>
      </c>
      <c r="F227" s="3">
        <v>45667</v>
      </c>
      <c r="G227" s="3">
        <v>45667</v>
      </c>
      <c r="H227" s="1" t="s">
        <v>27</v>
      </c>
      <c r="I227" s="1" t="s">
        <v>35</v>
      </c>
      <c r="J227" s="1">
        <v>4</v>
      </c>
      <c r="K227" s="1" t="s">
        <v>19</v>
      </c>
      <c r="L227" s="1" t="s">
        <v>55</v>
      </c>
      <c r="M227" s="1">
        <f>orders[[#This Row],[Ship Date]]-orders[[#This Row],[Order Date]]</f>
        <v>0</v>
      </c>
      <c r="N227" s="1">
        <f>WEEKNUM(orders[[#This Row],[Order Date]])</f>
        <v>2</v>
      </c>
      <c r="O227" s="1" t="str" cm="1">
        <f t="array" ref="O227">_xlfn.IFS(orders[[#This Row],[Customer Gender]]="M","Male", orders[[#This Row],[Customer Gender]]="F","Female", orders[[#This Row],[Customer Gender]]="O","Other", TRUE,"Unknown")</f>
        <v>Female</v>
      </c>
    </row>
    <row r="228" spans="1:15">
      <c r="A228" s="1" t="s">
        <v>303</v>
      </c>
      <c r="B228" s="1" t="s">
        <v>46</v>
      </c>
      <c r="C228" s="1">
        <v>3</v>
      </c>
      <c r="D228" s="1">
        <v>32.1</v>
      </c>
      <c r="E228" s="11">
        <v>96.300000000000011</v>
      </c>
      <c r="F228" s="3">
        <v>45667</v>
      </c>
      <c r="G228" s="3">
        <v>45672</v>
      </c>
      <c r="H228" s="1" t="s">
        <v>23</v>
      </c>
      <c r="I228" s="1" t="s">
        <v>51</v>
      </c>
      <c r="J228" s="1">
        <v>4</v>
      </c>
      <c r="K228" s="1" t="s">
        <v>19</v>
      </c>
      <c r="L228" s="1" t="s">
        <v>62</v>
      </c>
      <c r="M228" s="1">
        <f>orders[[#This Row],[Ship Date]]-orders[[#This Row],[Order Date]]</f>
        <v>5</v>
      </c>
      <c r="N228" s="1">
        <f>WEEKNUM(orders[[#This Row],[Order Date]])</f>
        <v>2</v>
      </c>
      <c r="O228" s="1" t="str" cm="1">
        <f t="array" ref="O228">_xlfn.IFS(orders[[#This Row],[Customer Gender]]="M","Male", orders[[#This Row],[Customer Gender]]="F","Female", orders[[#This Row],[Customer Gender]]="O","Other", TRUE,"Unknown")</f>
        <v>Male</v>
      </c>
    </row>
    <row r="229" spans="1:15">
      <c r="A229" s="1" t="s">
        <v>304</v>
      </c>
      <c r="B229" s="1" t="s">
        <v>67</v>
      </c>
      <c r="C229" s="1">
        <v>1</v>
      </c>
      <c r="D229" s="1">
        <v>38.1</v>
      </c>
      <c r="E229" s="11">
        <v>38.1</v>
      </c>
      <c r="F229" s="3">
        <v>45667</v>
      </c>
      <c r="G229" s="3">
        <v>45672</v>
      </c>
      <c r="H229" s="1" t="s">
        <v>27</v>
      </c>
      <c r="I229" s="1" t="s">
        <v>18</v>
      </c>
      <c r="J229" s="1">
        <v>5</v>
      </c>
      <c r="K229" s="1" t="s">
        <v>19</v>
      </c>
      <c r="L229" s="1" t="s">
        <v>62</v>
      </c>
      <c r="M229" s="1">
        <f>orders[[#This Row],[Ship Date]]-orders[[#This Row],[Order Date]]</f>
        <v>5</v>
      </c>
      <c r="N229" s="1">
        <f>WEEKNUM(orders[[#This Row],[Order Date]])</f>
        <v>2</v>
      </c>
      <c r="O229" s="1" t="str" cm="1">
        <f t="array" ref="O229">_xlfn.IFS(orders[[#This Row],[Customer Gender]]="M","Male", orders[[#This Row],[Customer Gender]]="F","Female", orders[[#This Row],[Customer Gender]]="O","Other", TRUE,"Unknown")</f>
        <v>Female</v>
      </c>
    </row>
    <row r="230" spans="1:15">
      <c r="A230" s="1" t="s">
        <v>305</v>
      </c>
      <c r="B230" s="1" t="s">
        <v>44</v>
      </c>
      <c r="C230" s="1">
        <v>1</v>
      </c>
      <c r="D230" s="1">
        <v>65.2</v>
      </c>
      <c r="E230" s="11">
        <v>65.2</v>
      </c>
      <c r="F230" s="3">
        <v>45667</v>
      </c>
      <c r="G230" s="3">
        <v>45672</v>
      </c>
      <c r="H230" s="1" t="s">
        <v>27</v>
      </c>
      <c r="I230" s="1" t="s">
        <v>51</v>
      </c>
      <c r="J230" s="1">
        <v>3</v>
      </c>
      <c r="K230" s="1" t="s">
        <v>19</v>
      </c>
      <c r="L230" s="1" t="s">
        <v>62</v>
      </c>
      <c r="M230" s="1">
        <f>orders[[#This Row],[Ship Date]]-orders[[#This Row],[Order Date]]</f>
        <v>5</v>
      </c>
      <c r="N230" s="1">
        <f>WEEKNUM(orders[[#This Row],[Order Date]])</f>
        <v>2</v>
      </c>
      <c r="O230" s="1" t="str" cm="1">
        <f t="array" ref="O230">_xlfn.IFS(orders[[#This Row],[Customer Gender]]="M","Male", orders[[#This Row],[Customer Gender]]="F","Female", orders[[#This Row],[Customer Gender]]="O","Other", TRUE,"Unknown")</f>
        <v>Female</v>
      </c>
    </row>
    <row r="231" spans="1:15">
      <c r="A231" s="1" t="s">
        <v>306</v>
      </c>
      <c r="B231" s="1" t="s">
        <v>54</v>
      </c>
      <c r="C231" s="1">
        <v>7</v>
      </c>
      <c r="D231" s="1">
        <v>55.2</v>
      </c>
      <c r="E231" s="11">
        <v>386.40000000000003</v>
      </c>
      <c r="F231" s="3">
        <v>45667</v>
      </c>
      <c r="G231" s="3">
        <v>45668</v>
      </c>
      <c r="H231" s="1" t="s">
        <v>23</v>
      </c>
      <c r="I231" s="1" t="s">
        <v>40</v>
      </c>
      <c r="J231" s="1">
        <v>4</v>
      </c>
      <c r="K231" s="1" t="s">
        <v>19</v>
      </c>
      <c r="L231" s="1" t="s">
        <v>77</v>
      </c>
      <c r="M231" s="1">
        <f>orders[[#This Row],[Ship Date]]-orders[[#This Row],[Order Date]]</f>
        <v>1</v>
      </c>
      <c r="N231" s="1">
        <f>WEEKNUM(orders[[#This Row],[Order Date]])</f>
        <v>2</v>
      </c>
      <c r="O231" s="1" t="str" cm="1">
        <f t="array" ref="O231">_xlfn.IFS(orders[[#This Row],[Customer Gender]]="M","Male", orders[[#This Row],[Customer Gender]]="F","Female", orders[[#This Row],[Customer Gender]]="O","Other", TRUE,"Unknown")</f>
        <v>Male</v>
      </c>
    </row>
    <row r="232" spans="1:15">
      <c r="A232" s="1" t="s">
        <v>307</v>
      </c>
      <c r="B232" s="1" t="s">
        <v>39</v>
      </c>
      <c r="C232" s="1">
        <v>1</v>
      </c>
      <c r="D232" s="1">
        <v>62</v>
      </c>
      <c r="E232" s="11">
        <v>62</v>
      </c>
      <c r="F232" s="3">
        <v>45667</v>
      </c>
      <c r="G232" s="3">
        <v>45671</v>
      </c>
      <c r="H232" s="1" t="s">
        <v>27</v>
      </c>
      <c r="I232" s="1" t="s">
        <v>18</v>
      </c>
      <c r="J232" s="1">
        <v>4</v>
      </c>
      <c r="K232" s="1" t="s">
        <v>19</v>
      </c>
      <c r="L232" s="1" t="s">
        <v>77</v>
      </c>
      <c r="M232" s="1">
        <f>orders[[#This Row],[Ship Date]]-orders[[#This Row],[Order Date]]</f>
        <v>4</v>
      </c>
      <c r="N232" s="1">
        <f>WEEKNUM(orders[[#This Row],[Order Date]])</f>
        <v>2</v>
      </c>
      <c r="O232" s="1" t="str" cm="1">
        <f t="array" ref="O232">_xlfn.IFS(orders[[#This Row],[Customer Gender]]="M","Male", orders[[#This Row],[Customer Gender]]="F","Female", orders[[#This Row],[Customer Gender]]="O","Other", TRUE,"Unknown")</f>
        <v>Female</v>
      </c>
    </row>
    <row r="233" spans="1:15">
      <c r="A233" s="1" t="s">
        <v>308</v>
      </c>
      <c r="B233" s="1" t="s">
        <v>42</v>
      </c>
      <c r="C233" s="1">
        <v>3</v>
      </c>
      <c r="D233" s="1">
        <v>45.9</v>
      </c>
      <c r="E233" s="11">
        <v>137.69999999999999</v>
      </c>
      <c r="F233" s="3">
        <v>45667</v>
      </c>
      <c r="G233" s="3">
        <v>45668</v>
      </c>
      <c r="H233" s="1" t="s">
        <v>27</v>
      </c>
      <c r="I233" s="1" t="s">
        <v>40</v>
      </c>
      <c r="J233" s="1">
        <v>4</v>
      </c>
      <c r="K233" s="1" t="s">
        <v>19</v>
      </c>
      <c r="L233" s="1" t="s">
        <v>309</v>
      </c>
      <c r="M233" s="1">
        <f>orders[[#This Row],[Ship Date]]-orders[[#This Row],[Order Date]]</f>
        <v>1</v>
      </c>
      <c r="N233" s="1">
        <f>WEEKNUM(orders[[#This Row],[Order Date]])</f>
        <v>2</v>
      </c>
      <c r="O233" s="1" t="str" cm="1">
        <f t="array" ref="O233">_xlfn.IFS(orders[[#This Row],[Customer Gender]]="M","Male", orders[[#This Row],[Customer Gender]]="F","Female", orders[[#This Row],[Customer Gender]]="O","Other", TRUE,"Unknown")</f>
        <v>Female</v>
      </c>
    </row>
    <row r="234" spans="1:15">
      <c r="A234" s="1" t="s">
        <v>310</v>
      </c>
      <c r="B234" s="1" t="s">
        <v>146</v>
      </c>
      <c r="C234" s="1">
        <v>3</v>
      </c>
      <c r="D234" s="1">
        <v>58.3</v>
      </c>
      <c r="E234" s="11">
        <v>174.89999999999998</v>
      </c>
      <c r="F234" s="3">
        <v>45667</v>
      </c>
      <c r="G234" s="3">
        <v>45667</v>
      </c>
      <c r="H234" s="1" t="s">
        <v>23</v>
      </c>
      <c r="I234" s="1" t="s">
        <v>35</v>
      </c>
      <c r="J234" s="1">
        <v>3</v>
      </c>
      <c r="K234" s="1" t="s">
        <v>19</v>
      </c>
      <c r="L234" s="1" t="s">
        <v>108</v>
      </c>
      <c r="M234" s="1">
        <f>orders[[#This Row],[Ship Date]]-orders[[#This Row],[Order Date]]</f>
        <v>0</v>
      </c>
      <c r="N234" s="1">
        <f>WEEKNUM(orders[[#This Row],[Order Date]])</f>
        <v>2</v>
      </c>
      <c r="O234" s="1" t="str" cm="1">
        <f t="array" ref="O234">_xlfn.IFS(orders[[#This Row],[Customer Gender]]="M","Male", orders[[#This Row],[Customer Gender]]="F","Female", orders[[#This Row],[Customer Gender]]="O","Other", TRUE,"Unknown")</f>
        <v>Male</v>
      </c>
    </row>
    <row r="235" spans="1:15">
      <c r="A235" s="1" t="s">
        <v>311</v>
      </c>
      <c r="B235" s="1" t="s">
        <v>44</v>
      </c>
      <c r="C235" s="1">
        <v>2</v>
      </c>
      <c r="D235" s="1">
        <v>22.3</v>
      </c>
      <c r="E235" s="11">
        <v>44.6</v>
      </c>
      <c r="F235" s="3">
        <v>45667</v>
      </c>
      <c r="G235" s="3">
        <v>45670</v>
      </c>
      <c r="H235" s="1" t="s">
        <v>27</v>
      </c>
      <c r="I235" s="1" t="s">
        <v>18</v>
      </c>
      <c r="J235" s="1">
        <v>5</v>
      </c>
      <c r="K235" s="1" t="s">
        <v>19</v>
      </c>
      <c r="L235" s="1" t="s">
        <v>113</v>
      </c>
      <c r="M235" s="1">
        <f>orders[[#This Row],[Ship Date]]-orders[[#This Row],[Order Date]]</f>
        <v>3</v>
      </c>
      <c r="N235" s="1">
        <f>WEEKNUM(orders[[#This Row],[Order Date]])</f>
        <v>2</v>
      </c>
      <c r="O235" s="1" t="str" cm="1">
        <f t="array" ref="O235">_xlfn.IFS(orders[[#This Row],[Customer Gender]]="M","Male", orders[[#This Row],[Customer Gender]]="F","Female", orders[[#This Row],[Customer Gender]]="O","Other", TRUE,"Unknown")</f>
        <v>Female</v>
      </c>
    </row>
    <row r="236" spans="1:15">
      <c r="A236" s="1" t="s">
        <v>312</v>
      </c>
      <c r="B236" s="1" t="s">
        <v>171</v>
      </c>
      <c r="C236" s="1">
        <v>5</v>
      </c>
      <c r="D236" s="1">
        <v>24</v>
      </c>
      <c r="E236" s="11">
        <v>120</v>
      </c>
      <c r="F236" s="3">
        <v>45667</v>
      </c>
      <c r="G236" s="3">
        <v>45668</v>
      </c>
      <c r="H236" s="1" t="s">
        <v>23</v>
      </c>
      <c r="I236" s="1" t="s">
        <v>70</v>
      </c>
      <c r="J236" s="1">
        <v>4</v>
      </c>
      <c r="K236" s="1" t="s">
        <v>19</v>
      </c>
      <c r="L236" s="1" t="s">
        <v>24</v>
      </c>
      <c r="M236" s="1">
        <f>orders[[#This Row],[Ship Date]]-orders[[#This Row],[Order Date]]</f>
        <v>1</v>
      </c>
      <c r="N236" s="1">
        <f>WEEKNUM(orders[[#This Row],[Order Date]])</f>
        <v>2</v>
      </c>
      <c r="O236" s="1" t="str" cm="1">
        <f t="array" ref="O236">_xlfn.IFS(orders[[#This Row],[Customer Gender]]="M","Male", orders[[#This Row],[Customer Gender]]="F","Female", orders[[#This Row],[Customer Gender]]="O","Other", TRUE,"Unknown")</f>
        <v>Male</v>
      </c>
    </row>
    <row r="237" spans="1:15">
      <c r="A237" s="1" t="s">
        <v>313</v>
      </c>
      <c r="B237" s="1" t="s">
        <v>16</v>
      </c>
      <c r="C237" s="1">
        <v>10</v>
      </c>
      <c r="D237" s="1">
        <v>21.3</v>
      </c>
      <c r="E237" s="11">
        <v>213</v>
      </c>
      <c r="F237" s="3">
        <v>45667</v>
      </c>
      <c r="G237" s="3">
        <v>45667</v>
      </c>
      <c r="H237" s="1" t="s">
        <v>27</v>
      </c>
      <c r="I237" s="1" t="s">
        <v>35</v>
      </c>
      <c r="J237" s="1">
        <v>5</v>
      </c>
      <c r="K237" s="1" t="s">
        <v>19</v>
      </c>
      <c r="L237" s="1" t="s">
        <v>147</v>
      </c>
      <c r="M237" s="1">
        <f>orders[[#This Row],[Ship Date]]-orders[[#This Row],[Order Date]]</f>
        <v>0</v>
      </c>
      <c r="N237" s="1">
        <f>WEEKNUM(orders[[#This Row],[Order Date]])</f>
        <v>2</v>
      </c>
      <c r="O237" s="1" t="str" cm="1">
        <f t="array" ref="O237">_xlfn.IFS(orders[[#This Row],[Customer Gender]]="M","Male", orders[[#This Row],[Customer Gender]]="F","Female", orders[[#This Row],[Customer Gender]]="O","Other", TRUE,"Unknown")</f>
        <v>Female</v>
      </c>
    </row>
    <row r="238" spans="1:15">
      <c r="A238" s="1" t="s">
        <v>314</v>
      </c>
      <c r="B238" s="1" t="s">
        <v>39</v>
      </c>
      <c r="C238" s="1">
        <v>41</v>
      </c>
      <c r="D238" s="1">
        <v>57.8</v>
      </c>
      <c r="E238" s="11">
        <v>2369.7999999999997</v>
      </c>
      <c r="F238" s="3">
        <v>45667</v>
      </c>
      <c r="G238" s="3">
        <v>45669</v>
      </c>
      <c r="H238" s="1" t="s">
        <v>27</v>
      </c>
      <c r="I238" s="1" t="s">
        <v>18</v>
      </c>
      <c r="J238" s="1">
        <v>5</v>
      </c>
      <c r="K238" s="1" t="s">
        <v>19</v>
      </c>
      <c r="L238" s="1" t="s">
        <v>33</v>
      </c>
      <c r="M238" s="1">
        <f>orders[[#This Row],[Ship Date]]-orders[[#This Row],[Order Date]]</f>
        <v>2</v>
      </c>
      <c r="N238" s="1">
        <f>WEEKNUM(orders[[#This Row],[Order Date]])</f>
        <v>2</v>
      </c>
      <c r="O238" s="1" t="str" cm="1">
        <f t="array" ref="O238">_xlfn.IFS(orders[[#This Row],[Customer Gender]]="M","Male", orders[[#This Row],[Customer Gender]]="F","Female", orders[[#This Row],[Customer Gender]]="O","Other", TRUE,"Unknown")</f>
        <v>Female</v>
      </c>
    </row>
    <row r="239" spans="1:15">
      <c r="A239" s="1" t="s">
        <v>315</v>
      </c>
      <c r="B239" s="1" t="s">
        <v>54</v>
      </c>
      <c r="C239" s="1">
        <v>3</v>
      </c>
      <c r="D239" s="1">
        <v>67.599999999999994</v>
      </c>
      <c r="E239" s="11">
        <v>202.79999999999998</v>
      </c>
      <c r="F239" s="3">
        <v>45667</v>
      </c>
      <c r="G239" s="3">
        <v>45668</v>
      </c>
      <c r="H239" s="1" t="s">
        <v>27</v>
      </c>
      <c r="I239" s="1" t="s">
        <v>18</v>
      </c>
      <c r="J239" s="1">
        <v>4</v>
      </c>
      <c r="K239" s="1" t="s">
        <v>19</v>
      </c>
      <c r="L239" s="1" t="s">
        <v>33</v>
      </c>
      <c r="M239" s="1">
        <f>orders[[#This Row],[Ship Date]]-orders[[#This Row],[Order Date]]</f>
        <v>1</v>
      </c>
      <c r="N239" s="1">
        <f>WEEKNUM(orders[[#This Row],[Order Date]])</f>
        <v>2</v>
      </c>
      <c r="O239" s="1" t="str" cm="1">
        <f t="array" ref="O239">_xlfn.IFS(orders[[#This Row],[Customer Gender]]="M","Male", orders[[#This Row],[Customer Gender]]="F","Female", orders[[#This Row],[Customer Gender]]="O","Other", TRUE,"Unknown")</f>
        <v>Female</v>
      </c>
    </row>
    <row r="240" spans="1:15">
      <c r="A240" s="1" t="s">
        <v>316</v>
      </c>
      <c r="B240" s="1" t="s">
        <v>39</v>
      </c>
      <c r="C240" s="1">
        <v>6</v>
      </c>
      <c r="D240" s="1">
        <v>66.7</v>
      </c>
      <c r="E240" s="11">
        <v>400.20000000000005</v>
      </c>
      <c r="F240" s="3">
        <v>45667</v>
      </c>
      <c r="G240" s="3">
        <v>45671</v>
      </c>
      <c r="H240" s="1" t="s">
        <v>23</v>
      </c>
      <c r="I240" s="1" t="s">
        <v>70</v>
      </c>
      <c r="J240" s="1">
        <v>3</v>
      </c>
      <c r="K240" s="1" t="s">
        <v>19</v>
      </c>
      <c r="L240" s="1" t="s">
        <v>33</v>
      </c>
      <c r="M240" s="1">
        <f>orders[[#This Row],[Ship Date]]-orders[[#This Row],[Order Date]]</f>
        <v>4</v>
      </c>
      <c r="N240" s="1">
        <f>WEEKNUM(orders[[#This Row],[Order Date]])</f>
        <v>2</v>
      </c>
      <c r="O240" s="1" t="str" cm="1">
        <f t="array" ref="O240">_xlfn.IFS(orders[[#This Row],[Customer Gender]]="M","Male", orders[[#This Row],[Customer Gender]]="F","Female", orders[[#This Row],[Customer Gender]]="O","Other", TRUE,"Unknown")</f>
        <v>Male</v>
      </c>
    </row>
    <row r="241" spans="1:15">
      <c r="A241" s="1" t="s">
        <v>317</v>
      </c>
      <c r="B241" s="1" t="s">
        <v>22</v>
      </c>
      <c r="C241" s="1">
        <v>4</v>
      </c>
      <c r="D241" s="1">
        <v>53.1</v>
      </c>
      <c r="E241" s="11">
        <v>212.4</v>
      </c>
      <c r="F241" s="3">
        <v>45667</v>
      </c>
      <c r="G241" s="3">
        <v>45669</v>
      </c>
      <c r="H241" s="1" t="s">
        <v>27</v>
      </c>
      <c r="I241" s="1" t="s">
        <v>35</v>
      </c>
      <c r="J241" s="1">
        <v>4</v>
      </c>
      <c r="K241" s="1" t="s">
        <v>19</v>
      </c>
      <c r="L241" s="1" t="s">
        <v>33</v>
      </c>
      <c r="M241" s="1">
        <f>orders[[#This Row],[Ship Date]]-orders[[#This Row],[Order Date]]</f>
        <v>2</v>
      </c>
      <c r="N241" s="1">
        <f>WEEKNUM(orders[[#This Row],[Order Date]])</f>
        <v>2</v>
      </c>
      <c r="O241" s="1" t="str" cm="1">
        <f t="array" ref="O241">_xlfn.IFS(orders[[#This Row],[Customer Gender]]="M","Male", orders[[#This Row],[Customer Gender]]="F","Female", orders[[#This Row],[Customer Gender]]="O","Other", TRUE,"Unknown")</f>
        <v>Female</v>
      </c>
    </row>
    <row r="242" spans="1:15">
      <c r="A242" s="1" t="s">
        <v>318</v>
      </c>
      <c r="B242" s="1" t="s">
        <v>69</v>
      </c>
      <c r="C242" s="1">
        <v>3</v>
      </c>
      <c r="D242" s="1">
        <v>57.4</v>
      </c>
      <c r="E242" s="11">
        <v>172.2</v>
      </c>
      <c r="F242" s="3">
        <v>45667</v>
      </c>
      <c r="G242" s="3">
        <v>45670</v>
      </c>
      <c r="H242" s="1" t="s">
        <v>27</v>
      </c>
      <c r="I242" s="1" t="s">
        <v>18</v>
      </c>
      <c r="J242" s="1">
        <v>5</v>
      </c>
      <c r="K242" s="1" t="s">
        <v>19</v>
      </c>
      <c r="L242" s="1" t="s">
        <v>258</v>
      </c>
      <c r="M242" s="1">
        <f>orders[[#This Row],[Ship Date]]-orders[[#This Row],[Order Date]]</f>
        <v>3</v>
      </c>
      <c r="N242" s="1">
        <f>WEEKNUM(orders[[#This Row],[Order Date]])</f>
        <v>2</v>
      </c>
      <c r="O242" s="1" t="str" cm="1">
        <f t="array" ref="O242">_xlfn.IFS(orders[[#This Row],[Customer Gender]]="M","Male", orders[[#This Row],[Customer Gender]]="F","Female", orders[[#This Row],[Customer Gender]]="O","Other", TRUE,"Unknown")</f>
        <v>Female</v>
      </c>
    </row>
    <row r="243" spans="1:15">
      <c r="A243" s="1" t="s">
        <v>319</v>
      </c>
      <c r="B243" s="1" t="s">
        <v>26</v>
      </c>
      <c r="C243" s="1">
        <v>5</v>
      </c>
      <c r="D243" s="1">
        <v>58.1</v>
      </c>
      <c r="E243" s="11">
        <v>290.5</v>
      </c>
      <c r="F243" s="3">
        <v>45667</v>
      </c>
      <c r="G243" s="3">
        <v>45667</v>
      </c>
      <c r="H243" s="1" t="s">
        <v>23</v>
      </c>
      <c r="I243" s="1" t="s">
        <v>40</v>
      </c>
      <c r="J243" s="1">
        <v>5</v>
      </c>
      <c r="K243" s="1" t="s">
        <v>19</v>
      </c>
      <c r="L243" s="1" t="s">
        <v>55</v>
      </c>
      <c r="M243" s="1">
        <f>orders[[#This Row],[Ship Date]]-orders[[#This Row],[Order Date]]</f>
        <v>0</v>
      </c>
      <c r="N243" s="1">
        <f>WEEKNUM(orders[[#This Row],[Order Date]])</f>
        <v>2</v>
      </c>
      <c r="O243" s="1" t="str" cm="1">
        <f t="array" ref="O243">_xlfn.IFS(orders[[#This Row],[Customer Gender]]="M","Male", orders[[#This Row],[Customer Gender]]="F","Female", orders[[#This Row],[Customer Gender]]="O","Other", TRUE,"Unknown")</f>
        <v>Male</v>
      </c>
    </row>
    <row r="244" spans="1:15">
      <c r="A244" s="1" t="s">
        <v>320</v>
      </c>
      <c r="B244" s="1" t="s">
        <v>37</v>
      </c>
      <c r="C244" s="1">
        <v>3</v>
      </c>
      <c r="D244" s="1">
        <v>31.8</v>
      </c>
      <c r="E244" s="11">
        <v>95.4</v>
      </c>
      <c r="F244" s="3">
        <v>45668</v>
      </c>
      <c r="G244" s="3">
        <v>45670</v>
      </c>
      <c r="H244" s="1" t="s">
        <v>23</v>
      </c>
      <c r="I244" s="1" t="s">
        <v>51</v>
      </c>
      <c r="J244" s="1">
        <v>4</v>
      </c>
      <c r="K244" s="1" t="s">
        <v>19</v>
      </c>
      <c r="L244" s="1" t="s">
        <v>55</v>
      </c>
      <c r="M244" s="1">
        <f>orders[[#This Row],[Ship Date]]-orders[[#This Row],[Order Date]]</f>
        <v>2</v>
      </c>
      <c r="N244" s="1">
        <f>WEEKNUM(orders[[#This Row],[Order Date]])</f>
        <v>2</v>
      </c>
      <c r="O244" s="1" t="str" cm="1">
        <f t="array" ref="O244">_xlfn.IFS(orders[[#This Row],[Customer Gender]]="M","Male", orders[[#This Row],[Customer Gender]]="F","Female", orders[[#This Row],[Customer Gender]]="O","Other", TRUE,"Unknown")</f>
        <v>Male</v>
      </c>
    </row>
    <row r="245" spans="1:15">
      <c r="A245" s="1" t="s">
        <v>321</v>
      </c>
      <c r="B245" s="1" t="s">
        <v>32</v>
      </c>
      <c r="C245" s="1">
        <v>3</v>
      </c>
      <c r="D245" s="1">
        <v>31.5</v>
      </c>
      <c r="E245" s="11">
        <v>94.5</v>
      </c>
      <c r="F245" s="3">
        <v>45668</v>
      </c>
      <c r="G245" s="3">
        <v>45671</v>
      </c>
      <c r="H245" s="1" t="s">
        <v>23</v>
      </c>
      <c r="I245" s="1" t="s">
        <v>18</v>
      </c>
      <c r="J245" s="1">
        <v>3</v>
      </c>
      <c r="K245" s="1" t="s">
        <v>19</v>
      </c>
      <c r="L245" s="1" t="s">
        <v>62</v>
      </c>
      <c r="M245" s="1">
        <f>orders[[#This Row],[Ship Date]]-orders[[#This Row],[Order Date]]</f>
        <v>3</v>
      </c>
      <c r="N245" s="1">
        <f>WEEKNUM(orders[[#This Row],[Order Date]])</f>
        <v>2</v>
      </c>
      <c r="O245" s="1" t="str" cm="1">
        <f t="array" ref="O245">_xlfn.IFS(orders[[#This Row],[Customer Gender]]="M","Male", orders[[#This Row],[Customer Gender]]="F","Female", orders[[#This Row],[Customer Gender]]="O","Other", TRUE,"Unknown")</f>
        <v>Male</v>
      </c>
    </row>
    <row r="246" spans="1:15">
      <c r="A246" s="1" t="s">
        <v>322</v>
      </c>
      <c r="B246" s="1" t="s">
        <v>39</v>
      </c>
      <c r="C246" s="1">
        <v>7</v>
      </c>
      <c r="D246" s="1">
        <v>55.9</v>
      </c>
      <c r="E246" s="11">
        <v>391.3</v>
      </c>
      <c r="F246" s="3">
        <v>45668</v>
      </c>
      <c r="G246" s="3">
        <v>45672</v>
      </c>
      <c r="H246" s="1" t="s">
        <v>27</v>
      </c>
      <c r="I246" s="1" t="s">
        <v>35</v>
      </c>
      <c r="J246" s="1">
        <v>5</v>
      </c>
      <c r="K246" s="1" t="s">
        <v>19</v>
      </c>
      <c r="L246" s="1" t="s">
        <v>62</v>
      </c>
      <c r="M246" s="1">
        <f>orders[[#This Row],[Ship Date]]-orders[[#This Row],[Order Date]]</f>
        <v>4</v>
      </c>
      <c r="N246" s="1">
        <f>WEEKNUM(orders[[#This Row],[Order Date]])</f>
        <v>2</v>
      </c>
      <c r="O246" s="1" t="str" cm="1">
        <f t="array" ref="O246">_xlfn.IFS(orders[[#This Row],[Customer Gender]]="M","Male", orders[[#This Row],[Customer Gender]]="F","Female", orders[[#This Row],[Customer Gender]]="O","Other", TRUE,"Unknown")</f>
        <v>Female</v>
      </c>
    </row>
    <row r="247" spans="1:15">
      <c r="A247" s="1" t="s">
        <v>323</v>
      </c>
      <c r="B247" s="1" t="s">
        <v>44</v>
      </c>
      <c r="C247" s="1">
        <v>2</v>
      </c>
      <c r="D247" s="1">
        <v>36.4</v>
      </c>
      <c r="E247" s="11">
        <v>72.8</v>
      </c>
      <c r="F247" s="3">
        <v>45668</v>
      </c>
      <c r="G247" s="3">
        <v>45669</v>
      </c>
      <c r="H247" s="1" t="s">
        <v>23</v>
      </c>
      <c r="I247" s="1" t="s">
        <v>35</v>
      </c>
      <c r="J247" s="1">
        <v>3</v>
      </c>
      <c r="K247" s="1" t="s">
        <v>19</v>
      </c>
      <c r="L247" s="1" t="s">
        <v>72</v>
      </c>
      <c r="M247" s="1">
        <f>orders[[#This Row],[Ship Date]]-orders[[#This Row],[Order Date]]</f>
        <v>1</v>
      </c>
      <c r="N247" s="1">
        <f>WEEKNUM(orders[[#This Row],[Order Date]])</f>
        <v>2</v>
      </c>
      <c r="O247" s="1" t="str" cm="1">
        <f t="array" ref="O247">_xlfn.IFS(orders[[#This Row],[Customer Gender]]="M","Male", orders[[#This Row],[Customer Gender]]="F","Female", orders[[#This Row],[Customer Gender]]="O","Other", TRUE,"Unknown")</f>
        <v>Male</v>
      </c>
    </row>
    <row r="248" spans="1:15">
      <c r="A248" s="1" t="s">
        <v>324</v>
      </c>
      <c r="B248" s="1" t="s">
        <v>22</v>
      </c>
      <c r="C248" s="1">
        <v>5</v>
      </c>
      <c r="D248" s="1">
        <v>47.3</v>
      </c>
      <c r="E248" s="11">
        <v>236.5</v>
      </c>
      <c r="F248" s="3">
        <v>45668</v>
      </c>
      <c r="G248" s="3">
        <v>45671</v>
      </c>
      <c r="H248" s="1" t="s">
        <v>23</v>
      </c>
      <c r="I248" s="1" t="s">
        <v>40</v>
      </c>
      <c r="J248" s="1">
        <v>4</v>
      </c>
      <c r="K248" s="1" t="s">
        <v>19</v>
      </c>
      <c r="L248" s="1" t="s">
        <v>74</v>
      </c>
      <c r="M248" s="1">
        <f>orders[[#This Row],[Ship Date]]-orders[[#This Row],[Order Date]]</f>
        <v>3</v>
      </c>
      <c r="N248" s="1">
        <f>WEEKNUM(orders[[#This Row],[Order Date]])</f>
        <v>2</v>
      </c>
      <c r="O248" s="1" t="str" cm="1">
        <f t="array" ref="O248">_xlfn.IFS(orders[[#This Row],[Customer Gender]]="M","Male", orders[[#This Row],[Customer Gender]]="F","Female", orders[[#This Row],[Customer Gender]]="O","Other", TRUE,"Unknown")</f>
        <v>Male</v>
      </c>
    </row>
    <row r="249" spans="1:15">
      <c r="A249" s="1" t="s">
        <v>325</v>
      </c>
      <c r="B249" s="1" t="s">
        <v>39</v>
      </c>
      <c r="C249" s="1">
        <v>3</v>
      </c>
      <c r="D249" s="1">
        <v>82.5</v>
      </c>
      <c r="E249" s="11">
        <v>247.5</v>
      </c>
      <c r="F249" s="3">
        <v>45668</v>
      </c>
      <c r="G249" s="3">
        <v>45669</v>
      </c>
      <c r="H249" s="1" t="s">
        <v>23</v>
      </c>
      <c r="I249" s="1" t="s">
        <v>18</v>
      </c>
      <c r="J249" s="1">
        <v>4</v>
      </c>
      <c r="K249" s="1" t="s">
        <v>19</v>
      </c>
      <c r="L249" s="1" t="s">
        <v>77</v>
      </c>
      <c r="M249" s="1">
        <f>orders[[#This Row],[Ship Date]]-orders[[#This Row],[Order Date]]</f>
        <v>1</v>
      </c>
      <c r="N249" s="1">
        <f>WEEKNUM(orders[[#This Row],[Order Date]])</f>
        <v>2</v>
      </c>
      <c r="O249" s="1" t="str" cm="1">
        <f t="array" ref="O249">_xlfn.IFS(orders[[#This Row],[Customer Gender]]="M","Male", orders[[#This Row],[Customer Gender]]="F","Female", orders[[#This Row],[Customer Gender]]="O","Other", TRUE,"Unknown")</f>
        <v>Male</v>
      </c>
    </row>
    <row r="250" spans="1:15">
      <c r="A250" s="1" t="s">
        <v>326</v>
      </c>
      <c r="B250" s="1" t="s">
        <v>16</v>
      </c>
      <c r="C250" s="1">
        <v>1</v>
      </c>
      <c r="D250" s="1">
        <v>14.3</v>
      </c>
      <c r="E250" s="11">
        <v>14.3</v>
      </c>
      <c r="F250" s="3">
        <v>45668</v>
      </c>
      <c r="G250" s="3">
        <v>45669</v>
      </c>
      <c r="H250" s="1" t="s">
        <v>27</v>
      </c>
      <c r="I250" s="1" t="s">
        <v>18</v>
      </c>
      <c r="J250" s="1">
        <v>4</v>
      </c>
      <c r="K250" s="1" t="s">
        <v>19</v>
      </c>
      <c r="L250" s="1" t="s">
        <v>115</v>
      </c>
      <c r="M250" s="1">
        <f>orders[[#This Row],[Ship Date]]-orders[[#This Row],[Order Date]]</f>
        <v>1</v>
      </c>
      <c r="N250" s="1">
        <f>WEEKNUM(orders[[#This Row],[Order Date]])</f>
        <v>2</v>
      </c>
      <c r="O250" s="1" t="str" cm="1">
        <f t="array" ref="O250">_xlfn.IFS(orders[[#This Row],[Customer Gender]]="M","Male", orders[[#This Row],[Customer Gender]]="F","Female", orders[[#This Row],[Customer Gender]]="O","Other", TRUE,"Unknown")</f>
        <v>Female</v>
      </c>
    </row>
    <row r="251" spans="1:15">
      <c r="A251" s="1" t="s">
        <v>327</v>
      </c>
      <c r="B251" s="1" t="s">
        <v>26</v>
      </c>
      <c r="C251" s="1">
        <v>6</v>
      </c>
      <c r="D251" s="1">
        <v>57.6</v>
      </c>
      <c r="E251" s="11">
        <v>345.6</v>
      </c>
      <c r="F251" s="3">
        <v>45668</v>
      </c>
      <c r="G251" s="3">
        <v>45682</v>
      </c>
      <c r="H251" s="1" t="s">
        <v>27</v>
      </c>
      <c r="I251" s="1" t="s">
        <v>18</v>
      </c>
      <c r="J251" s="1">
        <v>4</v>
      </c>
      <c r="K251" s="1" t="s">
        <v>19</v>
      </c>
      <c r="L251" s="1" t="s">
        <v>115</v>
      </c>
      <c r="M251" s="1">
        <f>orders[[#This Row],[Ship Date]]-orders[[#This Row],[Order Date]]</f>
        <v>14</v>
      </c>
      <c r="N251" s="1">
        <f>WEEKNUM(orders[[#This Row],[Order Date]])</f>
        <v>2</v>
      </c>
      <c r="O251" s="1" t="str" cm="1">
        <f t="array" ref="O251">_xlfn.IFS(orders[[#This Row],[Customer Gender]]="M","Male", orders[[#This Row],[Customer Gender]]="F","Female", orders[[#This Row],[Customer Gender]]="O","Other", TRUE,"Unknown")</f>
        <v>Female</v>
      </c>
    </row>
    <row r="252" spans="1:15">
      <c r="A252" s="1" t="s">
        <v>328</v>
      </c>
      <c r="B252" s="1" t="s">
        <v>26</v>
      </c>
      <c r="C252" s="1">
        <v>3</v>
      </c>
      <c r="D252" s="1">
        <v>142.4</v>
      </c>
      <c r="E252" s="11">
        <v>427.20000000000005</v>
      </c>
      <c r="F252" s="3">
        <v>45668</v>
      </c>
      <c r="G252" s="3">
        <v>45670</v>
      </c>
      <c r="H252" s="1" t="s">
        <v>23</v>
      </c>
      <c r="I252" s="1" t="s">
        <v>70</v>
      </c>
      <c r="J252" s="1">
        <v>3</v>
      </c>
      <c r="K252" s="1" t="s">
        <v>19</v>
      </c>
      <c r="L252" s="1" t="s">
        <v>115</v>
      </c>
      <c r="M252" s="1">
        <f>orders[[#This Row],[Ship Date]]-orders[[#This Row],[Order Date]]</f>
        <v>2</v>
      </c>
      <c r="N252" s="1">
        <f>WEEKNUM(orders[[#This Row],[Order Date]])</f>
        <v>2</v>
      </c>
      <c r="O252" s="1" t="str" cm="1">
        <f t="array" ref="O252">_xlfn.IFS(orders[[#This Row],[Customer Gender]]="M","Male", orders[[#This Row],[Customer Gender]]="F","Female", orders[[#This Row],[Customer Gender]]="O","Other", TRUE,"Unknown")</f>
        <v>Male</v>
      </c>
    </row>
    <row r="253" spans="1:15">
      <c r="A253" s="1" t="s">
        <v>329</v>
      </c>
      <c r="B253" s="1" t="s">
        <v>69</v>
      </c>
      <c r="C253" s="1">
        <v>1</v>
      </c>
      <c r="D253" s="1">
        <v>30.2</v>
      </c>
      <c r="E253" s="11">
        <v>30.2</v>
      </c>
      <c r="F253" s="3">
        <v>45668</v>
      </c>
      <c r="G253" s="3">
        <v>45672</v>
      </c>
      <c r="H253" s="1" t="s">
        <v>23</v>
      </c>
      <c r="I253" s="1" t="s">
        <v>35</v>
      </c>
      <c r="J253" s="1">
        <v>5</v>
      </c>
      <c r="K253" s="1" t="s">
        <v>19</v>
      </c>
      <c r="L253" s="1" t="s">
        <v>28</v>
      </c>
      <c r="M253" s="1">
        <f>orders[[#This Row],[Ship Date]]-orders[[#This Row],[Order Date]]</f>
        <v>4</v>
      </c>
      <c r="N253" s="1">
        <f>WEEKNUM(orders[[#This Row],[Order Date]])</f>
        <v>2</v>
      </c>
      <c r="O253" s="1" t="str" cm="1">
        <f t="array" ref="O253">_xlfn.IFS(orders[[#This Row],[Customer Gender]]="M","Male", orders[[#This Row],[Customer Gender]]="F","Female", orders[[#This Row],[Customer Gender]]="O","Other", TRUE,"Unknown")</f>
        <v>Male</v>
      </c>
    </row>
    <row r="254" spans="1:15">
      <c r="A254" s="1" t="s">
        <v>330</v>
      </c>
      <c r="B254" s="1" t="s">
        <v>146</v>
      </c>
      <c r="C254" s="1">
        <v>3</v>
      </c>
      <c r="D254" s="1">
        <v>65.3</v>
      </c>
      <c r="E254" s="11">
        <v>195.89999999999998</v>
      </c>
      <c r="F254" s="3">
        <v>45668</v>
      </c>
      <c r="G254" s="3">
        <v>45669</v>
      </c>
      <c r="H254" s="1" t="s">
        <v>89</v>
      </c>
      <c r="I254" s="1" t="s">
        <v>35</v>
      </c>
      <c r="J254" s="1">
        <v>4</v>
      </c>
      <c r="K254" s="1" t="s">
        <v>19</v>
      </c>
      <c r="L254" s="1" t="s">
        <v>331</v>
      </c>
      <c r="M254" s="1">
        <f>orders[[#This Row],[Ship Date]]-orders[[#This Row],[Order Date]]</f>
        <v>1</v>
      </c>
      <c r="N254" s="1">
        <f>WEEKNUM(orders[[#This Row],[Order Date]])</f>
        <v>2</v>
      </c>
      <c r="O254" s="1" t="str" cm="1">
        <f t="array" ref="O254">_xlfn.IFS(orders[[#This Row],[Customer Gender]]="M","Male", orders[[#This Row],[Customer Gender]]="F","Female", orders[[#This Row],[Customer Gender]]="O","Other", TRUE,"Unknown")</f>
        <v>Other</v>
      </c>
    </row>
    <row r="255" spans="1:15">
      <c r="A255" s="1" t="s">
        <v>332</v>
      </c>
      <c r="B255" s="1" t="s">
        <v>16</v>
      </c>
      <c r="C255" s="1">
        <v>2</v>
      </c>
      <c r="D255" s="1">
        <v>33.4</v>
      </c>
      <c r="E255" s="11">
        <v>66.8</v>
      </c>
      <c r="F255" s="3">
        <v>45668</v>
      </c>
      <c r="G255" s="3">
        <v>45669</v>
      </c>
      <c r="H255" s="1" t="s">
        <v>23</v>
      </c>
      <c r="I255" s="1" t="s">
        <v>35</v>
      </c>
      <c r="J255" s="1">
        <v>3</v>
      </c>
      <c r="K255" s="1" t="s">
        <v>19</v>
      </c>
      <c r="L255" s="1" t="s">
        <v>147</v>
      </c>
      <c r="M255" s="1">
        <f>orders[[#This Row],[Ship Date]]-orders[[#This Row],[Order Date]]</f>
        <v>1</v>
      </c>
      <c r="N255" s="1">
        <f>WEEKNUM(orders[[#This Row],[Order Date]])</f>
        <v>2</v>
      </c>
      <c r="O255" s="1" t="str" cm="1">
        <f t="array" ref="O255">_xlfn.IFS(orders[[#This Row],[Customer Gender]]="M","Male", orders[[#This Row],[Customer Gender]]="F","Female", orders[[#This Row],[Customer Gender]]="O","Other", TRUE,"Unknown")</f>
        <v>Male</v>
      </c>
    </row>
    <row r="256" spans="1:15">
      <c r="A256" s="1" t="s">
        <v>333</v>
      </c>
      <c r="B256" s="1" t="s">
        <v>42</v>
      </c>
      <c r="C256" s="1">
        <v>2</v>
      </c>
      <c r="D256" s="1">
        <v>45.1</v>
      </c>
      <c r="E256" s="11">
        <v>90.2</v>
      </c>
      <c r="F256" s="3">
        <v>45668</v>
      </c>
      <c r="G256" s="3">
        <v>45676</v>
      </c>
      <c r="H256" s="1" t="s">
        <v>23</v>
      </c>
      <c r="I256" s="1" t="s">
        <v>18</v>
      </c>
      <c r="J256" s="1">
        <v>4</v>
      </c>
      <c r="K256" s="1" t="s">
        <v>19</v>
      </c>
      <c r="L256" s="1" t="s">
        <v>334</v>
      </c>
      <c r="M256" s="1">
        <f>orders[[#This Row],[Ship Date]]-orders[[#This Row],[Order Date]]</f>
        <v>8</v>
      </c>
      <c r="N256" s="1">
        <f>WEEKNUM(orders[[#This Row],[Order Date]])</f>
        <v>2</v>
      </c>
      <c r="O256" s="1" t="str" cm="1">
        <f t="array" ref="O256">_xlfn.IFS(orders[[#This Row],[Customer Gender]]="M","Male", orders[[#This Row],[Customer Gender]]="F","Female", orders[[#This Row],[Customer Gender]]="O","Other", TRUE,"Unknown")</f>
        <v>Male</v>
      </c>
    </row>
    <row r="257" spans="1:15">
      <c r="A257" s="1" t="s">
        <v>335</v>
      </c>
      <c r="B257" s="1" t="s">
        <v>26</v>
      </c>
      <c r="C257" s="1">
        <v>7</v>
      </c>
      <c r="D257" s="1">
        <v>61.7</v>
      </c>
      <c r="E257" s="11">
        <v>431.90000000000003</v>
      </c>
      <c r="F257" s="3">
        <v>45668</v>
      </c>
      <c r="G257" s="3">
        <v>45670</v>
      </c>
      <c r="H257" s="1" t="s">
        <v>27</v>
      </c>
      <c r="I257" s="1" t="s">
        <v>70</v>
      </c>
      <c r="J257" s="1">
        <v>4</v>
      </c>
      <c r="K257" s="1" t="s">
        <v>19</v>
      </c>
      <c r="L257" s="1" t="s">
        <v>33</v>
      </c>
      <c r="M257" s="1">
        <f>orders[[#This Row],[Ship Date]]-orders[[#This Row],[Order Date]]</f>
        <v>2</v>
      </c>
      <c r="N257" s="1">
        <f>WEEKNUM(orders[[#This Row],[Order Date]])</f>
        <v>2</v>
      </c>
      <c r="O257" s="1" t="str" cm="1">
        <f t="array" ref="O257">_xlfn.IFS(orders[[#This Row],[Customer Gender]]="M","Male", orders[[#This Row],[Customer Gender]]="F","Female", orders[[#This Row],[Customer Gender]]="O","Other", TRUE,"Unknown")</f>
        <v>Female</v>
      </c>
    </row>
    <row r="258" spans="1:15">
      <c r="A258" s="1" t="s">
        <v>336</v>
      </c>
      <c r="B258" s="1" t="s">
        <v>46</v>
      </c>
      <c r="C258" s="1">
        <v>3</v>
      </c>
      <c r="D258" s="1">
        <v>45.1</v>
      </c>
      <c r="E258" s="11">
        <v>135.30000000000001</v>
      </c>
      <c r="F258" s="3">
        <v>45669</v>
      </c>
      <c r="G258" s="3">
        <v>45670</v>
      </c>
      <c r="H258" s="1" t="s">
        <v>23</v>
      </c>
      <c r="I258" s="1" t="s">
        <v>70</v>
      </c>
      <c r="J258" s="1">
        <v>3</v>
      </c>
      <c r="K258" s="1" t="s">
        <v>19</v>
      </c>
      <c r="L258" s="1" t="s">
        <v>33</v>
      </c>
      <c r="M258" s="1">
        <f>orders[[#This Row],[Ship Date]]-orders[[#This Row],[Order Date]]</f>
        <v>1</v>
      </c>
      <c r="N258" s="1">
        <f>WEEKNUM(orders[[#This Row],[Order Date]])</f>
        <v>3</v>
      </c>
      <c r="O258" s="1" t="str" cm="1">
        <f t="array" ref="O258">_xlfn.IFS(orders[[#This Row],[Customer Gender]]="M","Male", orders[[#This Row],[Customer Gender]]="F","Female", orders[[#This Row],[Customer Gender]]="O","Other", TRUE,"Unknown")</f>
        <v>Male</v>
      </c>
    </row>
    <row r="259" spans="1:15">
      <c r="A259" s="1" t="s">
        <v>337</v>
      </c>
      <c r="B259" s="1" t="s">
        <v>123</v>
      </c>
      <c r="C259" s="1">
        <v>5</v>
      </c>
      <c r="D259" s="1">
        <v>22.7</v>
      </c>
      <c r="E259" s="11">
        <v>113.5</v>
      </c>
      <c r="F259" s="3">
        <v>45669</v>
      </c>
      <c r="G259" s="3">
        <v>45674</v>
      </c>
      <c r="H259" s="1" t="s">
        <v>23</v>
      </c>
      <c r="I259" s="1" t="s">
        <v>18</v>
      </c>
      <c r="J259" s="1">
        <v>5</v>
      </c>
      <c r="K259" s="1" t="s">
        <v>19</v>
      </c>
      <c r="L259" s="1" t="s">
        <v>338</v>
      </c>
      <c r="M259" s="1">
        <f>orders[[#This Row],[Ship Date]]-orders[[#This Row],[Order Date]]</f>
        <v>5</v>
      </c>
      <c r="N259" s="1">
        <f>WEEKNUM(orders[[#This Row],[Order Date]])</f>
        <v>3</v>
      </c>
      <c r="O259" s="1" t="str" cm="1">
        <f t="array" ref="O259">_xlfn.IFS(orders[[#This Row],[Customer Gender]]="M","Male", orders[[#This Row],[Customer Gender]]="F","Female", orders[[#This Row],[Customer Gender]]="O","Other", TRUE,"Unknown")</f>
        <v>Male</v>
      </c>
    </row>
    <row r="260" spans="1:15">
      <c r="A260" s="1" t="s">
        <v>339</v>
      </c>
      <c r="B260" s="1" t="s">
        <v>44</v>
      </c>
      <c r="C260" s="1">
        <v>1</v>
      </c>
      <c r="D260" s="1">
        <v>17.600000000000001</v>
      </c>
      <c r="E260" s="11">
        <v>17.600000000000001</v>
      </c>
      <c r="F260" s="3">
        <v>45669</v>
      </c>
      <c r="G260" s="3">
        <v>45670</v>
      </c>
      <c r="H260" s="1" t="s">
        <v>27</v>
      </c>
      <c r="I260" s="1" t="s">
        <v>18</v>
      </c>
      <c r="J260" s="1">
        <v>5</v>
      </c>
      <c r="K260" s="1" t="s">
        <v>19</v>
      </c>
      <c r="L260" s="1" t="s">
        <v>158</v>
      </c>
      <c r="M260" s="1">
        <f>orders[[#This Row],[Ship Date]]-orders[[#This Row],[Order Date]]</f>
        <v>1</v>
      </c>
      <c r="N260" s="1">
        <f>WEEKNUM(orders[[#This Row],[Order Date]])</f>
        <v>3</v>
      </c>
      <c r="O260" s="1" t="str" cm="1">
        <f t="array" ref="O260">_xlfn.IFS(orders[[#This Row],[Customer Gender]]="M","Male", orders[[#This Row],[Customer Gender]]="F","Female", orders[[#This Row],[Customer Gender]]="O","Other", TRUE,"Unknown")</f>
        <v>Female</v>
      </c>
    </row>
    <row r="261" spans="1:15">
      <c r="A261" s="1" t="s">
        <v>340</v>
      </c>
      <c r="B261" s="1" t="s">
        <v>81</v>
      </c>
      <c r="C261" s="1">
        <v>2</v>
      </c>
      <c r="D261" s="1">
        <v>11.3</v>
      </c>
      <c r="E261" s="11">
        <v>22.6</v>
      </c>
      <c r="F261" s="3">
        <v>45669</v>
      </c>
      <c r="G261" s="3">
        <v>45672</v>
      </c>
      <c r="H261" s="1" t="s">
        <v>27</v>
      </c>
      <c r="I261" s="1" t="s">
        <v>51</v>
      </c>
      <c r="J261" s="1">
        <v>5</v>
      </c>
      <c r="K261" s="1" t="s">
        <v>19</v>
      </c>
      <c r="L261" s="1" t="s">
        <v>158</v>
      </c>
      <c r="M261" s="1">
        <f>orders[[#This Row],[Ship Date]]-orders[[#This Row],[Order Date]]</f>
        <v>3</v>
      </c>
      <c r="N261" s="1">
        <f>WEEKNUM(orders[[#This Row],[Order Date]])</f>
        <v>3</v>
      </c>
      <c r="O261" s="1" t="str" cm="1">
        <f t="array" ref="O261">_xlfn.IFS(orders[[#This Row],[Customer Gender]]="M","Male", orders[[#This Row],[Customer Gender]]="F","Female", orders[[#This Row],[Customer Gender]]="O","Other", TRUE,"Unknown")</f>
        <v>Female</v>
      </c>
    </row>
    <row r="262" spans="1:15">
      <c r="A262" s="1" t="s">
        <v>341</v>
      </c>
      <c r="B262" s="1" t="s">
        <v>39</v>
      </c>
      <c r="C262" s="1">
        <v>3</v>
      </c>
      <c r="D262" s="1">
        <v>53.4</v>
      </c>
      <c r="E262" s="11">
        <v>160.19999999999999</v>
      </c>
      <c r="F262" s="3">
        <v>45669</v>
      </c>
      <c r="G262" s="3">
        <v>45672</v>
      </c>
      <c r="H262" s="1" t="s">
        <v>23</v>
      </c>
      <c r="I262" s="1" t="s">
        <v>51</v>
      </c>
      <c r="J262" s="1">
        <v>5</v>
      </c>
      <c r="K262" s="1" t="s">
        <v>19</v>
      </c>
      <c r="L262" s="1" t="s">
        <v>342</v>
      </c>
      <c r="M262" s="1">
        <f>orders[[#This Row],[Ship Date]]-orders[[#This Row],[Order Date]]</f>
        <v>3</v>
      </c>
      <c r="N262" s="1">
        <f>WEEKNUM(orders[[#This Row],[Order Date]])</f>
        <v>3</v>
      </c>
      <c r="O262" s="1" t="str" cm="1">
        <f t="array" ref="O262">_xlfn.IFS(orders[[#This Row],[Customer Gender]]="M","Male", orders[[#This Row],[Customer Gender]]="F","Female", orders[[#This Row],[Customer Gender]]="O","Other", TRUE,"Unknown")</f>
        <v>Male</v>
      </c>
    </row>
    <row r="263" spans="1:15">
      <c r="A263" s="1" t="s">
        <v>343</v>
      </c>
      <c r="B263" s="1" t="s">
        <v>39</v>
      </c>
      <c r="C263" s="1">
        <v>11</v>
      </c>
      <c r="D263" s="1">
        <v>51.1</v>
      </c>
      <c r="E263" s="11">
        <v>562.1</v>
      </c>
      <c r="F263" s="3">
        <v>45669</v>
      </c>
      <c r="G263" s="3">
        <v>45671</v>
      </c>
      <c r="H263" s="1" t="s">
        <v>27</v>
      </c>
      <c r="I263" s="1" t="s">
        <v>40</v>
      </c>
      <c r="J263" s="1">
        <v>5</v>
      </c>
      <c r="K263" s="1" t="s">
        <v>19</v>
      </c>
      <c r="L263" s="1" t="s">
        <v>62</v>
      </c>
      <c r="M263" s="1">
        <f>orders[[#This Row],[Ship Date]]-orders[[#This Row],[Order Date]]</f>
        <v>2</v>
      </c>
      <c r="N263" s="1">
        <f>WEEKNUM(orders[[#This Row],[Order Date]])</f>
        <v>3</v>
      </c>
      <c r="O263" s="1" t="str" cm="1">
        <f t="array" ref="O263">_xlfn.IFS(orders[[#This Row],[Customer Gender]]="M","Male", orders[[#This Row],[Customer Gender]]="F","Female", orders[[#This Row],[Customer Gender]]="O","Other", TRUE,"Unknown")</f>
        <v>Female</v>
      </c>
    </row>
    <row r="264" spans="1:15">
      <c r="A264" s="1" t="s">
        <v>344</v>
      </c>
      <c r="B264" s="1" t="s">
        <v>44</v>
      </c>
      <c r="C264" s="1">
        <v>2</v>
      </c>
      <c r="D264" s="1">
        <v>27.5</v>
      </c>
      <c r="E264" s="11">
        <v>55</v>
      </c>
      <c r="F264" s="3">
        <v>45669</v>
      </c>
      <c r="G264" s="3">
        <v>45670</v>
      </c>
      <c r="H264" s="1" t="s">
        <v>23</v>
      </c>
      <c r="I264" s="1" t="s">
        <v>70</v>
      </c>
      <c r="J264" s="1">
        <v>3</v>
      </c>
      <c r="K264" s="1" t="s">
        <v>19</v>
      </c>
      <c r="L264" s="1" t="s">
        <v>62</v>
      </c>
      <c r="M264" s="1">
        <f>orders[[#This Row],[Ship Date]]-orders[[#This Row],[Order Date]]</f>
        <v>1</v>
      </c>
      <c r="N264" s="1">
        <f>WEEKNUM(orders[[#This Row],[Order Date]])</f>
        <v>3</v>
      </c>
      <c r="O264" s="1" t="str" cm="1">
        <f t="array" ref="O264">_xlfn.IFS(orders[[#This Row],[Customer Gender]]="M","Male", orders[[#This Row],[Customer Gender]]="F","Female", orders[[#This Row],[Customer Gender]]="O","Other", TRUE,"Unknown")</f>
        <v>Male</v>
      </c>
    </row>
    <row r="265" spans="1:15">
      <c r="A265" s="1" t="s">
        <v>345</v>
      </c>
      <c r="B265" s="1" t="s">
        <v>46</v>
      </c>
      <c r="C265" s="1">
        <v>1</v>
      </c>
      <c r="D265" s="1">
        <v>33.5</v>
      </c>
      <c r="E265" s="11">
        <v>33.5</v>
      </c>
      <c r="F265" s="3">
        <v>45669</v>
      </c>
      <c r="G265" s="3">
        <v>45671</v>
      </c>
      <c r="H265" s="1" t="s">
        <v>27</v>
      </c>
      <c r="I265" s="1" t="s">
        <v>18</v>
      </c>
      <c r="J265" s="1">
        <v>2</v>
      </c>
      <c r="K265" s="1" t="s">
        <v>19</v>
      </c>
      <c r="L265" s="1" t="s">
        <v>62</v>
      </c>
      <c r="M265" s="1">
        <f>orders[[#This Row],[Ship Date]]-orders[[#This Row],[Order Date]]</f>
        <v>2</v>
      </c>
      <c r="N265" s="1">
        <f>WEEKNUM(orders[[#This Row],[Order Date]])</f>
        <v>3</v>
      </c>
      <c r="O265" s="1" t="str" cm="1">
        <f t="array" ref="O265">_xlfn.IFS(orders[[#This Row],[Customer Gender]]="M","Male", orders[[#This Row],[Customer Gender]]="F","Female", orders[[#This Row],[Customer Gender]]="O","Other", TRUE,"Unknown")</f>
        <v>Female</v>
      </c>
    </row>
    <row r="266" spans="1:15">
      <c r="A266" s="1" t="s">
        <v>346</v>
      </c>
      <c r="B266" s="1" t="s">
        <v>32</v>
      </c>
      <c r="C266" s="1">
        <v>1</v>
      </c>
      <c r="D266" s="1">
        <v>59.5</v>
      </c>
      <c r="E266" s="11">
        <v>59.5</v>
      </c>
      <c r="F266" s="3">
        <v>45669</v>
      </c>
      <c r="G266" s="3">
        <v>45669</v>
      </c>
      <c r="H266" s="1" t="s">
        <v>23</v>
      </c>
      <c r="I266" s="1" t="s">
        <v>18</v>
      </c>
      <c r="J266" s="1">
        <v>5</v>
      </c>
      <c r="K266" s="1" t="s">
        <v>19</v>
      </c>
      <c r="L266" s="1" t="s">
        <v>108</v>
      </c>
      <c r="M266" s="1">
        <f>orders[[#This Row],[Ship Date]]-orders[[#This Row],[Order Date]]</f>
        <v>0</v>
      </c>
      <c r="N266" s="1">
        <f>WEEKNUM(orders[[#This Row],[Order Date]])</f>
        <v>3</v>
      </c>
      <c r="O266" s="1" t="str" cm="1">
        <f t="array" ref="O266">_xlfn.IFS(orders[[#This Row],[Customer Gender]]="M","Male", orders[[#This Row],[Customer Gender]]="F","Female", orders[[#This Row],[Customer Gender]]="O","Other", TRUE,"Unknown")</f>
        <v>Male</v>
      </c>
    </row>
    <row r="267" spans="1:15">
      <c r="A267" s="1" t="s">
        <v>347</v>
      </c>
      <c r="B267" s="1" t="s">
        <v>135</v>
      </c>
      <c r="C267" s="1">
        <v>4</v>
      </c>
      <c r="D267" s="1">
        <v>23.5</v>
      </c>
      <c r="E267" s="11">
        <v>94</v>
      </c>
      <c r="F267" s="3">
        <v>45669</v>
      </c>
      <c r="G267" s="3">
        <v>45670</v>
      </c>
      <c r="H267" s="1" t="s">
        <v>27</v>
      </c>
      <c r="I267" s="1" t="s">
        <v>51</v>
      </c>
      <c r="J267" s="1">
        <v>1</v>
      </c>
      <c r="K267" s="1" t="s">
        <v>19</v>
      </c>
      <c r="L267" s="1" t="s">
        <v>110</v>
      </c>
      <c r="M267" s="1">
        <f>orders[[#This Row],[Ship Date]]-orders[[#This Row],[Order Date]]</f>
        <v>1</v>
      </c>
      <c r="N267" s="1">
        <f>WEEKNUM(orders[[#This Row],[Order Date]])</f>
        <v>3</v>
      </c>
      <c r="O267" s="1" t="str" cm="1">
        <f t="array" ref="O267">_xlfn.IFS(orders[[#This Row],[Customer Gender]]="M","Male", orders[[#This Row],[Customer Gender]]="F","Female", orders[[#This Row],[Customer Gender]]="O","Other", TRUE,"Unknown")</f>
        <v>Female</v>
      </c>
    </row>
    <row r="268" spans="1:15">
      <c r="A268" s="1" t="s">
        <v>348</v>
      </c>
      <c r="B268" s="1" t="s">
        <v>39</v>
      </c>
      <c r="C268" s="1">
        <v>1</v>
      </c>
      <c r="D268" s="1">
        <v>49.7</v>
      </c>
      <c r="E268" s="11">
        <v>49.7</v>
      </c>
      <c r="F268" s="3">
        <v>45669</v>
      </c>
      <c r="G268" s="3">
        <v>45670</v>
      </c>
      <c r="H268" s="1" t="s">
        <v>17</v>
      </c>
      <c r="I268" s="1" t="s">
        <v>35</v>
      </c>
      <c r="J268" s="1">
        <v>5</v>
      </c>
      <c r="K268" s="1" t="s">
        <v>19</v>
      </c>
      <c r="L268" s="1" t="s">
        <v>113</v>
      </c>
      <c r="M268" s="1">
        <f>orders[[#This Row],[Ship Date]]-orders[[#This Row],[Order Date]]</f>
        <v>1</v>
      </c>
      <c r="N268" s="1">
        <f>WEEKNUM(orders[[#This Row],[Order Date]])</f>
        <v>3</v>
      </c>
      <c r="O268" s="1" t="str" cm="1">
        <f t="array" ref="O268">_xlfn.IFS(orders[[#This Row],[Customer Gender]]="M","Male", orders[[#This Row],[Customer Gender]]="F","Female", orders[[#This Row],[Customer Gender]]="O","Other", TRUE,"Unknown")</f>
        <v>Unknown</v>
      </c>
    </row>
    <row r="269" spans="1:15">
      <c r="A269" s="1" t="s">
        <v>349</v>
      </c>
      <c r="B269" s="1" t="s">
        <v>39</v>
      </c>
      <c r="C269" s="1">
        <v>4</v>
      </c>
      <c r="D269" s="1">
        <v>44.2</v>
      </c>
      <c r="E269" s="11">
        <v>176.8</v>
      </c>
      <c r="F269" s="3">
        <v>45669</v>
      </c>
      <c r="G269" s="3">
        <v>45672</v>
      </c>
      <c r="H269" s="1" t="s">
        <v>27</v>
      </c>
      <c r="I269" s="1" t="s">
        <v>18</v>
      </c>
      <c r="J269" s="1">
        <v>5</v>
      </c>
      <c r="K269" s="1" t="s">
        <v>19</v>
      </c>
      <c r="L269" s="1" t="s">
        <v>115</v>
      </c>
      <c r="M269" s="1">
        <f>orders[[#This Row],[Ship Date]]-orders[[#This Row],[Order Date]]</f>
        <v>3</v>
      </c>
      <c r="N269" s="1">
        <f>WEEKNUM(orders[[#This Row],[Order Date]])</f>
        <v>3</v>
      </c>
      <c r="O269" s="1" t="str" cm="1">
        <f t="array" ref="O269">_xlfn.IFS(orders[[#This Row],[Customer Gender]]="M","Male", orders[[#This Row],[Customer Gender]]="F","Female", orders[[#This Row],[Customer Gender]]="O","Other", TRUE,"Unknown")</f>
        <v>Female</v>
      </c>
    </row>
    <row r="270" spans="1:15">
      <c r="A270" s="1" t="s">
        <v>350</v>
      </c>
      <c r="B270" s="1" t="s">
        <v>44</v>
      </c>
      <c r="C270" s="1">
        <v>1</v>
      </c>
      <c r="D270" s="1">
        <v>22.1</v>
      </c>
      <c r="E270" s="11">
        <v>22.1</v>
      </c>
      <c r="F270" s="3">
        <v>45669</v>
      </c>
      <c r="G270" s="3">
        <v>45673</v>
      </c>
      <c r="H270" s="1" t="s">
        <v>27</v>
      </c>
      <c r="I270" s="1" t="s">
        <v>35</v>
      </c>
      <c r="J270" s="1">
        <v>3</v>
      </c>
      <c r="K270" s="1" t="s">
        <v>19</v>
      </c>
      <c r="L270" s="1" t="s">
        <v>331</v>
      </c>
      <c r="M270" s="1">
        <f>orders[[#This Row],[Ship Date]]-orders[[#This Row],[Order Date]]</f>
        <v>4</v>
      </c>
      <c r="N270" s="1">
        <f>WEEKNUM(orders[[#This Row],[Order Date]])</f>
        <v>3</v>
      </c>
      <c r="O270" s="1" t="str" cm="1">
        <f t="array" ref="O270">_xlfn.IFS(orders[[#This Row],[Customer Gender]]="M","Male", orders[[#This Row],[Customer Gender]]="F","Female", orders[[#This Row],[Customer Gender]]="O","Other", TRUE,"Unknown")</f>
        <v>Female</v>
      </c>
    </row>
    <row r="271" spans="1:15">
      <c r="A271" s="1" t="s">
        <v>351</v>
      </c>
      <c r="B271" s="1" t="s">
        <v>39</v>
      </c>
      <c r="C271" s="1">
        <v>3</v>
      </c>
      <c r="D271" s="1">
        <v>90.9</v>
      </c>
      <c r="E271" s="11">
        <v>272.70000000000005</v>
      </c>
      <c r="F271" s="3">
        <v>45669</v>
      </c>
      <c r="G271" s="3">
        <v>45670</v>
      </c>
      <c r="H271" s="1" t="s">
        <v>27</v>
      </c>
      <c r="I271" s="1" t="s">
        <v>40</v>
      </c>
      <c r="J271" s="1">
        <v>2</v>
      </c>
      <c r="K271" s="1" t="s">
        <v>19</v>
      </c>
      <c r="L271" s="1" t="s">
        <v>33</v>
      </c>
      <c r="M271" s="1">
        <f>orders[[#This Row],[Ship Date]]-orders[[#This Row],[Order Date]]</f>
        <v>1</v>
      </c>
      <c r="N271" s="1">
        <f>WEEKNUM(orders[[#This Row],[Order Date]])</f>
        <v>3</v>
      </c>
      <c r="O271" s="1" t="str" cm="1">
        <f t="array" ref="O271">_xlfn.IFS(orders[[#This Row],[Customer Gender]]="M","Male", orders[[#This Row],[Customer Gender]]="F","Female", orders[[#This Row],[Customer Gender]]="O","Other", TRUE,"Unknown")</f>
        <v>Female</v>
      </c>
    </row>
    <row r="272" spans="1:15">
      <c r="A272" s="1" t="s">
        <v>352</v>
      </c>
      <c r="B272" s="1" t="s">
        <v>44</v>
      </c>
      <c r="C272" s="1">
        <v>3</v>
      </c>
      <c r="D272" s="1">
        <v>44.5</v>
      </c>
      <c r="E272" s="11">
        <v>133.5</v>
      </c>
      <c r="F272" s="3">
        <v>45669</v>
      </c>
      <c r="G272" s="3">
        <v>45670</v>
      </c>
      <c r="H272" s="1" t="s">
        <v>27</v>
      </c>
      <c r="I272" s="1" t="s">
        <v>35</v>
      </c>
      <c r="J272" s="1">
        <v>4</v>
      </c>
      <c r="K272" s="1" t="s">
        <v>19</v>
      </c>
      <c r="L272" s="1" t="s">
        <v>33</v>
      </c>
      <c r="M272" s="1">
        <f>orders[[#This Row],[Ship Date]]-orders[[#This Row],[Order Date]]</f>
        <v>1</v>
      </c>
      <c r="N272" s="1">
        <f>WEEKNUM(orders[[#This Row],[Order Date]])</f>
        <v>3</v>
      </c>
      <c r="O272" s="1" t="str" cm="1">
        <f t="array" ref="O272">_xlfn.IFS(orders[[#This Row],[Customer Gender]]="M","Male", orders[[#This Row],[Customer Gender]]="F","Female", orders[[#This Row],[Customer Gender]]="O","Other", TRUE,"Unknown")</f>
        <v>Female</v>
      </c>
    </row>
    <row r="273" spans="1:15">
      <c r="A273" s="1" t="s">
        <v>353</v>
      </c>
      <c r="B273" s="1" t="s">
        <v>46</v>
      </c>
      <c r="C273" s="1">
        <v>6</v>
      </c>
      <c r="D273" s="1">
        <v>32.299999999999997</v>
      </c>
      <c r="E273" s="11">
        <v>193.79999999999998</v>
      </c>
      <c r="F273" s="3">
        <v>45669</v>
      </c>
      <c r="G273" s="3">
        <v>45673</v>
      </c>
      <c r="H273" s="1" t="s">
        <v>27</v>
      </c>
      <c r="I273" s="1" t="s">
        <v>18</v>
      </c>
      <c r="J273" s="1">
        <v>4</v>
      </c>
      <c r="K273" s="1" t="s">
        <v>19</v>
      </c>
      <c r="L273" s="1" t="s">
        <v>33</v>
      </c>
      <c r="M273" s="1">
        <f>orders[[#This Row],[Ship Date]]-orders[[#This Row],[Order Date]]</f>
        <v>4</v>
      </c>
      <c r="N273" s="1">
        <f>WEEKNUM(orders[[#This Row],[Order Date]])</f>
        <v>3</v>
      </c>
      <c r="O273" s="1" t="str" cm="1">
        <f t="array" ref="O273">_xlfn.IFS(orders[[#This Row],[Customer Gender]]="M","Male", orders[[#This Row],[Customer Gender]]="F","Female", orders[[#This Row],[Customer Gender]]="O","Other", TRUE,"Unknown")</f>
        <v>Female</v>
      </c>
    </row>
    <row r="274" spans="1:15">
      <c r="A274" s="1" t="s">
        <v>354</v>
      </c>
      <c r="B274" s="1" t="s">
        <v>135</v>
      </c>
      <c r="C274" s="1">
        <v>3</v>
      </c>
      <c r="D274" s="1">
        <v>87.5</v>
      </c>
      <c r="E274" s="11">
        <v>262.5</v>
      </c>
      <c r="F274" s="3">
        <v>45669</v>
      </c>
      <c r="G274" s="3">
        <v>45670</v>
      </c>
      <c r="H274" s="1" t="s">
        <v>27</v>
      </c>
      <c r="I274" s="1" t="s">
        <v>35</v>
      </c>
      <c r="J274" s="1">
        <v>3</v>
      </c>
      <c r="K274" s="1" t="s">
        <v>19</v>
      </c>
      <c r="L274" s="1" t="s">
        <v>33</v>
      </c>
      <c r="M274" s="1">
        <f>orders[[#This Row],[Ship Date]]-orders[[#This Row],[Order Date]]</f>
        <v>1</v>
      </c>
      <c r="N274" s="1">
        <f>WEEKNUM(orders[[#This Row],[Order Date]])</f>
        <v>3</v>
      </c>
      <c r="O274" s="1" t="str" cm="1">
        <f t="array" ref="O274">_xlfn.IFS(orders[[#This Row],[Customer Gender]]="M","Male", orders[[#This Row],[Customer Gender]]="F","Female", orders[[#This Row],[Customer Gender]]="O","Other", TRUE,"Unknown")</f>
        <v>Female</v>
      </c>
    </row>
    <row r="275" spans="1:15">
      <c r="A275" s="1" t="s">
        <v>355</v>
      </c>
      <c r="B275" s="1" t="s">
        <v>128</v>
      </c>
      <c r="C275" s="1">
        <v>5</v>
      </c>
      <c r="D275" s="1">
        <v>48.7</v>
      </c>
      <c r="E275" s="11">
        <v>243.5</v>
      </c>
      <c r="F275" s="3">
        <v>45669</v>
      </c>
      <c r="G275" s="3">
        <v>45670</v>
      </c>
      <c r="H275" s="1" t="s">
        <v>23</v>
      </c>
      <c r="I275" s="1" t="s">
        <v>40</v>
      </c>
      <c r="J275" s="1">
        <v>4</v>
      </c>
      <c r="K275" s="1" t="s">
        <v>19</v>
      </c>
      <c r="L275" s="1" t="s">
        <v>33</v>
      </c>
      <c r="M275" s="1">
        <f>orders[[#This Row],[Ship Date]]-orders[[#This Row],[Order Date]]</f>
        <v>1</v>
      </c>
      <c r="N275" s="1">
        <f>WEEKNUM(orders[[#This Row],[Order Date]])</f>
        <v>3</v>
      </c>
      <c r="O275" s="1" t="str" cm="1">
        <f t="array" ref="O275">_xlfn.IFS(orders[[#This Row],[Customer Gender]]="M","Male", orders[[#This Row],[Customer Gender]]="F","Female", orders[[#This Row],[Customer Gender]]="O","Other", TRUE,"Unknown")</f>
        <v>Male</v>
      </c>
    </row>
    <row r="276" spans="1:15">
      <c r="A276" s="1" t="s">
        <v>356</v>
      </c>
      <c r="B276" s="1" t="s">
        <v>16</v>
      </c>
      <c r="C276" s="1">
        <v>5</v>
      </c>
      <c r="D276" s="1">
        <v>22.5</v>
      </c>
      <c r="E276" s="11">
        <v>112.5</v>
      </c>
      <c r="F276" s="3">
        <v>45669</v>
      </c>
      <c r="G276" s="3">
        <v>45670</v>
      </c>
      <c r="H276" s="1" t="s">
        <v>23</v>
      </c>
      <c r="I276" s="1" t="s">
        <v>18</v>
      </c>
      <c r="J276" s="1">
        <v>4</v>
      </c>
      <c r="K276" s="1" t="s">
        <v>19</v>
      </c>
      <c r="L276" s="1" t="s">
        <v>33</v>
      </c>
      <c r="M276" s="1">
        <f>orders[[#This Row],[Ship Date]]-orders[[#This Row],[Order Date]]</f>
        <v>1</v>
      </c>
      <c r="N276" s="1">
        <f>WEEKNUM(orders[[#This Row],[Order Date]])</f>
        <v>3</v>
      </c>
      <c r="O276" s="1" t="str" cm="1">
        <f t="array" ref="O276">_xlfn.IFS(orders[[#This Row],[Customer Gender]]="M","Male", orders[[#This Row],[Customer Gender]]="F","Female", orders[[#This Row],[Customer Gender]]="O","Other", TRUE,"Unknown")</f>
        <v>Male</v>
      </c>
    </row>
    <row r="277" spans="1:15">
      <c r="A277" s="1" t="s">
        <v>357</v>
      </c>
      <c r="B277" s="1" t="s">
        <v>22</v>
      </c>
      <c r="C277" s="1">
        <v>8</v>
      </c>
      <c r="D277" s="1">
        <v>65.900000000000006</v>
      </c>
      <c r="E277" s="11">
        <v>527.20000000000005</v>
      </c>
      <c r="F277" s="3">
        <v>45669</v>
      </c>
      <c r="G277" s="3">
        <v>45672</v>
      </c>
      <c r="H277" s="1" t="s">
        <v>27</v>
      </c>
      <c r="I277" s="1" t="s">
        <v>35</v>
      </c>
      <c r="J277" s="1">
        <v>5</v>
      </c>
      <c r="K277" s="1" t="s">
        <v>19</v>
      </c>
      <c r="L277" s="1" t="s">
        <v>33</v>
      </c>
      <c r="M277" s="1">
        <f>orders[[#This Row],[Ship Date]]-orders[[#This Row],[Order Date]]</f>
        <v>3</v>
      </c>
      <c r="N277" s="1">
        <f>WEEKNUM(orders[[#This Row],[Order Date]])</f>
        <v>3</v>
      </c>
      <c r="O277" s="1" t="str" cm="1">
        <f t="array" ref="O277">_xlfn.IFS(orders[[#This Row],[Customer Gender]]="M","Male", orders[[#This Row],[Customer Gender]]="F","Female", orders[[#This Row],[Customer Gender]]="O","Other", TRUE,"Unknown")</f>
        <v>Female</v>
      </c>
    </row>
    <row r="278" spans="1:15">
      <c r="A278" s="1" t="s">
        <v>358</v>
      </c>
      <c r="B278" s="1" t="s">
        <v>39</v>
      </c>
      <c r="C278" s="1">
        <v>5</v>
      </c>
      <c r="D278" s="1">
        <v>41.9</v>
      </c>
      <c r="E278" s="11">
        <v>209.5</v>
      </c>
      <c r="F278" s="3">
        <v>45669</v>
      </c>
      <c r="G278" s="3">
        <v>45676</v>
      </c>
      <c r="H278" s="1" t="s">
        <v>17</v>
      </c>
      <c r="I278" s="1" t="s">
        <v>18</v>
      </c>
      <c r="J278" s="1">
        <v>4</v>
      </c>
      <c r="K278" s="1" t="s">
        <v>19</v>
      </c>
      <c r="L278" s="1" t="s">
        <v>33</v>
      </c>
      <c r="M278" s="1">
        <f>orders[[#This Row],[Ship Date]]-orders[[#This Row],[Order Date]]</f>
        <v>7</v>
      </c>
      <c r="N278" s="1">
        <f>WEEKNUM(orders[[#This Row],[Order Date]])</f>
        <v>3</v>
      </c>
      <c r="O278" s="1" t="str" cm="1">
        <f t="array" ref="O278">_xlfn.IFS(orders[[#This Row],[Customer Gender]]="M","Male", orders[[#This Row],[Customer Gender]]="F","Female", orders[[#This Row],[Customer Gender]]="O","Other", TRUE,"Unknown")</f>
        <v>Unknown</v>
      </c>
    </row>
    <row r="279" spans="1:15">
      <c r="A279" s="1" t="s">
        <v>359</v>
      </c>
      <c r="B279" s="1" t="s">
        <v>22</v>
      </c>
      <c r="C279" s="1">
        <v>5</v>
      </c>
      <c r="D279" s="1">
        <v>67.5</v>
      </c>
      <c r="E279" s="11">
        <v>337.5</v>
      </c>
      <c r="F279" s="3">
        <v>45669</v>
      </c>
      <c r="G279" s="3">
        <v>45670</v>
      </c>
      <c r="H279" s="1" t="s">
        <v>27</v>
      </c>
      <c r="I279" s="1" t="s">
        <v>18</v>
      </c>
      <c r="J279" s="1">
        <v>5</v>
      </c>
      <c r="K279" s="1" t="s">
        <v>19</v>
      </c>
      <c r="L279" s="1" t="s">
        <v>33</v>
      </c>
      <c r="M279" s="1">
        <f>orders[[#This Row],[Ship Date]]-orders[[#This Row],[Order Date]]</f>
        <v>1</v>
      </c>
      <c r="N279" s="1">
        <f>WEEKNUM(orders[[#This Row],[Order Date]])</f>
        <v>3</v>
      </c>
      <c r="O279" s="1" t="str" cm="1">
        <f t="array" ref="O279">_xlfn.IFS(orders[[#This Row],[Customer Gender]]="M","Male", orders[[#This Row],[Customer Gender]]="F","Female", orders[[#This Row],[Customer Gender]]="O","Other", TRUE,"Unknown")</f>
        <v>Female</v>
      </c>
    </row>
    <row r="280" spans="1:15">
      <c r="A280" s="1" t="s">
        <v>360</v>
      </c>
      <c r="B280" s="1" t="s">
        <v>46</v>
      </c>
      <c r="C280" s="1">
        <v>1</v>
      </c>
      <c r="D280" s="1">
        <v>60.4</v>
      </c>
      <c r="E280" s="11">
        <v>60.4</v>
      </c>
      <c r="F280" s="3">
        <v>45670</v>
      </c>
      <c r="G280" s="3">
        <v>45672</v>
      </c>
      <c r="H280" s="1" t="s">
        <v>27</v>
      </c>
      <c r="I280" s="1" t="s">
        <v>35</v>
      </c>
      <c r="J280" s="1">
        <v>3</v>
      </c>
      <c r="K280" s="1" t="s">
        <v>19</v>
      </c>
      <c r="L280" s="1" t="s">
        <v>33</v>
      </c>
      <c r="M280" s="1">
        <f>orders[[#This Row],[Ship Date]]-orders[[#This Row],[Order Date]]</f>
        <v>2</v>
      </c>
      <c r="N280" s="1">
        <f>WEEKNUM(orders[[#This Row],[Order Date]])</f>
        <v>3</v>
      </c>
      <c r="O280" s="1" t="str" cm="1">
        <f t="array" ref="O280">_xlfn.IFS(orders[[#This Row],[Customer Gender]]="M","Male", orders[[#This Row],[Customer Gender]]="F","Female", orders[[#This Row],[Customer Gender]]="O","Other", TRUE,"Unknown")</f>
        <v>Female</v>
      </c>
    </row>
    <row r="281" spans="1:15">
      <c r="A281" s="1" t="s">
        <v>361</v>
      </c>
      <c r="B281" s="1" t="s">
        <v>22</v>
      </c>
      <c r="C281" s="1">
        <v>7</v>
      </c>
      <c r="D281" s="1">
        <v>30.4</v>
      </c>
      <c r="E281" s="11">
        <v>212.79999999999998</v>
      </c>
      <c r="F281" s="3">
        <v>45670</v>
      </c>
      <c r="G281" s="3">
        <v>45673</v>
      </c>
      <c r="H281" s="1" t="s">
        <v>27</v>
      </c>
      <c r="I281" s="1" t="s">
        <v>70</v>
      </c>
      <c r="J281" s="1">
        <v>4</v>
      </c>
      <c r="K281" s="1" t="s">
        <v>19</v>
      </c>
      <c r="L281" s="1" t="s">
        <v>33</v>
      </c>
      <c r="M281" s="1">
        <f>orders[[#This Row],[Ship Date]]-orders[[#This Row],[Order Date]]</f>
        <v>3</v>
      </c>
      <c r="N281" s="1">
        <f>WEEKNUM(orders[[#This Row],[Order Date]])</f>
        <v>3</v>
      </c>
      <c r="O281" s="1" t="str" cm="1">
        <f t="array" ref="O281">_xlfn.IFS(orders[[#This Row],[Customer Gender]]="M","Male", orders[[#This Row],[Customer Gender]]="F","Female", orders[[#This Row],[Customer Gender]]="O","Other", TRUE,"Unknown")</f>
        <v>Female</v>
      </c>
    </row>
    <row r="282" spans="1:15">
      <c r="A282" s="1" t="s">
        <v>362</v>
      </c>
      <c r="B282" s="1" t="s">
        <v>81</v>
      </c>
      <c r="C282" s="1">
        <v>2</v>
      </c>
      <c r="D282" s="1">
        <v>24.5</v>
      </c>
      <c r="E282" s="11">
        <v>49</v>
      </c>
      <c r="F282" s="3">
        <v>45670</v>
      </c>
      <c r="G282" s="3">
        <v>45671</v>
      </c>
      <c r="H282" s="1" t="s">
        <v>23</v>
      </c>
      <c r="I282" s="1" t="s">
        <v>51</v>
      </c>
      <c r="J282" s="1">
        <v>5</v>
      </c>
      <c r="K282" s="1" t="s">
        <v>19</v>
      </c>
      <c r="L282" s="1" t="s">
        <v>33</v>
      </c>
      <c r="M282" s="1">
        <f>orders[[#This Row],[Ship Date]]-orders[[#This Row],[Order Date]]</f>
        <v>1</v>
      </c>
      <c r="N282" s="1">
        <f>WEEKNUM(orders[[#This Row],[Order Date]])</f>
        <v>3</v>
      </c>
      <c r="O282" s="1" t="str" cm="1">
        <f t="array" ref="O282">_xlfn.IFS(orders[[#This Row],[Customer Gender]]="M","Male", orders[[#This Row],[Customer Gender]]="F","Female", orders[[#This Row],[Customer Gender]]="O","Other", TRUE,"Unknown")</f>
        <v>Male</v>
      </c>
    </row>
    <row r="283" spans="1:15">
      <c r="A283" s="1" t="s">
        <v>363</v>
      </c>
      <c r="B283" s="1" t="s">
        <v>26</v>
      </c>
      <c r="C283" s="1">
        <v>3</v>
      </c>
      <c r="D283" s="1">
        <v>105.9</v>
      </c>
      <c r="E283" s="11">
        <v>317.70000000000005</v>
      </c>
      <c r="F283" s="3">
        <v>45670</v>
      </c>
      <c r="G283" s="3">
        <v>45675</v>
      </c>
      <c r="H283" s="1" t="s">
        <v>23</v>
      </c>
      <c r="I283" s="1" t="s">
        <v>18</v>
      </c>
      <c r="J283" s="1">
        <v>4</v>
      </c>
      <c r="K283" s="1" t="s">
        <v>19</v>
      </c>
      <c r="L283" s="1" t="s">
        <v>364</v>
      </c>
      <c r="M283" s="1">
        <f>orders[[#This Row],[Ship Date]]-orders[[#This Row],[Order Date]]</f>
        <v>5</v>
      </c>
      <c r="N283" s="1">
        <f>WEEKNUM(orders[[#This Row],[Order Date]])</f>
        <v>3</v>
      </c>
      <c r="O283" s="1" t="str" cm="1">
        <f t="array" ref="O283">_xlfn.IFS(orders[[#This Row],[Customer Gender]]="M","Male", orders[[#This Row],[Customer Gender]]="F","Female", orders[[#This Row],[Customer Gender]]="O","Other", TRUE,"Unknown")</f>
        <v>Male</v>
      </c>
    </row>
    <row r="284" spans="1:15">
      <c r="A284" s="1" t="s">
        <v>365</v>
      </c>
      <c r="B284" s="1" t="s">
        <v>54</v>
      </c>
      <c r="C284" s="1">
        <v>24</v>
      </c>
      <c r="D284" s="1">
        <v>25.9</v>
      </c>
      <c r="E284" s="11">
        <v>621.59999999999991</v>
      </c>
      <c r="F284" s="3">
        <v>45670</v>
      </c>
      <c r="G284" s="3">
        <v>45671</v>
      </c>
      <c r="H284" s="1" t="s">
        <v>27</v>
      </c>
      <c r="I284" s="1" t="s">
        <v>70</v>
      </c>
      <c r="J284" s="1">
        <v>4</v>
      </c>
      <c r="K284" s="1" t="s">
        <v>19</v>
      </c>
      <c r="L284" s="1" t="s">
        <v>158</v>
      </c>
      <c r="M284" s="1">
        <f>orders[[#This Row],[Ship Date]]-orders[[#This Row],[Order Date]]</f>
        <v>1</v>
      </c>
      <c r="N284" s="1">
        <f>WEEKNUM(orders[[#This Row],[Order Date]])</f>
        <v>3</v>
      </c>
      <c r="O284" s="1" t="str" cm="1">
        <f t="array" ref="O284">_xlfn.IFS(orders[[#This Row],[Customer Gender]]="M","Male", orders[[#This Row],[Customer Gender]]="F","Female", orders[[#This Row],[Customer Gender]]="O","Other", TRUE,"Unknown")</f>
        <v>Female</v>
      </c>
    </row>
    <row r="285" spans="1:15">
      <c r="A285" s="1" t="s">
        <v>366</v>
      </c>
      <c r="B285" s="1" t="s">
        <v>39</v>
      </c>
      <c r="C285" s="1">
        <v>3</v>
      </c>
      <c r="D285" s="1">
        <v>66.8</v>
      </c>
      <c r="E285" s="11">
        <v>200.39999999999998</v>
      </c>
      <c r="F285" s="3">
        <v>45670</v>
      </c>
      <c r="G285" s="3">
        <v>45670</v>
      </c>
      <c r="H285" s="1" t="s">
        <v>23</v>
      </c>
      <c r="I285" s="1" t="s">
        <v>18</v>
      </c>
      <c r="J285" s="1">
        <v>4</v>
      </c>
      <c r="K285" s="1" t="s">
        <v>19</v>
      </c>
      <c r="L285" s="1" t="s">
        <v>158</v>
      </c>
      <c r="M285" s="1">
        <f>orders[[#This Row],[Ship Date]]-orders[[#This Row],[Order Date]]</f>
        <v>0</v>
      </c>
      <c r="N285" s="1">
        <f>WEEKNUM(orders[[#This Row],[Order Date]])</f>
        <v>3</v>
      </c>
      <c r="O285" s="1" t="str" cm="1">
        <f t="array" ref="O285">_xlfn.IFS(orders[[#This Row],[Customer Gender]]="M","Male", orders[[#This Row],[Customer Gender]]="F","Female", orders[[#This Row],[Customer Gender]]="O","Other", TRUE,"Unknown")</f>
        <v>Male</v>
      </c>
    </row>
    <row r="286" spans="1:15">
      <c r="A286" s="1" t="s">
        <v>367</v>
      </c>
      <c r="B286" s="1" t="s">
        <v>39</v>
      </c>
      <c r="C286" s="1">
        <v>3</v>
      </c>
      <c r="D286" s="1">
        <v>112.3</v>
      </c>
      <c r="E286" s="11">
        <v>336.9</v>
      </c>
      <c r="F286" s="3">
        <v>45670</v>
      </c>
      <c r="G286" s="3">
        <v>45671</v>
      </c>
      <c r="H286" s="1" t="s">
        <v>23</v>
      </c>
      <c r="I286" s="1" t="s">
        <v>40</v>
      </c>
      <c r="J286" s="1">
        <v>2</v>
      </c>
      <c r="K286" s="1" t="s">
        <v>19</v>
      </c>
      <c r="L286" s="1" t="s">
        <v>55</v>
      </c>
      <c r="M286" s="1">
        <f>orders[[#This Row],[Ship Date]]-orders[[#This Row],[Order Date]]</f>
        <v>1</v>
      </c>
      <c r="N286" s="1">
        <f>WEEKNUM(orders[[#This Row],[Order Date]])</f>
        <v>3</v>
      </c>
      <c r="O286" s="1" t="str" cm="1">
        <f t="array" ref="O286">_xlfn.IFS(orders[[#This Row],[Customer Gender]]="M","Male", orders[[#This Row],[Customer Gender]]="F","Female", orders[[#This Row],[Customer Gender]]="O","Other", TRUE,"Unknown")</f>
        <v>Male</v>
      </c>
    </row>
    <row r="287" spans="1:15">
      <c r="A287" s="1" t="s">
        <v>368</v>
      </c>
      <c r="B287" s="1" t="s">
        <v>22</v>
      </c>
      <c r="C287" s="1">
        <v>6</v>
      </c>
      <c r="D287" s="1">
        <v>94.1</v>
      </c>
      <c r="E287" s="11">
        <v>564.59999999999991</v>
      </c>
      <c r="F287" s="3">
        <v>45670</v>
      </c>
      <c r="G287" s="3">
        <v>45671</v>
      </c>
      <c r="H287" s="1" t="s">
        <v>27</v>
      </c>
      <c r="I287" s="1" t="s">
        <v>18</v>
      </c>
      <c r="J287" s="1">
        <v>2</v>
      </c>
      <c r="K287" s="1" t="s">
        <v>19</v>
      </c>
      <c r="L287" s="1" t="s">
        <v>55</v>
      </c>
      <c r="M287" s="1">
        <f>orders[[#This Row],[Ship Date]]-orders[[#This Row],[Order Date]]</f>
        <v>1</v>
      </c>
      <c r="N287" s="1">
        <f>WEEKNUM(orders[[#This Row],[Order Date]])</f>
        <v>3</v>
      </c>
      <c r="O287" s="1" t="str" cm="1">
        <f t="array" ref="O287">_xlfn.IFS(orders[[#This Row],[Customer Gender]]="M","Male", orders[[#This Row],[Customer Gender]]="F","Female", orders[[#This Row],[Customer Gender]]="O","Other", TRUE,"Unknown")</f>
        <v>Female</v>
      </c>
    </row>
    <row r="288" spans="1:15">
      <c r="A288" s="1" t="s">
        <v>369</v>
      </c>
      <c r="B288" s="1" t="s">
        <v>37</v>
      </c>
      <c r="C288" s="1">
        <v>1</v>
      </c>
      <c r="D288" s="1">
        <v>40.700000000000003</v>
      </c>
      <c r="E288" s="11">
        <v>40.700000000000003</v>
      </c>
      <c r="F288" s="3">
        <v>45670</v>
      </c>
      <c r="G288" s="3">
        <v>45673</v>
      </c>
      <c r="H288" s="1" t="s">
        <v>27</v>
      </c>
      <c r="I288" s="1" t="s">
        <v>40</v>
      </c>
      <c r="J288" s="1">
        <v>4</v>
      </c>
      <c r="K288" s="1" t="s">
        <v>19</v>
      </c>
      <c r="L288" s="1" t="s">
        <v>55</v>
      </c>
      <c r="M288" s="1">
        <f>orders[[#This Row],[Ship Date]]-orders[[#This Row],[Order Date]]</f>
        <v>3</v>
      </c>
      <c r="N288" s="1">
        <f>WEEKNUM(orders[[#This Row],[Order Date]])</f>
        <v>3</v>
      </c>
      <c r="O288" s="1" t="str" cm="1">
        <f t="array" ref="O288">_xlfn.IFS(orders[[#This Row],[Customer Gender]]="M","Male", orders[[#This Row],[Customer Gender]]="F","Female", orders[[#This Row],[Customer Gender]]="O","Other", TRUE,"Unknown")</f>
        <v>Female</v>
      </c>
    </row>
    <row r="289" spans="1:15">
      <c r="A289" s="1" t="s">
        <v>370</v>
      </c>
      <c r="B289" s="1" t="s">
        <v>30</v>
      </c>
      <c r="C289" s="1">
        <v>2</v>
      </c>
      <c r="D289" s="1">
        <v>71.400000000000006</v>
      </c>
      <c r="E289" s="11">
        <v>142.80000000000001</v>
      </c>
      <c r="F289" s="3">
        <v>45670</v>
      </c>
      <c r="G289" s="3">
        <v>45671</v>
      </c>
      <c r="H289" s="1" t="s">
        <v>23</v>
      </c>
      <c r="I289" s="1" t="s">
        <v>18</v>
      </c>
      <c r="J289" s="1">
        <v>4</v>
      </c>
      <c r="K289" s="1" t="s">
        <v>19</v>
      </c>
      <c r="L289" s="1" t="s">
        <v>59</v>
      </c>
      <c r="M289" s="1">
        <f>orders[[#This Row],[Ship Date]]-orders[[#This Row],[Order Date]]</f>
        <v>1</v>
      </c>
      <c r="N289" s="1">
        <f>WEEKNUM(orders[[#This Row],[Order Date]])</f>
        <v>3</v>
      </c>
      <c r="O289" s="1" t="str" cm="1">
        <f t="array" ref="O289">_xlfn.IFS(orders[[#This Row],[Customer Gender]]="M","Male", orders[[#This Row],[Customer Gender]]="F","Female", orders[[#This Row],[Customer Gender]]="O","Other", TRUE,"Unknown")</f>
        <v>Male</v>
      </c>
    </row>
    <row r="290" spans="1:15">
      <c r="A290" s="1" t="s">
        <v>371</v>
      </c>
      <c r="B290" s="1" t="s">
        <v>16</v>
      </c>
      <c r="C290" s="1">
        <v>18</v>
      </c>
      <c r="D290" s="1">
        <v>15.6</v>
      </c>
      <c r="E290" s="11">
        <v>280.8</v>
      </c>
      <c r="F290" s="3">
        <v>45670</v>
      </c>
      <c r="G290" s="3">
        <v>45671</v>
      </c>
      <c r="H290" s="1" t="s">
        <v>23</v>
      </c>
      <c r="I290" s="1" t="s">
        <v>35</v>
      </c>
      <c r="J290" s="1">
        <v>1</v>
      </c>
      <c r="K290" s="1" t="s">
        <v>19</v>
      </c>
      <c r="L290" s="1" t="s">
        <v>62</v>
      </c>
      <c r="M290" s="1">
        <f>orders[[#This Row],[Ship Date]]-orders[[#This Row],[Order Date]]</f>
        <v>1</v>
      </c>
      <c r="N290" s="1">
        <f>WEEKNUM(orders[[#This Row],[Order Date]])</f>
        <v>3</v>
      </c>
      <c r="O290" s="1" t="str" cm="1">
        <f t="array" ref="O290">_xlfn.IFS(orders[[#This Row],[Customer Gender]]="M","Male", orders[[#This Row],[Customer Gender]]="F","Female", orders[[#This Row],[Customer Gender]]="O","Other", TRUE,"Unknown")</f>
        <v>Male</v>
      </c>
    </row>
    <row r="291" spans="1:15">
      <c r="A291" s="1" t="s">
        <v>372</v>
      </c>
      <c r="B291" s="1" t="s">
        <v>54</v>
      </c>
      <c r="C291" s="1">
        <v>4</v>
      </c>
      <c r="D291" s="1">
        <v>37.799999999999997</v>
      </c>
      <c r="E291" s="11">
        <v>151.19999999999999</v>
      </c>
      <c r="F291" s="3">
        <v>45670</v>
      </c>
      <c r="G291" s="3">
        <v>45671</v>
      </c>
      <c r="H291" s="1" t="s">
        <v>23</v>
      </c>
      <c r="I291" s="1" t="s">
        <v>40</v>
      </c>
      <c r="J291" s="1">
        <v>5</v>
      </c>
      <c r="K291" s="1" t="s">
        <v>19</v>
      </c>
      <c r="L291" s="1" t="s">
        <v>62</v>
      </c>
      <c r="M291" s="1">
        <f>orders[[#This Row],[Ship Date]]-orders[[#This Row],[Order Date]]</f>
        <v>1</v>
      </c>
      <c r="N291" s="1">
        <f>WEEKNUM(orders[[#This Row],[Order Date]])</f>
        <v>3</v>
      </c>
      <c r="O291" s="1" t="str" cm="1">
        <f t="array" ref="O291">_xlfn.IFS(orders[[#This Row],[Customer Gender]]="M","Male", orders[[#This Row],[Customer Gender]]="F","Female", orders[[#This Row],[Customer Gender]]="O","Other", TRUE,"Unknown")</f>
        <v>Male</v>
      </c>
    </row>
    <row r="292" spans="1:15">
      <c r="A292" s="1" t="s">
        <v>373</v>
      </c>
      <c r="B292" s="1" t="s">
        <v>32</v>
      </c>
      <c r="C292" s="1">
        <v>3</v>
      </c>
      <c r="D292" s="1">
        <v>28.1</v>
      </c>
      <c r="E292" s="11">
        <v>84.300000000000011</v>
      </c>
      <c r="F292" s="3">
        <v>45670</v>
      </c>
      <c r="G292" s="3">
        <v>45674</v>
      </c>
      <c r="H292" s="1" t="s">
        <v>23</v>
      </c>
      <c r="I292" s="1" t="s">
        <v>18</v>
      </c>
      <c r="J292" s="1">
        <v>4</v>
      </c>
      <c r="K292" s="1" t="s">
        <v>19</v>
      </c>
      <c r="L292" s="1" t="s">
        <v>62</v>
      </c>
      <c r="M292" s="1">
        <f>orders[[#This Row],[Ship Date]]-orders[[#This Row],[Order Date]]</f>
        <v>4</v>
      </c>
      <c r="N292" s="1">
        <f>WEEKNUM(orders[[#This Row],[Order Date]])</f>
        <v>3</v>
      </c>
      <c r="O292" s="1" t="str" cm="1">
        <f t="array" ref="O292">_xlfn.IFS(orders[[#This Row],[Customer Gender]]="M","Male", orders[[#This Row],[Customer Gender]]="F","Female", orders[[#This Row],[Customer Gender]]="O","Other", TRUE,"Unknown")</f>
        <v>Male</v>
      </c>
    </row>
    <row r="293" spans="1:15">
      <c r="A293" s="1" t="s">
        <v>374</v>
      </c>
      <c r="B293" s="1" t="s">
        <v>42</v>
      </c>
      <c r="C293" s="1">
        <v>6</v>
      </c>
      <c r="D293" s="1">
        <v>51.4</v>
      </c>
      <c r="E293" s="11">
        <v>308.39999999999998</v>
      </c>
      <c r="F293" s="3">
        <v>45670</v>
      </c>
      <c r="G293" s="3">
        <v>45674</v>
      </c>
      <c r="H293" s="1" t="s">
        <v>23</v>
      </c>
      <c r="I293" s="1" t="s">
        <v>18</v>
      </c>
      <c r="J293" s="1">
        <v>4</v>
      </c>
      <c r="K293" s="1" t="s">
        <v>19</v>
      </c>
      <c r="L293" s="1" t="s">
        <v>62</v>
      </c>
      <c r="M293" s="1">
        <f>orders[[#This Row],[Ship Date]]-orders[[#This Row],[Order Date]]</f>
        <v>4</v>
      </c>
      <c r="N293" s="1">
        <f>WEEKNUM(orders[[#This Row],[Order Date]])</f>
        <v>3</v>
      </c>
      <c r="O293" s="1" t="str" cm="1">
        <f t="array" ref="O293">_xlfn.IFS(orders[[#This Row],[Customer Gender]]="M","Male", orders[[#This Row],[Customer Gender]]="F","Female", orders[[#This Row],[Customer Gender]]="O","Other", TRUE,"Unknown")</f>
        <v>Male</v>
      </c>
    </row>
    <row r="294" spans="1:15">
      <c r="A294" s="1" t="s">
        <v>375</v>
      </c>
      <c r="B294" s="1" t="s">
        <v>42</v>
      </c>
      <c r="C294" s="1">
        <v>2</v>
      </c>
      <c r="D294" s="1">
        <v>97.7</v>
      </c>
      <c r="E294" s="11">
        <v>195.4</v>
      </c>
      <c r="F294" s="3">
        <v>45670</v>
      </c>
      <c r="G294" s="3">
        <v>45672</v>
      </c>
      <c r="H294" s="1" t="s">
        <v>27</v>
      </c>
      <c r="I294" s="1" t="s">
        <v>70</v>
      </c>
      <c r="J294" s="1">
        <v>5</v>
      </c>
      <c r="K294" s="1" t="s">
        <v>19</v>
      </c>
      <c r="L294" s="1" t="s">
        <v>103</v>
      </c>
      <c r="M294" s="1">
        <f>orders[[#This Row],[Ship Date]]-orders[[#This Row],[Order Date]]</f>
        <v>2</v>
      </c>
      <c r="N294" s="1">
        <f>WEEKNUM(orders[[#This Row],[Order Date]])</f>
        <v>3</v>
      </c>
      <c r="O294" s="1" t="str" cm="1">
        <f t="array" ref="O294">_xlfn.IFS(orders[[#This Row],[Customer Gender]]="M","Male", orders[[#This Row],[Customer Gender]]="F","Female", orders[[#This Row],[Customer Gender]]="O","Other", TRUE,"Unknown")</f>
        <v>Female</v>
      </c>
    </row>
    <row r="295" spans="1:15">
      <c r="A295" s="1" t="s">
        <v>376</v>
      </c>
      <c r="B295" s="1" t="s">
        <v>22</v>
      </c>
      <c r="C295" s="1">
        <v>4</v>
      </c>
      <c r="D295" s="1">
        <v>63.8</v>
      </c>
      <c r="E295" s="11">
        <v>255.2</v>
      </c>
      <c r="F295" s="3">
        <v>45670</v>
      </c>
      <c r="G295" s="3">
        <v>45671</v>
      </c>
      <c r="H295" s="1" t="s">
        <v>23</v>
      </c>
      <c r="I295" s="1" t="s">
        <v>40</v>
      </c>
      <c r="J295" s="1">
        <v>4</v>
      </c>
      <c r="K295" s="1" t="s">
        <v>19</v>
      </c>
      <c r="L295" s="1" t="s">
        <v>377</v>
      </c>
      <c r="M295" s="1">
        <f>orders[[#This Row],[Ship Date]]-orders[[#This Row],[Order Date]]</f>
        <v>1</v>
      </c>
      <c r="N295" s="1">
        <f>WEEKNUM(orders[[#This Row],[Order Date]])</f>
        <v>3</v>
      </c>
      <c r="O295" s="1" t="str" cm="1">
        <f t="array" ref="O295">_xlfn.IFS(orders[[#This Row],[Customer Gender]]="M","Male", orders[[#This Row],[Customer Gender]]="F","Female", orders[[#This Row],[Customer Gender]]="O","Other", TRUE,"Unknown")</f>
        <v>Male</v>
      </c>
    </row>
    <row r="296" spans="1:15">
      <c r="A296" s="1" t="s">
        <v>378</v>
      </c>
      <c r="B296" s="1" t="s">
        <v>76</v>
      </c>
      <c r="C296" s="1">
        <v>2</v>
      </c>
      <c r="D296" s="1">
        <v>20.100000000000001</v>
      </c>
      <c r="E296" s="11">
        <v>40.200000000000003</v>
      </c>
      <c r="F296" s="3">
        <v>45670</v>
      </c>
      <c r="G296" s="3">
        <v>45672</v>
      </c>
      <c r="H296" s="1" t="s">
        <v>23</v>
      </c>
      <c r="I296" s="1" t="s">
        <v>18</v>
      </c>
      <c r="J296" s="1">
        <v>5</v>
      </c>
      <c r="K296" s="1" t="s">
        <v>19</v>
      </c>
      <c r="L296" s="1" t="s">
        <v>113</v>
      </c>
      <c r="M296" s="1">
        <f>orders[[#This Row],[Ship Date]]-orders[[#This Row],[Order Date]]</f>
        <v>2</v>
      </c>
      <c r="N296" s="1">
        <f>WEEKNUM(orders[[#This Row],[Order Date]])</f>
        <v>3</v>
      </c>
      <c r="O296" s="1" t="str" cm="1">
        <f t="array" ref="O296">_xlfn.IFS(orders[[#This Row],[Customer Gender]]="M","Male", orders[[#This Row],[Customer Gender]]="F","Female", orders[[#This Row],[Customer Gender]]="O","Other", TRUE,"Unknown")</f>
        <v>Male</v>
      </c>
    </row>
    <row r="297" spans="1:15">
      <c r="A297" s="1" t="s">
        <v>379</v>
      </c>
      <c r="B297" s="1" t="s">
        <v>67</v>
      </c>
      <c r="C297" s="1">
        <v>3</v>
      </c>
      <c r="D297" s="1">
        <v>50.4</v>
      </c>
      <c r="E297" s="11">
        <v>151.19999999999999</v>
      </c>
      <c r="F297" s="3">
        <v>45670</v>
      </c>
      <c r="G297" s="3">
        <v>45673</v>
      </c>
      <c r="H297" s="1" t="s">
        <v>27</v>
      </c>
      <c r="I297" s="1" t="s">
        <v>51</v>
      </c>
      <c r="J297" s="1">
        <v>4</v>
      </c>
      <c r="K297" s="1" t="s">
        <v>19</v>
      </c>
      <c r="L297" s="1" t="s">
        <v>82</v>
      </c>
      <c r="M297" s="1">
        <f>orders[[#This Row],[Ship Date]]-orders[[#This Row],[Order Date]]</f>
        <v>3</v>
      </c>
      <c r="N297" s="1">
        <f>WEEKNUM(orders[[#This Row],[Order Date]])</f>
        <v>3</v>
      </c>
      <c r="O297" s="1" t="str" cm="1">
        <f t="array" ref="O297">_xlfn.IFS(orders[[#This Row],[Customer Gender]]="M","Male", orders[[#This Row],[Customer Gender]]="F","Female", orders[[#This Row],[Customer Gender]]="O","Other", TRUE,"Unknown")</f>
        <v>Female</v>
      </c>
    </row>
    <row r="298" spans="1:15">
      <c r="A298" s="1" t="s">
        <v>380</v>
      </c>
      <c r="B298" s="1" t="s">
        <v>16</v>
      </c>
      <c r="C298" s="1">
        <v>1</v>
      </c>
      <c r="D298" s="1">
        <v>16.2</v>
      </c>
      <c r="E298" s="11">
        <v>16.2</v>
      </c>
      <c r="F298" s="3">
        <v>45670</v>
      </c>
      <c r="G298" s="3">
        <v>45683</v>
      </c>
      <c r="H298" s="1" t="s">
        <v>27</v>
      </c>
      <c r="I298" s="1" t="s">
        <v>35</v>
      </c>
      <c r="J298" s="1">
        <v>4</v>
      </c>
      <c r="K298" s="1" t="s">
        <v>19</v>
      </c>
      <c r="L298" s="1" t="s">
        <v>24</v>
      </c>
      <c r="M298" s="1">
        <f>orders[[#This Row],[Ship Date]]-orders[[#This Row],[Order Date]]</f>
        <v>13</v>
      </c>
      <c r="N298" s="1">
        <f>WEEKNUM(orders[[#This Row],[Order Date]])</f>
        <v>3</v>
      </c>
      <c r="O298" s="1" t="str" cm="1">
        <f t="array" ref="O298">_xlfn.IFS(orders[[#This Row],[Customer Gender]]="M","Male", orders[[#This Row],[Customer Gender]]="F","Female", orders[[#This Row],[Customer Gender]]="O","Other", TRUE,"Unknown")</f>
        <v>Female</v>
      </c>
    </row>
    <row r="299" spans="1:15">
      <c r="A299" s="1" t="s">
        <v>381</v>
      </c>
      <c r="B299" s="1" t="s">
        <v>39</v>
      </c>
      <c r="C299" s="1">
        <v>7</v>
      </c>
      <c r="D299" s="1">
        <v>80.900000000000006</v>
      </c>
      <c r="E299" s="11">
        <v>566.30000000000007</v>
      </c>
      <c r="F299" s="3">
        <v>45670</v>
      </c>
      <c r="G299" s="3">
        <v>45672</v>
      </c>
      <c r="H299" s="1" t="s">
        <v>23</v>
      </c>
      <c r="I299" s="1" t="s">
        <v>70</v>
      </c>
      <c r="J299" s="1">
        <v>2</v>
      </c>
      <c r="K299" s="1" t="s">
        <v>19</v>
      </c>
      <c r="L299" s="1" t="s">
        <v>28</v>
      </c>
      <c r="M299" s="1">
        <f>orders[[#This Row],[Ship Date]]-orders[[#This Row],[Order Date]]</f>
        <v>2</v>
      </c>
      <c r="N299" s="1">
        <f>WEEKNUM(orders[[#This Row],[Order Date]])</f>
        <v>3</v>
      </c>
      <c r="O299" s="1" t="str" cm="1">
        <f t="array" ref="O299">_xlfn.IFS(orders[[#This Row],[Customer Gender]]="M","Male", orders[[#This Row],[Customer Gender]]="F","Female", orders[[#This Row],[Customer Gender]]="O","Other", TRUE,"Unknown")</f>
        <v>Male</v>
      </c>
    </row>
    <row r="300" spans="1:15">
      <c r="A300" s="1" t="s">
        <v>382</v>
      </c>
      <c r="B300" s="1" t="s">
        <v>46</v>
      </c>
      <c r="C300" s="1">
        <v>6</v>
      </c>
      <c r="D300" s="1">
        <v>95.2</v>
      </c>
      <c r="E300" s="11">
        <v>571.20000000000005</v>
      </c>
      <c r="F300" s="3">
        <v>45670</v>
      </c>
      <c r="G300" s="3">
        <v>45672</v>
      </c>
      <c r="H300" s="1" t="s">
        <v>27</v>
      </c>
      <c r="I300" s="1" t="s">
        <v>18</v>
      </c>
      <c r="J300" s="1">
        <v>5</v>
      </c>
      <c r="K300" s="1" t="s">
        <v>19</v>
      </c>
      <c r="L300" s="1" t="s">
        <v>28</v>
      </c>
      <c r="M300" s="1">
        <f>orders[[#This Row],[Ship Date]]-orders[[#This Row],[Order Date]]</f>
        <v>2</v>
      </c>
      <c r="N300" s="1">
        <f>WEEKNUM(orders[[#This Row],[Order Date]])</f>
        <v>3</v>
      </c>
      <c r="O300" s="1" t="str" cm="1">
        <f t="array" ref="O300">_xlfn.IFS(orders[[#This Row],[Customer Gender]]="M","Male", orders[[#This Row],[Customer Gender]]="F","Female", orders[[#This Row],[Customer Gender]]="O","Other", TRUE,"Unknown")</f>
        <v>Female</v>
      </c>
    </row>
    <row r="301" spans="1:15">
      <c r="A301" s="1" t="s">
        <v>383</v>
      </c>
      <c r="B301" s="1" t="s">
        <v>37</v>
      </c>
      <c r="C301" s="1">
        <v>8</v>
      </c>
      <c r="D301" s="1">
        <v>70.400000000000006</v>
      </c>
      <c r="E301" s="11">
        <v>563.20000000000005</v>
      </c>
      <c r="F301" s="3">
        <v>45670</v>
      </c>
      <c r="G301" s="3">
        <v>45671</v>
      </c>
      <c r="H301" s="1" t="s">
        <v>23</v>
      </c>
      <c r="I301" s="1" t="s">
        <v>35</v>
      </c>
      <c r="J301" s="1">
        <v>3</v>
      </c>
      <c r="K301" s="1" t="s">
        <v>19</v>
      </c>
      <c r="L301" s="1" t="s">
        <v>33</v>
      </c>
      <c r="M301" s="1">
        <f>orders[[#This Row],[Ship Date]]-orders[[#This Row],[Order Date]]</f>
        <v>1</v>
      </c>
      <c r="N301" s="1">
        <f>WEEKNUM(orders[[#This Row],[Order Date]])</f>
        <v>3</v>
      </c>
      <c r="O301" s="1" t="str" cm="1">
        <f t="array" ref="O301">_xlfn.IFS(orders[[#This Row],[Customer Gender]]="M","Male", orders[[#This Row],[Customer Gender]]="F","Female", orders[[#This Row],[Customer Gender]]="O","Other", TRUE,"Unknown")</f>
        <v>Male</v>
      </c>
    </row>
    <row r="302" spans="1:15">
      <c r="A302" s="1" t="s">
        <v>384</v>
      </c>
      <c r="B302" s="1" t="s">
        <v>16</v>
      </c>
      <c r="C302" s="1">
        <v>5</v>
      </c>
      <c r="D302" s="1">
        <v>10.7</v>
      </c>
      <c r="E302" s="11">
        <v>53.5</v>
      </c>
      <c r="F302" s="3">
        <v>45670</v>
      </c>
      <c r="G302" s="3">
        <v>45674</v>
      </c>
      <c r="H302" s="1" t="s">
        <v>27</v>
      </c>
      <c r="I302" s="1" t="s">
        <v>40</v>
      </c>
      <c r="J302" s="1">
        <v>4</v>
      </c>
      <c r="K302" s="1" t="s">
        <v>19</v>
      </c>
      <c r="L302" s="1" t="s">
        <v>33</v>
      </c>
      <c r="M302" s="1">
        <f>orders[[#This Row],[Ship Date]]-orders[[#This Row],[Order Date]]</f>
        <v>4</v>
      </c>
      <c r="N302" s="1">
        <f>WEEKNUM(orders[[#This Row],[Order Date]])</f>
        <v>3</v>
      </c>
      <c r="O302" s="1" t="str" cm="1">
        <f t="array" ref="O302">_xlfn.IFS(orders[[#This Row],[Customer Gender]]="M","Male", orders[[#This Row],[Customer Gender]]="F","Female", orders[[#This Row],[Customer Gender]]="O","Other", TRUE,"Unknown")</f>
        <v>Female</v>
      </c>
    </row>
    <row r="303" spans="1:15">
      <c r="A303" s="1" t="s">
        <v>385</v>
      </c>
      <c r="B303" s="1" t="s">
        <v>44</v>
      </c>
      <c r="C303" s="1">
        <v>5</v>
      </c>
      <c r="D303" s="1">
        <v>19.600000000000001</v>
      </c>
      <c r="E303" s="11">
        <v>98</v>
      </c>
      <c r="F303" s="3">
        <v>45670</v>
      </c>
      <c r="G303" s="3">
        <v>45672</v>
      </c>
      <c r="H303" s="1" t="s">
        <v>27</v>
      </c>
      <c r="I303" s="1" t="s">
        <v>18</v>
      </c>
      <c r="J303" s="1">
        <v>1</v>
      </c>
      <c r="K303" s="1" t="s">
        <v>19</v>
      </c>
      <c r="L303" s="1" t="s">
        <v>33</v>
      </c>
      <c r="M303" s="1">
        <f>orders[[#This Row],[Ship Date]]-orders[[#This Row],[Order Date]]</f>
        <v>2</v>
      </c>
      <c r="N303" s="1">
        <f>WEEKNUM(orders[[#This Row],[Order Date]])</f>
        <v>3</v>
      </c>
      <c r="O303" s="1" t="str" cm="1">
        <f t="array" ref="O303">_xlfn.IFS(orders[[#This Row],[Customer Gender]]="M","Male", orders[[#This Row],[Customer Gender]]="F","Female", orders[[#This Row],[Customer Gender]]="O","Other", TRUE,"Unknown")</f>
        <v>Female</v>
      </c>
    </row>
    <row r="304" spans="1:15">
      <c r="A304" s="1" t="s">
        <v>386</v>
      </c>
      <c r="B304" s="1" t="s">
        <v>44</v>
      </c>
      <c r="C304" s="1">
        <v>11</v>
      </c>
      <c r="D304" s="1">
        <v>34.700000000000003</v>
      </c>
      <c r="E304" s="11">
        <v>381.70000000000005</v>
      </c>
      <c r="F304" s="3">
        <v>45670</v>
      </c>
      <c r="G304" s="3">
        <v>45672</v>
      </c>
      <c r="H304" s="1" t="s">
        <v>27</v>
      </c>
      <c r="I304" s="1" t="s">
        <v>18</v>
      </c>
      <c r="J304" s="1">
        <v>5</v>
      </c>
      <c r="K304" s="1" t="s">
        <v>19</v>
      </c>
      <c r="L304" s="1" t="s">
        <v>33</v>
      </c>
      <c r="M304" s="1">
        <f>orders[[#This Row],[Ship Date]]-orders[[#This Row],[Order Date]]</f>
        <v>2</v>
      </c>
      <c r="N304" s="1">
        <f>WEEKNUM(orders[[#This Row],[Order Date]])</f>
        <v>3</v>
      </c>
      <c r="O304" s="1" t="str" cm="1">
        <f t="array" ref="O304">_xlfn.IFS(orders[[#This Row],[Customer Gender]]="M","Male", orders[[#This Row],[Customer Gender]]="F","Female", orders[[#This Row],[Customer Gender]]="O","Other", TRUE,"Unknown")</f>
        <v>Female</v>
      </c>
    </row>
    <row r="305" spans="1:15">
      <c r="A305" s="1" t="s">
        <v>387</v>
      </c>
      <c r="B305" s="1" t="s">
        <v>54</v>
      </c>
      <c r="C305" s="1">
        <v>9</v>
      </c>
      <c r="D305" s="1">
        <v>34.1</v>
      </c>
      <c r="E305" s="11">
        <v>306.90000000000003</v>
      </c>
      <c r="F305" s="3">
        <v>45670</v>
      </c>
      <c r="G305" s="3">
        <v>45671</v>
      </c>
      <c r="H305" s="1" t="s">
        <v>27</v>
      </c>
      <c r="I305" s="1" t="s">
        <v>70</v>
      </c>
      <c r="J305" s="1">
        <v>3</v>
      </c>
      <c r="K305" s="1" t="s">
        <v>19</v>
      </c>
      <c r="L305" s="1" t="s">
        <v>33</v>
      </c>
      <c r="M305" s="1">
        <f>orders[[#This Row],[Ship Date]]-orders[[#This Row],[Order Date]]</f>
        <v>1</v>
      </c>
      <c r="N305" s="1">
        <f>WEEKNUM(orders[[#This Row],[Order Date]])</f>
        <v>3</v>
      </c>
      <c r="O305" s="1" t="str" cm="1">
        <f t="array" ref="O305">_xlfn.IFS(orders[[#This Row],[Customer Gender]]="M","Male", orders[[#This Row],[Customer Gender]]="F","Female", orders[[#This Row],[Customer Gender]]="O","Other", TRUE,"Unknown")</f>
        <v>Female</v>
      </c>
    </row>
    <row r="306" spans="1:15">
      <c r="A306" s="1" t="s">
        <v>388</v>
      </c>
      <c r="B306" s="1" t="s">
        <v>16</v>
      </c>
      <c r="C306" s="1">
        <v>49</v>
      </c>
      <c r="D306" s="1">
        <v>29.3</v>
      </c>
      <c r="E306" s="11">
        <v>1435.7</v>
      </c>
      <c r="F306" s="3">
        <v>45670</v>
      </c>
      <c r="G306" s="3">
        <v>45670</v>
      </c>
      <c r="H306" s="1" t="s">
        <v>23</v>
      </c>
      <c r="I306" s="1" t="s">
        <v>18</v>
      </c>
      <c r="J306" s="1">
        <v>3</v>
      </c>
      <c r="K306" s="1" t="s">
        <v>19</v>
      </c>
      <c r="L306" s="1" t="s">
        <v>33</v>
      </c>
      <c r="M306" s="1">
        <f>orders[[#This Row],[Ship Date]]-orders[[#This Row],[Order Date]]</f>
        <v>0</v>
      </c>
      <c r="N306" s="1">
        <f>WEEKNUM(orders[[#This Row],[Order Date]])</f>
        <v>3</v>
      </c>
      <c r="O306" s="1" t="str" cm="1">
        <f t="array" ref="O306">_xlfn.IFS(orders[[#This Row],[Customer Gender]]="M","Male", orders[[#This Row],[Customer Gender]]="F","Female", orders[[#This Row],[Customer Gender]]="O","Other", TRUE,"Unknown")</f>
        <v>Male</v>
      </c>
    </row>
    <row r="307" spans="1:15">
      <c r="A307" s="1" t="s">
        <v>389</v>
      </c>
      <c r="B307" s="1" t="s">
        <v>22</v>
      </c>
      <c r="C307" s="1">
        <v>1</v>
      </c>
      <c r="D307" s="1">
        <v>55.2</v>
      </c>
      <c r="E307" s="11">
        <v>55.2</v>
      </c>
      <c r="F307" s="3">
        <v>45670</v>
      </c>
      <c r="G307" s="3">
        <v>45671</v>
      </c>
      <c r="H307" s="1" t="s">
        <v>27</v>
      </c>
      <c r="I307" s="1" t="s">
        <v>18</v>
      </c>
      <c r="J307" s="1">
        <v>3</v>
      </c>
      <c r="K307" s="1" t="s">
        <v>19</v>
      </c>
      <c r="L307" s="1" t="s">
        <v>33</v>
      </c>
      <c r="M307" s="1">
        <f>orders[[#This Row],[Ship Date]]-orders[[#This Row],[Order Date]]</f>
        <v>1</v>
      </c>
      <c r="N307" s="1">
        <f>WEEKNUM(orders[[#This Row],[Order Date]])</f>
        <v>3</v>
      </c>
      <c r="O307" s="1" t="str" cm="1">
        <f t="array" ref="O307">_xlfn.IFS(orders[[#This Row],[Customer Gender]]="M","Male", orders[[#This Row],[Customer Gender]]="F","Female", orders[[#This Row],[Customer Gender]]="O","Other", TRUE,"Unknown")</f>
        <v>Female</v>
      </c>
    </row>
    <row r="308" spans="1:15">
      <c r="A308" s="1" t="s">
        <v>390</v>
      </c>
      <c r="B308" s="1" t="s">
        <v>146</v>
      </c>
      <c r="C308" s="1">
        <v>3</v>
      </c>
      <c r="D308" s="1">
        <v>26</v>
      </c>
      <c r="E308" s="11">
        <v>78</v>
      </c>
      <c r="F308" s="3">
        <v>45670</v>
      </c>
      <c r="G308" s="3">
        <v>45673</v>
      </c>
      <c r="H308" s="1" t="s">
        <v>27</v>
      </c>
      <c r="I308" s="1" t="s">
        <v>18</v>
      </c>
      <c r="J308" s="1">
        <v>5</v>
      </c>
      <c r="K308" s="1" t="s">
        <v>19</v>
      </c>
      <c r="L308" s="1" t="s">
        <v>33</v>
      </c>
      <c r="M308" s="1">
        <f>orders[[#This Row],[Ship Date]]-orders[[#This Row],[Order Date]]</f>
        <v>3</v>
      </c>
      <c r="N308" s="1">
        <f>WEEKNUM(orders[[#This Row],[Order Date]])</f>
        <v>3</v>
      </c>
      <c r="O308" s="1" t="str" cm="1">
        <f t="array" ref="O308">_xlfn.IFS(orders[[#This Row],[Customer Gender]]="M","Male", orders[[#This Row],[Customer Gender]]="F","Female", orders[[#This Row],[Customer Gender]]="O","Other", TRUE,"Unknown")</f>
        <v>Female</v>
      </c>
    </row>
    <row r="309" spans="1:15">
      <c r="A309" s="1" t="s">
        <v>391</v>
      </c>
      <c r="B309" s="1" t="s">
        <v>81</v>
      </c>
      <c r="C309" s="1">
        <v>2</v>
      </c>
      <c r="D309" s="1">
        <v>14.2</v>
      </c>
      <c r="E309" s="11">
        <v>28.4</v>
      </c>
      <c r="F309" s="3">
        <v>45670</v>
      </c>
      <c r="G309" s="3">
        <v>45675</v>
      </c>
      <c r="H309" s="1" t="s">
        <v>27</v>
      </c>
      <c r="I309" s="1" t="s">
        <v>51</v>
      </c>
      <c r="J309" s="1">
        <v>4</v>
      </c>
      <c r="K309" s="1" t="s">
        <v>19</v>
      </c>
      <c r="L309" s="1" t="s">
        <v>392</v>
      </c>
      <c r="M309" s="1">
        <f>orders[[#This Row],[Ship Date]]-orders[[#This Row],[Order Date]]</f>
        <v>5</v>
      </c>
      <c r="N309" s="1">
        <f>WEEKNUM(orders[[#This Row],[Order Date]])</f>
        <v>3</v>
      </c>
      <c r="O309" s="1" t="str" cm="1">
        <f t="array" ref="O309">_xlfn.IFS(orders[[#This Row],[Customer Gender]]="M","Male", orders[[#This Row],[Customer Gender]]="F","Female", orders[[#This Row],[Customer Gender]]="O","Other", TRUE,"Unknown")</f>
        <v>Female</v>
      </c>
    </row>
    <row r="310" spans="1:15">
      <c r="A310" s="1" t="s">
        <v>393</v>
      </c>
      <c r="B310" s="1" t="s">
        <v>44</v>
      </c>
      <c r="C310" s="1">
        <v>9</v>
      </c>
      <c r="D310" s="1">
        <v>22.7</v>
      </c>
      <c r="E310" s="11">
        <v>204.29999999999998</v>
      </c>
      <c r="F310" s="3">
        <v>45671</v>
      </c>
      <c r="G310" s="3">
        <v>45672</v>
      </c>
      <c r="H310" s="1" t="s">
        <v>23</v>
      </c>
      <c r="I310" s="1" t="s">
        <v>35</v>
      </c>
      <c r="J310" s="1">
        <v>4</v>
      </c>
      <c r="K310" s="1" t="s">
        <v>19</v>
      </c>
      <c r="L310" s="1" t="s">
        <v>55</v>
      </c>
      <c r="M310" s="1">
        <f>orders[[#This Row],[Ship Date]]-orders[[#This Row],[Order Date]]</f>
        <v>1</v>
      </c>
      <c r="N310" s="1">
        <f>WEEKNUM(orders[[#This Row],[Order Date]])</f>
        <v>3</v>
      </c>
      <c r="O310" s="1" t="str" cm="1">
        <f t="array" ref="O310">_xlfn.IFS(orders[[#This Row],[Customer Gender]]="M","Male", orders[[#This Row],[Customer Gender]]="F","Female", orders[[#This Row],[Customer Gender]]="O","Other", TRUE,"Unknown")</f>
        <v>Male</v>
      </c>
    </row>
    <row r="311" spans="1:15">
      <c r="A311" s="1" t="s">
        <v>394</v>
      </c>
      <c r="B311" s="1" t="s">
        <v>16</v>
      </c>
      <c r="C311" s="1">
        <v>15</v>
      </c>
      <c r="D311" s="1">
        <v>19.8</v>
      </c>
      <c r="E311" s="11">
        <v>297</v>
      </c>
      <c r="F311" s="3">
        <v>45671</v>
      </c>
      <c r="G311" s="3">
        <v>45671</v>
      </c>
      <c r="H311" s="1" t="s">
        <v>27</v>
      </c>
      <c r="I311" s="1" t="s">
        <v>18</v>
      </c>
      <c r="J311" s="1">
        <v>5</v>
      </c>
      <c r="K311" s="1" t="s">
        <v>19</v>
      </c>
      <c r="L311" s="1" t="s">
        <v>55</v>
      </c>
      <c r="M311" s="1">
        <f>orders[[#This Row],[Ship Date]]-orders[[#This Row],[Order Date]]</f>
        <v>0</v>
      </c>
      <c r="N311" s="1">
        <f>WEEKNUM(orders[[#This Row],[Order Date]])</f>
        <v>3</v>
      </c>
      <c r="O311" s="1" t="str" cm="1">
        <f t="array" ref="O311">_xlfn.IFS(orders[[#This Row],[Customer Gender]]="M","Male", orders[[#This Row],[Customer Gender]]="F","Female", orders[[#This Row],[Customer Gender]]="O","Other", TRUE,"Unknown")</f>
        <v>Female</v>
      </c>
    </row>
    <row r="312" spans="1:15">
      <c r="A312" s="1" t="s">
        <v>395</v>
      </c>
      <c r="B312" s="1" t="s">
        <v>16</v>
      </c>
      <c r="C312" s="1">
        <v>3</v>
      </c>
      <c r="D312" s="1">
        <v>31.7</v>
      </c>
      <c r="E312" s="11">
        <v>95.1</v>
      </c>
      <c r="F312" s="3">
        <v>45671</v>
      </c>
      <c r="G312" s="3">
        <v>45672</v>
      </c>
      <c r="H312" s="1" t="s">
        <v>23</v>
      </c>
      <c r="I312" s="1" t="s">
        <v>40</v>
      </c>
      <c r="J312" s="1">
        <v>4</v>
      </c>
      <c r="K312" s="1" t="s">
        <v>19</v>
      </c>
      <c r="L312" s="1" t="s">
        <v>55</v>
      </c>
      <c r="M312" s="1">
        <f>orders[[#This Row],[Ship Date]]-orders[[#This Row],[Order Date]]</f>
        <v>1</v>
      </c>
      <c r="N312" s="1">
        <f>WEEKNUM(orders[[#This Row],[Order Date]])</f>
        <v>3</v>
      </c>
      <c r="O312" s="1" t="str" cm="1">
        <f t="array" ref="O312">_xlfn.IFS(orders[[#This Row],[Customer Gender]]="M","Male", orders[[#This Row],[Customer Gender]]="F","Female", orders[[#This Row],[Customer Gender]]="O","Other", TRUE,"Unknown")</f>
        <v>Male</v>
      </c>
    </row>
    <row r="313" spans="1:15">
      <c r="A313" s="1" t="s">
        <v>396</v>
      </c>
      <c r="B313" s="1" t="s">
        <v>44</v>
      </c>
      <c r="C313" s="1">
        <v>4</v>
      </c>
      <c r="D313" s="1">
        <v>30.4</v>
      </c>
      <c r="E313" s="11">
        <v>121.6</v>
      </c>
      <c r="F313" s="3">
        <v>45671</v>
      </c>
      <c r="G313" s="3">
        <v>45675</v>
      </c>
      <c r="H313" s="1" t="s">
        <v>23</v>
      </c>
      <c r="I313" s="1" t="s">
        <v>18</v>
      </c>
      <c r="J313" s="1">
        <v>4</v>
      </c>
      <c r="K313" s="1" t="s">
        <v>19</v>
      </c>
      <c r="L313" s="1" t="s">
        <v>55</v>
      </c>
      <c r="M313" s="1">
        <f>orders[[#This Row],[Ship Date]]-orders[[#This Row],[Order Date]]</f>
        <v>4</v>
      </c>
      <c r="N313" s="1">
        <f>WEEKNUM(orders[[#This Row],[Order Date]])</f>
        <v>3</v>
      </c>
      <c r="O313" s="1" t="str" cm="1">
        <f t="array" ref="O313">_xlfn.IFS(orders[[#This Row],[Customer Gender]]="M","Male", orders[[#This Row],[Customer Gender]]="F","Female", orders[[#This Row],[Customer Gender]]="O","Other", TRUE,"Unknown")</f>
        <v>Male</v>
      </c>
    </row>
    <row r="314" spans="1:15">
      <c r="A314" s="1" t="s">
        <v>397</v>
      </c>
      <c r="B314" s="1" t="s">
        <v>16</v>
      </c>
      <c r="C314" s="1">
        <v>4</v>
      </c>
      <c r="D314" s="1">
        <v>25.6</v>
      </c>
      <c r="E314" s="11">
        <v>102.4</v>
      </c>
      <c r="F314" s="3">
        <v>45671</v>
      </c>
      <c r="G314" s="3">
        <v>45672</v>
      </c>
      <c r="H314" s="1" t="s">
        <v>23</v>
      </c>
      <c r="I314" s="1" t="s">
        <v>51</v>
      </c>
      <c r="J314" s="1">
        <v>4</v>
      </c>
      <c r="K314" s="1" t="s">
        <v>19</v>
      </c>
      <c r="L314" s="1" t="s">
        <v>62</v>
      </c>
      <c r="M314" s="1">
        <f>orders[[#This Row],[Ship Date]]-orders[[#This Row],[Order Date]]</f>
        <v>1</v>
      </c>
      <c r="N314" s="1">
        <f>WEEKNUM(orders[[#This Row],[Order Date]])</f>
        <v>3</v>
      </c>
      <c r="O314" s="1" t="str" cm="1">
        <f t="array" ref="O314">_xlfn.IFS(orders[[#This Row],[Customer Gender]]="M","Male", orders[[#This Row],[Customer Gender]]="F","Female", orders[[#This Row],[Customer Gender]]="O","Other", TRUE,"Unknown")</f>
        <v>Male</v>
      </c>
    </row>
    <row r="315" spans="1:15">
      <c r="A315" s="1" t="s">
        <v>398</v>
      </c>
      <c r="B315" s="1" t="s">
        <v>37</v>
      </c>
      <c r="C315" s="1">
        <v>2</v>
      </c>
      <c r="D315" s="1">
        <v>34.9</v>
      </c>
      <c r="E315" s="11">
        <v>69.8</v>
      </c>
      <c r="F315" s="3">
        <v>45671</v>
      </c>
      <c r="G315" s="3">
        <v>45672</v>
      </c>
      <c r="H315" s="1" t="s">
        <v>27</v>
      </c>
      <c r="I315" s="1" t="s">
        <v>40</v>
      </c>
      <c r="J315" s="1">
        <v>4</v>
      </c>
      <c r="K315" s="1" t="s">
        <v>19</v>
      </c>
      <c r="L315" s="1" t="s">
        <v>72</v>
      </c>
      <c r="M315" s="1">
        <f>orders[[#This Row],[Ship Date]]-orders[[#This Row],[Order Date]]</f>
        <v>1</v>
      </c>
      <c r="N315" s="1">
        <f>WEEKNUM(orders[[#This Row],[Order Date]])</f>
        <v>3</v>
      </c>
      <c r="O315" s="1" t="str" cm="1">
        <f t="array" ref="O315">_xlfn.IFS(orders[[#This Row],[Customer Gender]]="M","Male", orders[[#This Row],[Customer Gender]]="F","Female", orders[[#This Row],[Customer Gender]]="O","Other", TRUE,"Unknown")</f>
        <v>Female</v>
      </c>
    </row>
    <row r="316" spans="1:15">
      <c r="A316" s="1" t="s">
        <v>399</v>
      </c>
      <c r="B316" s="1" t="s">
        <v>42</v>
      </c>
      <c r="C316" s="1">
        <v>6</v>
      </c>
      <c r="D316" s="1">
        <v>42.7</v>
      </c>
      <c r="E316" s="11">
        <v>256.20000000000005</v>
      </c>
      <c r="F316" s="3">
        <v>45671</v>
      </c>
      <c r="G316" s="3">
        <v>45674</v>
      </c>
      <c r="H316" s="1" t="s">
        <v>23</v>
      </c>
      <c r="I316" s="1" t="s">
        <v>40</v>
      </c>
      <c r="J316" s="1">
        <v>3</v>
      </c>
      <c r="K316" s="1" t="s">
        <v>19</v>
      </c>
      <c r="L316" s="1" t="s">
        <v>77</v>
      </c>
      <c r="M316" s="1">
        <f>orders[[#This Row],[Ship Date]]-orders[[#This Row],[Order Date]]</f>
        <v>3</v>
      </c>
      <c r="N316" s="1">
        <f>WEEKNUM(orders[[#This Row],[Order Date]])</f>
        <v>3</v>
      </c>
      <c r="O316" s="1" t="str" cm="1">
        <f t="array" ref="O316">_xlfn.IFS(orders[[#This Row],[Customer Gender]]="M","Male", orders[[#This Row],[Customer Gender]]="F","Female", orders[[#This Row],[Customer Gender]]="O","Other", TRUE,"Unknown")</f>
        <v>Male</v>
      </c>
    </row>
    <row r="317" spans="1:15">
      <c r="A317" s="1" t="s">
        <v>400</v>
      </c>
      <c r="B317" s="1" t="s">
        <v>44</v>
      </c>
      <c r="C317" s="1">
        <v>1</v>
      </c>
      <c r="D317" s="1">
        <v>23.9</v>
      </c>
      <c r="E317" s="11">
        <v>23.9</v>
      </c>
      <c r="F317" s="3">
        <v>45671</v>
      </c>
      <c r="G317" s="3">
        <v>45673</v>
      </c>
      <c r="H317" s="1" t="s">
        <v>27</v>
      </c>
      <c r="I317" s="1" t="s">
        <v>51</v>
      </c>
      <c r="J317" s="1">
        <v>4</v>
      </c>
      <c r="K317" s="1" t="s">
        <v>19</v>
      </c>
      <c r="L317" s="1" t="s">
        <v>77</v>
      </c>
      <c r="M317" s="1">
        <f>orders[[#This Row],[Ship Date]]-orders[[#This Row],[Order Date]]</f>
        <v>2</v>
      </c>
      <c r="N317" s="1">
        <f>WEEKNUM(orders[[#This Row],[Order Date]])</f>
        <v>3</v>
      </c>
      <c r="O317" s="1" t="str" cm="1">
        <f t="array" ref="O317">_xlfn.IFS(orders[[#This Row],[Customer Gender]]="M","Male", orders[[#This Row],[Customer Gender]]="F","Female", orders[[#This Row],[Customer Gender]]="O","Other", TRUE,"Unknown")</f>
        <v>Female</v>
      </c>
    </row>
    <row r="318" spans="1:15">
      <c r="A318" s="1" t="s">
        <v>401</v>
      </c>
      <c r="B318" s="1" t="s">
        <v>39</v>
      </c>
      <c r="C318" s="1">
        <v>1</v>
      </c>
      <c r="D318" s="1">
        <v>124.3</v>
      </c>
      <c r="E318" s="11">
        <v>124.3</v>
      </c>
      <c r="F318" s="3">
        <v>45671</v>
      </c>
      <c r="G318" s="3">
        <v>45672</v>
      </c>
      <c r="H318" s="1" t="s">
        <v>17</v>
      </c>
      <c r="I318" s="1" t="s">
        <v>40</v>
      </c>
      <c r="J318" s="1">
        <v>3</v>
      </c>
      <c r="K318" s="1" t="s">
        <v>19</v>
      </c>
      <c r="L318" s="1" t="s">
        <v>115</v>
      </c>
      <c r="M318" s="1">
        <f>orders[[#This Row],[Ship Date]]-orders[[#This Row],[Order Date]]</f>
        <v>1</v>
      </c>
      <c r="N318" s="1">
        <f>WEEKNUM(orders[[#This Row],[Order Date]])</f>
        <v>3</v>
      </c>
      <c r="O318" s="1" t="str" cm="1">
        <f t="array" ref="O318">_xlfn.IFS(orders[[#This Row],[Customer Gender]]="M","Male", orders[[#This Row],[Customer Gender]]="F","Female", orders[[#This Row],[Customer Gender]]="O","Other", TRUE,"Unknown")</f>
        <v>Unknown</v>
      </c>
    </row>
    <row r="319" spans="1:15">
      <c r="A319" s="1" t="s">
        <v>402</v>
      </c>
      <c r="B319" s="1" t="s">
        <v>44</v>
      </c>
      <c r="C319" s="1">
        <v>6</v>
      </c>
      <c r="D319" s="1">
        <v>35.9</v>
      </c>
      <c r="E319" s="11">
        <v>215.39999999999998</v>
      </c>
      <c r="F319" s="3">
        <v>45671</v>
      </c>
      <c r="G319" s="3">
        <v>45672</v>
      </c>
      <c r="H319" s="1" t="s">
        <v>27</v>
      </c>
      <c r="I319" s="1" t="s">
        <v>18</v>
      </c>
      <c r="J319" s="1">
        <v>3</v>
      </c>
      <c r="K319" s="1" t="s">
        <v>19</v>
      </c>
      <c r="L319" s="1" t="s">
        <v>24</v>
      </c>
      <c r="M319" s="1">
        <f>orders[[#This Row],[Ship Date]]-orders[[#This Row],[Order Date]]</f>
        <v>1</v>
      </c>
      <c r="N319" s="1">
        <f>WEEKNUM(orders[[#This Row],[Order Date]])</f>
        <v>3</v>
      </c>
      <c r="O319" s="1" t="str" cm="1">
        <f t="array" ref="O319">_xlfn.IFS(orders[[#This Row],[Customer Gender]]="M","Male", orders[[#This Row],[Customer Gender]]="F","Female", orders[[#This Row],[Customer Gender]]="O","Other", TRUE,"Unknown")</f>
        <v>Female</v>
      </c>
    </row>
    <row r="320" spans="1:15">
      <c r="A320" s="1" t="s">
        <v>403</v>
      </c>
      <c r="B320" s="1" t="s">
        <v>26</v>
      </c>
      <c r="C320" s="1">
        <v>2</v>
      </c>
      <c r="D320" s="1">
        <v>69.099999999999994</v>
      </c>
      <c r="E320" s="11">
        <v>138.19999999999999</v>
      </c>
      <c r="F320" s="3">
        <v>45671</v>
      </c>
      <c r="G320" s="3">
        <v>45674</v>
      </c>
      <c r="H320" s="1" t="s">
        <v>27</v>
      </c>
      <c r="I320" s="1" t="s">
        <v>18</v>
      </c>
      <c r="J320" s="1">
        <v>5</v>
      </c>
      <c r="K320" s="1" t="s">
        <v>19</v>
      </c>
      <c r="L320" s="1" t="s">
        <v>147</v>
      </c>
      <c r="M320" s="1">
        <f>orders[[#This Row],[Ship Date]]-orders[[#This Row],[Order Date]]</f>
        <v>3</v>
      </c>
      <c r="N320" s="1">
        <f>WEEKNUM(orders[[#This Row],[Order Date]])</f>
        <v>3</v>
      </c>
      <c r="O320" s="1" t="str" cm="1">
        <f t="array" ref="O320">_xlfn.IFS(orders[[#This Row],[Customer Gender]]="M","Male", orders[[#This Row],[Customer Gender]]="F","Female", orders[[#This Row],[Customer Gender]]="O","Other", TRUE,"Unknown")</f>
        <v>Female</v>
      </c>
    </row>
    <row r="321" spans="1:15">
      <c r="A321" s="1" t="s">
        <v>404</v>
      </c>
      <c r="B321" s="1" t="s">
        <v>42</v>
      </c>
      <c r="C321" s="1">
        <v>1</v>
      </c>
      <c r="D321" s="1">
        <v>58.4</v>
      </c>
      <c r="E321" s="11">
        <v>58.4</v>
      </c>
      <c r="F321" s="3">
        <v>45671</v>
      </c>
      <c r="G321" s="3">
        <v>45675</v>
      </c>
      <c r="H321" s="1" t="s">
        <v>23</v>
      </c>
      <c r="I321" s="1" t="s">
        <v>18</v>
      </c>
      <c r="J321" s="1">
        <v>4</v>
      </c>
      <c r="K321" s="1" t="s">
        <v>19</v>
      </c>
      <c r="L321" s="1" t="s">
        <v>147</v>
      </c>
      <c r="M321" s="1">
        <f>orders[[#This Row],[Ship Date]]-orders[[#This Row],[Order Date]]</f>
        <v>4</v>
      </c>
      <c r="N321" s="1">
        <f>WEEKNUM(orders[[#This Row],[Order Date]])</f>
        <v>3</v>
      </c>
      <c r="O321" s="1" t="str" cm="1">
        <f t="array" ref="O321">_xlfn.IFS(orders[[#This Row],[Customer Gender]]="M","Male", orders[[#This Row],[Customer Gender]]="F","Female", orders[[#This Row],[Customer Gender]]="O","Other", TRUE,"Unknown")</f>
        <v>Male</v>
      </c>
    </row>
    <row r="322" spans="1:15">
      <c r="A322" s="1" t="s">
        <v>405</v>
      </c>
      <c r="B322" s="1" t="s">
        <v>37</v>
      </c>
      <c r="C322" s="1">
        <v>1</v>
      </c>
      <c r="D322" s="1">
        <v>65.2</v>
      </c>
      <c r="E322" s="11">
        <v>65.2</v>
      </c>
      <c r="F322" s="3">
        <v>45671</v>
      </c>
      <c r="G322" s="3">
        <v>45673</v>
      </c>
      <c r="H322" s="1" t="s">
        <v>89</v>
      </c>
      <c r="I322" s="1" t="s">
        <v>70</v>
      </c>
      <c r="J322" s="1">
        <v>2</v>
      </c>
      <c r="K322" s="1" t="s">
        <v>19</v>
      </c>
      <c r="L322" s="1" t="s">
        <v>33</v>
      </c>
      <c r="M322" s="1">
        <f>orders[[#This Row],[Ship Date]]-orders[[#This Row],[Order Date]]</f>
        <v>2</v>
      </c>
      <c r="N322" s="1">
        <f>WEEKNUM(orders[[#This Row],[Order Date]])</f>
        <v>3</v>
      </c>
      <c r="O322" s="1" t="str" cm="1">
        <f t="array" ref="O322">_xlfn.IFS(orders[[#This Row],[Customer Gender]]="M","Male", orders[[#This Row],[Customer Gender]]="F","Female", orders[[#This Row],[Customer Gender]]="O","Other", TRUE,"Unknown")</f>
        <v>Other</v>
      </c>
    </row>
    <row r="323" spans="1:15">
      <c r="A323" s="1" t="s">
        <v>406</v>
      </c>
      <c r="B323" s="1" t="s">
        <v>44</v>
      </c>
      <c r="C323" s="1">
        <v>17</v>
      </c>
      <c r="D323" s="1">
        <v>32.700000000000003</v>
      </c>
      <c r="E323" s="11">
        <v>555.90000000000009</v>
      </c>
      <c r="F323" s="3">
        <v>45671</v>
      </c>
      <c r="G323" s="3">
        <v>45678</v>
      </c>
      <c r="H323" s="1" t="s">
        <v>17</v>
      </c>
      <c r="I323" s="1" t="s">
        <v>70</v>
      </c>
      <c r="J323" s="1">
        <v>4</v>
      </c>
      <c r="K323" s="1" t="s">
        <v>19</v>
      </c>
      <c r="L323" s="1" t="s">
        <v>33</v>
      </c>
      <c r="M323" s="1">
        <f>orders[[#This Row],[Ship Date]]-orders[[#This Row],[Order Date]]</f>
        <v>7</v>
      </c>
      <c r="N323" s="1">
        <f>WEEKNUM(orders[[#This Row],[Order Date]])</f>
        <v>3</v>
      </c>
      <c r="O323" s="1" t="str" cm="1">
        <f t="array" ref="O323">_xlfn.IFS(orders[[#This Row],[Customer Gender]]="M","Male", orders[[#This Row],[Customer Gender]]="F","Female", orders[[#This Row],[Customer Gender]]="O","Other", TRUE,"Unknown")</f>
        <v>Unknown</v>
      </c>
    </row>
    <row r="324" spans="1:15">
      <c r="A324" s="1" t="s">
        <v>407</v>
      </c>
      <c r="B324" s="1" t="s">
        <v>54</v>
      </c>
      <c r="C324" s="1">
        <v>7</v>
      </c>
      <c r="D324" s="1">
        <v>24.4</v>
      </c>
      <c r="E324" s="11">
        <v>170.79999999999998</v>
      </c>
      <c r="F324" s="3">
        <v>45671</v>
      </c>
      <c r="G324" s="3">
        <v>45672</v>
      </c>
      <c r="H324" s="1" t="s">
        <v>27</v>
      </c>
      <c r="I324" s="1" t="s">
        <v>18</v>
      </c>
      <c r="J324" s="1">
        <v>4</v>
      </c>
      <c r="K324" s="1" t="s">
        <v>19</v>
      </c>
      <c r="L324" s="1" t="s">
        <v>33</v>
      </c>
      <c r="M324" s="1">
        <f>orders[[#This Row],[Ship Date]]-orders[[#This Row],[Order Date]]</f>
        <v>1</v>
      </c>
      <c r="N324" s="1">
        <f>WEEKNUM(orders[[#This Row],[Order Date]])</f>
        <v>3</v>
      </c>
      <c r="O324" s="1" t="str" cm="1">
        <f t="array" ref="O324">_xlfn.IFS(orders[[#This Row],[Customer Gender]]="M","Male", orders[[#This Row],[Customer Gender]]="F","Female", orders[[#This Row],[Customer Gender]]="O","Other", TRUE,"Unknown")</f>
        <v>Female</v>
      </c>
    </row>
    <row r="325" spans="1:15">
      <c r="A325" s="1" t="s">
        <v>408</v>
      </c>
      <c r="B325" s="1" t="s">
        <v>81</v>
      </c>
      <c r="C325" s="1">
        <v>2</v>
      </c>
      <c r="D325" s="1">
        <v>50.4</v>
      </c>
      <c r="E325" s="11">
        <v>100.8</v>
      </c>
      <c r="F325" s="3">
        <v>45671</v>
      </c>
      <c r="G325" s="3">
        <v>45677</v>
      </c>
      <c r="H325" s="1" t="s">
        <v>23</v>
      </c>
      <c r="I325" s="1" t="s">
        <v>18</v>
      </c>
      <c r="J325" s="1">
        <v>3</v>
      </c>
      <c r="K325" s="1" t="s">
        <v>19</v>
      </c>
      <c r="L325" s="1" t="s">
        <v>33</v>
      </c>
      <c r="M325" s="1">
        <f>orders[[#This Row],[Ship Date]]-orders[[#This Row],[Order Date]]</f>
        <v>6</v>
      </c>
      <c r="N325" s="1">
        <f>WEEKNUM(orders[[#This Row],[Order Date]])</f>
        <v>3</v>
      </c>
      <c r="O325" s="1" t="str" cm="1">
        <f t="array" ref="O325">_xlfn.IFS(orders[[#This Row],[Customer Gender]]="M","Male", orders[[#This Row],[Customer Gender]]="F","Female", orders[[#This Row],[Customer Gender]]="O","Other", TRUE,"Unknown")</f>
        <v>Male</v>
      </c>
    </row>
    <row r="326" spans="1:15">
      <c r="A326" s="1" t="s">
        <v>409</v>
      </c>
      <c r="B326" s="1" t="s">
        <v>22</v>
      </c>
      <c r="C326" s="1">
        <v>2</v>
      </c>
      <c r="D326" s="1">
        <v>100</v>
      </c>
      <c r="E326" s="11">
        <v>200</v>
      </c>
      <c r="F326" s="3">
        <v>45671</v>
      </c>
      <c r="G326" s="3">
        <v>45672</v>
      </c>
      <c r="H326" s="1" t="s">
        <v>27</v>
      </c>
      <c r="I326" s="1" t="s">
        <v>18</v>
      </c>
      <c r="J326" s="1">
        <v>4</v>
      </c>
      <c r="K326" s="1" t="s">
        <v>19</v>
      </c>
      <c r="L326" s="1" t="s">
        <v>33</v>
      </c>
      <c r="M326" s="1">
        <f>orders[[#This Row],[Ship Date]]-orders[[#This Row],[Order Date]]</f>
        <v>1</v>
      </c>
      <c r="N326" s="1">
        <f>WEEKNUM(orders[[#This Row],[Order Date]])</f>
        <v>3</v>
      </c>
      <c r="O326" s="1" t="str" cm="1">
        <f t="array" ref="O326">_xlfn.IFS(orders[[#This Row],[Customer Gender]]="M","Male", orders[[#This Row],[Customer Gender]]="F","Female", orders[[#This Row],[Customer Gender]]="O","Other", TRUE,"Unknown")</f>
        <v>Female</v>
      </c>
    </row>
    <row r="327" spans="1:15">
      <c r="A327" s="1" t="s">
        <v>410</v>
      </c>
      <c r="B327" s="1" t="s">
        <v>54</v>
      </c>
      <c r="C327" s="1">
        <v>3</v>
      </c>
      <c r="D327" s="1">
        <v>43</v>
      </c>
      <c r="E327" s="11">
        <v>129</v>
      </c>
      <c r="F327" s="3">
        <v>45672</v>
      </c>
      <c r="G327" s="3">
        <v>45672</v>
      </c>
      <c r="H327" s="1" t="s">
        <v>27</v>
      </c>
      <c r="I327" s="1" t="s">
        <v>40</v>
      </c>
      <c r="J327" s="1">
        <v>3</v>
      </c>
      <c r="K327" s="1" t="s">
        <v>19</v>
      </c>
      <c r="L327" s="1" t="s">
        <v>33</v>
      </c>
      <c r="M327" s="1">
        <f>orders[[#This Row],[Ship Date]]-orders[[#This Row],[Order Date]]</f>
        <v>0</v>
      </c>
      <c r="N327" s="1">
        <f>WEEKNUM(orders[[#This Row],[Order Date]])</f>
        <v>3</v>
      </c>
      <c r="O327" s="1" t="str" cm="1">
        <f t="array" ref="O327">_xlfn.IFS(orders[[#This Row],[Customer Gender]]="M","Male", orders[[#This Row],[Customer Gender]]="F","Female", orders[[#This Row],[Customer Gender]]="O","Other", TRUE,"Unknown")</f>
        <v>Female</v>
      </c>
    </row>
    <row r="328" spans="1:15">
      <c r="A328" s="1" t="s">
        <v>411</v>
      </c>
      <c r="B328" s="1" t="s">
        <v>22</v>
      </c>
      <c r="C328" s="1">
        <v>5</v>
      </c>
      <c r="D328" s="1">
        <v>64.400000000000006</v>
      </c>
      <c r="E328" s="11">
        <v>322</v>
      </c>
      <c r="F328" s="3">
        <v>45672</v>
      </c>
      <c r="G328" s="3">
        <v>45674</v>
      </c>
      <c r="H328" s="1" t="s">
        <v>23</v>
      </c>
      <c r="I328" s="1" t="s">
        <v>40</v>
      </c>
      <c r="J328" s="1">
        <v>3</v>
      </c>
      <c r="K328" s="1" t="s">
        <v>19</v>
      </c>
      <c r="L328" s="1" t="s">
        <v>33</v>
      </c>
      <c r="M328" s="1">
        <f>orders[[#This Row],[Ship Date]]-orders[[#This Row],[Order Date]]</f>
        <v>2</v>
      </c>
      <c r="N328" s="1">
        <f>WEEKNUM(orders[[#This Row],[Order Date]])</f>
        <v>3</v>
      </c>
      <c r="O328" s="1" t="str" cm="1">
        <f t="array" ref="O328">_xlfn.IFS(orders[[#This Row],[Customer Gender]]="M","Male", orders[[#This Row],[Customer Gender]]="F","Female", orders[[#This Row],[Customer Gender]]="O","Other", TRUE,"Unknown")</f>
        <v>Male</v>
      </c>
    </row>
    <row r="329" spans="1:15">
      <c r="A329" s="1" t="s">
        <v>412</v>
      </c>
      <c r="B329" s="1" t="s">
        <v>146</v>
      </c>
      <c r="C329" s="1">
        <v>2</v>
      </c>
      <c r="D329" s="1">
        <v>57.4</v>
      </c>
      <c r="E329" s="11">
        <v>114.8</v>
      </c>
      <c r="F329" s="3">
        <v>45672</v>
      </c>
      <c r="G329" s="3">
        <v>45673</v>
      </c>
      <c r="H329" s="1" t="s">
        <v>23</v>
      </c>
      <c r="I329" s="1" t="s">
        <v>40</v>
      </c>
      <c r="J329" s="1">
        <v>3</v>
      </c>
      <c r="K329" s="1" t="s">
        <v>19</v>
      </c>
      <c r="L329" s="1" t="s">
        <v>33</v>
      </c>
      <c r="M329" s="1">
        <f>orders[[#This Row],[Ship Date]]-orders[[#This Row],[Order Date]]</f>
        <v>1</v>
      </c>
      <c r="N329" s="1">
        <f>WEEKNUM(orders[[#This Row],[Order Date]])</f>
        <v>3</v>
      </c>
      <c r="O329" s="1" t="str" cm="1">
        <f t="array" ref="O329">_xlfn.IFS(orders[[#This Row],[Customer Gender]]="M","Male", orders[[#This Row],[Customer Gender]]="F","Female", orders[[#This Row],[Customer Gender]]="O","Other", TRUE,"Unknown")</f>
        <v>Male</v>
      </c>
    </row>
    <row r="330" spans="1:15">
      <c r="A330" s="1" t="s">
        <v>413</v>
      </c>
      <c r="B330" s="1" t="s">
        <v>26</v>
      </c>
      <c r="C330" s="1">
        <v>3</v>
      </c>
      <c r="D330" s="1">
        <v>55.1</v>
      </c>
      <c r="E330" s="11">
        <v>165.3</v>
      </c>
      <c r="F330" s="3">
        <v>45672</v>
      </c>
      <c r="G330" s="3">
        <v>45675</v>
      </c>
      <c r="H330" s="1" t="s">
        <v>27</v>
      </c>
      <c r="I330" s="1" t="s">
        <v>35</v>
      </c>
      <c r="J330" s="1">
        <v>4</v>
      </c>
      <c r="K330" s="1" t="s">
        <v>19</v>
      </c>
      <c r="L330" s="1" t="s">
        <v>33</v>
      </c>
      <c r="M330" s="1">
        <f>orders[[#This Row],[Ship Date]]-orders[[#This Row],[Order Date]]</f>
        <v>3</v>
      </c>
      <c r="N330" s="1">
        <f>WEEKNUM(orders[[#This Row],[Order Date]])</f>
        <v>3</v>
      </c>
      <c r="O330" s="1" t="str" cm="1">
        <f t="array" ref="O330">_xlfn.IFS(orders[[#This Row],[Customer Gender]]="M","Male", orders[[#This Row],[Customer Gender]]="F","Female", orders[[#This Row],[Customer Gender]]="O","Other", TRUE,"Unknown")</f>
        <v>Female</v>
      </c>
    </row>
    <row r="331" spans="1:15">
      <c r="A331" s="1" t="s">
        <v>414</v>
      </c>
      <c r="B331" s="1" t="s">
        <v>42</v>
      </c>
      <c r="C331" s="1">
        <v>4</v>
      </c>
      <c r="D331" s="1">
        <v>45.4</v>
      </c>
      <c r="E331" s="11">
        <v>181.6</v>
      </c>
      <c r="F331" s="3">
        <v>45672</v>
      </c>
      <c r="G331" s="3">
        <v>45673</v>
      </c>
      <c r="H331" s="1" t="s">
        <v>27</v>
      </c>
      <c r="I331" s="1" t="s">
        <v>35</v>
      </c>
      <c r="J331" s="1">
        <v>4</v>
      </c>
      <c r="K331" s="1" t="s">
        <v>19</v>
      </c>
      <c r="L331" s="1" t="s">
        <v>33</v>
      </c>
      <c r="M331" s="1">
        <f>orders[[#This Row],[Ship Date]]-orders[[#This Row],[Order Date]]</f>
        <v>1</v>
      </c>
      <c r="N331" s="1">
        <f>WEEKNUM(orders[[#This Row],[Order Date]])</f>
        <v>3</v>
      </c>
      <c r="O331" s="1" t="str" cm="1">
        <f t="array" ref="O331">_xlfn.IFS(orders[[#This Row],[Customer Gender]]="M","Male", orders[[#This Row],[Customer Gender]]="F","Female", orders[[#This Row],[Customer Gender]]="O","Other", TRUE,"Unknown")</f>
        <v>Female</v>
      </c>
    </row>
    <row r="332" spans="1:15">
      <c r="A332" s="1" t="s">
        <v>415</v>
      </c>
      <c r="B332" s="1" t="s">
        <v>30</v>
      </c>
      <c r="C332" s="1">
        <v>3</v>
      </c>
      <c r="D332" s="1">
        <v>93.3</v>
      </c>
      <c r="E332" s="11">
        <v>279.89999999999998</v>
      </c>
      <c r="F332" s="3">
        <v>45672</v>
      </c>
      <c r="G332" s="3">
        <v>45673</v>
      </c>
      <c r="H332" s="1" t="s">
        <v>27</v>
      </c>
      <c r="I332" s="1" t="s">
        <v>18</v>
      </c>
      <c r="J332" s="1">
        <v>4</v>
      </c>
      <c r="K332" s="1" t="s">
        <v>19</v>
      </c>
      <c r="L332" s="1" t="s">
        <v>416</v>
      </c>
      <c r="M332" s="1">
        <f>orders[[#This Row],[Ship Date]]-orders[[#This Row],[Order Date]]</f>
        <v>1</v>
      </c>
      <c r="N332" s="1">
        <f>WEEKNUM(orders[[#This Row],[Order Date]])</f>
        <v>3</v>
      </c>
      <c r="O332" s="1" t="str" cm="1">
        <f t="array" ref="O332">_xlfn.IFS(orders[[#This Row],[Customer Gender]]="M","Male", orders[[#This Row],[Customer Gender]]="F","Female", orders[[#This Row],[Customer Gender]]="O","Other", TRUE,"Unknown")</f>
        <v>Female</v>
      </c>
    </row>
    <row r="333" spans="1:15">
      <c r="A333" s="1" t="s">
        <v>417</v>
      </c>
      <c r="B333" s="1" t="s">
        <v>26</v>
      </c>
      <c r="C333" s="1">
        <v>19</v>
      </c>
      <c r="D333" s="1">
        <v>158.19999999999999</v>
      </c>
      <c r="E333" s="11">
        <v>3005.7999999999997</v>
      </c>
      <c r="F333" s="3">
        <v>45672</v>
      </c>
      <c r="G333" s="3">
        <v>45673</v>
      </c>
      <c r="H333" s="1" t="s">
        <v>27</v>
      </c>
      <c r="I333" s="1" t="s">
        <v>35</v>
      </c>
      <c r="J333" s="1">
        <v>5</v>
      </c>
      <c r="K333" s="1" t="s">
        <v>19</v>
      </c>
      <c r="L333" s="1" t="s">
        <v>98</v>
      </c>
      <c r="M333" s="1">
        <f>orders[[#This Row],[Ship Date]]-orders[[#This Row],[Order Date]]</f>
        <v>1</v>
      </c>
      <c r="N333" s="1">
        <f>WEEKNUM(orders[[#This Row],[Order Date]])</f>
        <v>3</v>
      </c>
      <c r="O333" s="1" t="str" cm="1">
        <f t="array" ref="O333">_xlfn.IFS(orders[[#This Row],[Customer Gender]]="M","Male", orders[[#This Row],[Customer Gender]]="F","Female", orders[[#This Row],[Customer Gender]]="O","Other", TRUE,"Unknown")</f>
        <v>Female</v>
      </c>
    </row>
    <row r="334" spans="1:15">
      <c r="A334" s="1" t="s">
        <v>418</v>
      </c>
      <c r="B334" s="1" t="s">
        <v>26</v>
      </c>
      <c r="C334" s="1">
        <v>2</v>
      </c>
      <c r="D334" s="1">
        <v>74.900000000000006</v>
      </c>
      <c r="E334" s="11">
        <v>149.80000000000001</v>
      </c>
      <c r="F334" s="3">
        <v>45672</v>
      </c>
      <c r="G334" s="3">
        <v>45674</v>
      </c>
      <c r="H334" s="1" t="s">
        <v>23</v>
      </c>
      <c r="I334" s="1" t="s">
        <v>51</v>
      </c>
      <c r="J334" s="1">
        <v>4</v>
      </c>
      <c r="K334" s="1" t="s">
        <v>19</v>
      </c>
      <c r="L334" s="1" t="s">
        <v>55</v>
      </c>
      <c r="M334" s="1">
        <f>orders[[#This Row],[Ship Date]]-orders[[#This Row],[Order Date]]</f>
        <v>2</v>
      </c>
      <c r="N334" s="1">
        <f>WEEKNUM(orders[[#This Row],[Order Date]])</f>
        <v>3</v>
      </c>
      <c r="O334" s="1" t="str" cm="1">
        <f t="array" ref="O334">_xlfn.IFS(orders[[#This Row],[Customer Gender]]="M","Male", orders[[#This Row],[Customer Gender]]="F","Female", orders[[#This Row],[Customer Gender]]="O","Other", TRUE,"Unknown")</f>
        <v>Male</v>
      </c>
    </row>
    <row r="335" spans="1:15">
      <c r="A335" s="1" t="s">
        <v>419</v>
      </c>
      <c r="B335" s="1" t="s">
        <v>44</v>
      </c>
      <c r="C335" s="1">
        <v>7</v>
      </c>
      <c r="D335" s="1">
        <v>26</v>
      </c>
      <c r="E335" s="11">
        <v>182</v>
      </c>
      <c r="F335" s="3">
        <v>45672</v>
      </c>
      <c r="G335" s="3">
        <v>45675</v>
      </c>
      <c r="H335" s="1" t="s">
        <v>27</v>
      </c>
      <c r="I335" s="1" t="s">
        <v>35</v>
      </c>
      <c r="J335" s="1">
        <v>4</v>
      </c>
      <c r="K335" s="1" t="s">
        <v>19</v>
      </c>
      <c r="L335" s="1" t="s">
        <v>62</v>
      </c>
      <c r="M335" s="1">
        <f>orders[[#This Row],[Ship Date]]-orders[[#This Row],[Order Date]]</f>
        <v>3</v>
      </c>
      <c r="N335" s="1">
        <f>WEEKNUM(orders[[#This Row],[Order Date]])</f>
        <v>3</v>
      </c>
      <c r="O335" s="1" t="str" cm="1">
        <f t="array" ref="O335">_xlfn.IFS(orders[[#This Row],[Customer Gender]]="M","Male", orders[[#This Row],[Customer Gender]]="F","Female", orders[[#This Row],[Customer Gender]]="O","Other", TRUE,"Unknown")</f>
        <v>Female</v>
      </c>
    </row>
    <row r="336" spans="1:15">
      <c r="A336" s="1" t="s">
        <v>420</v>
      </c>
      <c r="B336" s="1" t="s">
        <v>46</v>
      </c>
      <c r="C336" s="1">
        <v>6</v>
      </c>
      <c r="D336" s="1">
        <v>37.5</v>
      </c>
      <c r="E336" s="11">
        <v>225</v>
      </c>
      <c r="F336" s="3">
        <v>45672</v>
      </c>
      <c r="G336" s="3">
        <v>45673</v>
      </c>
      <c r="H336" s="1" t="s">
        <v>27</v>
      </c>
      <c r="I336" s="1" t="s">
        <v>18</v>
      </c>
      <c r="J336" s="1">
        <v>3</v>
      </c>
      <c r="K336" s="1" t="s">
        <v>19</v>
      </c>
      <c r="L336" s="1" t="s">
        <v>62</v>
      </c>
      <c r="M336" s="1">
        <f>orders[[#This Row],[Ship Date]]-orders[[#This Row],[Order Date]]</f>
        <v>1</v>
      </c>
      <c r="N336" s="1">
        <f>WEEKNUM(orders[[#This Row],[Order Date]])</f>
        <v>3</v>
      </c>
      <c r="O336" s="1" t="str" cm="1">
        <f t="array" ref="O336">_xlfn.IFS(orders[[#This Row],[Customer Gender]]="M","Male", orders[[#This Row],[Customer Gender]]="F","Female", orders[[#This Row],[Customer Gender]]="O","Other", TRUE,"Unknown")</f>
        <v>Female</v>
      </c>
    </row>
    <row r="337" spans="1:15">
      <c r="A337" s="1" t="s">
        <v>421</v>
      </c>
      <c r="B337" s="1" t="s">
        <v>39</v>
      </c>
      <c r="C337" s="1">
        <v>2</v>
      </c>
      <c r="D337" s="1">
        <v>75.8</v>
      </c>
      <c r="E337" s="11">
        <v>151.6</v>
      </c>
      <c r="F337" s="3">
        <v>45672</v>
      </c>
      <c r="G337" s="3">
        <v>45678</v>
      </c>
      <c r="H337" s="1" t="s">
        <v>23</v>
      </c>
      <c r="I337" s="1" t="s">
        <v>18</v>
      </c>
      <c r="J337" s="1">
        <v>4</v>
      </c>
      <c r="K337" s="1" t="s">
        <v>19</v>
      </c>
      <c r="L337" s="1" t="s">
        <v>62</v>
      </c>
      <c r="M337" s="1">
        <f>orders[[#This Row],[Ship Date]]-orders[[#This Row],[Order Date]]</f>
        <v>6</v>
      </c>
      <c r="N337" s="1">
        <f>WEEKNUM(orders[[#This Row],[Order Date]])</f>
        <v>3</v>
      </c>
      <c r="O337" s="1" t="str" cm="1">
        <f t="array" ref="O337">_xlfn.IFS(orders[[#This Row],[Customer Gender]]="M","Male", orders[[#This Row],[Customer Gender]]="F","Female", orders[[#This Row],[Customer Gender]]="O","Other", TRUE,"Unknown")</f>
        <v>Male</v>
      </c>
    </row>
    <row r="338" spans="1:15">
      <c r="A338" s="1" t="s">
        <v>422</v>
      </c>
      <c r="B338" s="1" t="s">
        <v>42</v>
      </c>
      <c r="C338" s="1">
        <v>1</v>
      </c>
      <c r="D338" s="1">
        <v>48.5</v>
      </c>
      <c r="E338" s="11">
        <v>48.5</v>
      </c>
      <c r="F338" s="3">
        <v>45672</v>
      </c>
      <c r="G338" s="3">
        <v>45684</v>
      </c>
      <c r="H338" s="1" t="s">
        <v>17</v>
      </c>
      <c r="I338" s="1" t="s">
        <v>70</v>
      </c>
      <c r="J338" s="1">
        <v>5</v>
      </c>
      <c r="K338" s="1" t="s">
        <v>19</v>
      </c>
      <c r="L338" s="1" t="s">
        <v>62</v>
      </c>
      <c r="M338" s="1">
        <f>orders[[#This Row],[Ship Date]]-orders[[#This Row],[Order Date]]</f>
        <v>12</v>
      </c>
      <c r="N338" s="1">
        <f>WEEKNUM(orders[[#This Row],[Order Date]])</f>
        <v>3</v>
      </c>
      <c r="O338" s="1" t="str" cm="1">
        <f t="array" ref="O338">_xlfn.IFS(orders[[#This Row],[Customer Gender]]="M","Male", orders[[#This Row],[Customer Gender]]="F","Female", orders[[#This Row],[Customer Gender]]="O","Other", TRUE,"Unknown")</f>
        <v>Unknown</v>
      </c>
    </row>
    <row r="339" spans="1:15">
      <c r="A339" s="1" t="s">
        <v>423</v>
      </c>
      <c r="B339" s="1" t="s">
        <v>39</v>
      </c>
      <c r="C339" s="1">
        <v>3</v>
      </c>
      <c r="D339" s="1">
        <v>98.9</v>
      </c>
      <c r="E339" s="11">
        <v>296.70000000000005</v>
      </c>
      <c r="F339" s="3">
        <v>45672</v>
      </c>
      <c r="G339" s="3">
        <v>45674</v>
      </c>
      <c r="H339" s="1" t="s">
        <v>27</v>
      </c>
      <c r="I339" s="1" t="s">
        <v>70</v>
      </c>
      <c r="J339" s="1">
        <v>3</v>
      </c>
      <c r="K339" s="1" t="s">
        <v>19</v>
      </c>
      <c r="L339" s="1" t="s">
        <v>62</v>
      </c>
      <c r="M339" s="1">
        <f>orders[[#This Row],[Ship Date]]-orders[[#This Row],[Order Date]]</f>
        <v>2</v>
      </c>
      <c r="N339" s="1">
        <f>WEEKNUM(orders[[#This Row],[Order Date]])</f>
        <v>3</v>
      </c>
      <c r="O339" s="1" t="str" cm="1">
        <f t="array" ref="O339">_xlfn.IFS(orders[[#This Row],[Customer Gender]]="M","Male", orders[[#This Row],[Customer Gender]]="F","Female", orders[[#This Row],[Customer Gender]]="O","Other", TRUE,"Unknown")</f>
        <v>Female</v>
      </c>
    </row>
    <row r="340" spans="1:15">
      <c r="A340" s="1" t="s">
        <v>424</v>
      </c>
      <c r="B340" s="1" t="s">
        <v>22</v>
      </c>
      <c r="C340" s="1">
        <v>12</v>
      </c>
      <c r="D340" s="1">
        <v>50.9</v>
      </c>
      <c r="E340" s="11">
        <v>610.79999999999995</v>
      </c>
      <c r="F340" s="3">
        <v>45672</v>
      </c>
      <c r="G340" s="3">
        <v>45672</v>
      </c>
      <c r="H340" s="1" t="s">
        <v>23</v>
      </c>
      <c r="I340" s="1" t="s">
        <v>70</v>
      </c>
      <c r="J340" s="1">
        <v>4</v>
      </c>
      <c r="K340" s="1" t="s">
        <v>19</v>
      </c>
      <c r="L340" s="1" t="s">
        <v>62</v>
      </c>
      <c r="M340" s="1">
        <f>orders[[#This Row],[Ship Date]]-orders[[#This Row],[Order Date]]</f>
        <v>0</v>
      </c>
      <c r="N340" s="1">
        <f>WEEKNUM(orders[[#This Row],[Order Date]])</f>
        <v>3</v>
      </c>
      <c r="O340" s="1" t="str" cm="1">
        <f t="array" ref="O340">_xlfn.IFS(orders[[#This Row],[Customer Gender]]="M","Male", orders[[#This Row],[Customer Gender]]="F","Female", orders[[#This Row],[Customer Gender]]="O","Other", TRUE,"Unknown")</f>
        <v>Male</v>
      </c>
    </row>
    <row r="341" spans="1:15">
      <c r="A341" s="1" t="s">
        <v>425</v>
      </c>
      <c r="B341" s="1" t="s">
        <v>69</v>
      </c>
      <c r="C341" s="1">
        <v>6</v>
      </c>
      <c r="D341" s="1">
        <v>84.7</v>
      </c>
      <c r="E341" s="11">
        <v>508.20000000000005</v>
      </c>
      <c r="F341" s="3">
        <v>45672</v>
      </c>
      <c r="G341" s="3">
        <v>45672</v>
      </c>
      <c r="H341" s="1" t="s">
        <v>27</v>
      </c>
      <c r="I341" s="1" t="s">
        <v>40</v>
      </c>
      <c r="J341" s="1">
        <v>4</v>
      </c>
      <c r="K341" s="1" t="s">
        <v>19</v>
      </c>
      <c r="L341" s="1" t="s">
        <v>62</v>
      </c>
      <c r="M341" s="1">
        <f>orders[[#This Row],[Ship Date]]-orders[[#This Row],[Order Date]]</f>
        <v>0</v>
      </c>
      <c r="N341" s="1">
        <f>WEEKNUM(orders[[#This Row],[Order Date]])</f>
        <v>3</v>
      </c>
      <c r="O341" s="1" t="str" cm="1">
        <f t="array" ref="O341">_xlfn.IFS(orders[[#This Row],[Customer Gender]]="M","Male", orders[[#This Row],[Customer Gender]]="F","Female", orders[[#This Row],[Customer Gender]]="O","Other", TRUE,"Unknown")</f>
        <v>Female</v>
      </c>
    </row>
    <row r="342" spans="1:15">
      <c r="A342" s="1" t="s">
        <v>426</v>
      </c>
      <c r="B342" s="1" t="s">
        <v>44</v>
      </c>
      <c r="C342" s="1">
        <v>1</v>
      </c>
      <c r="D342" s="1">
        <v>20.7</v>
      </c>
      <c r="E342" s="11">
        <v>20.7</v>
      </c>
      <c r="F342" s="3">
        <v>45672</v>
      </c>
      <c r="G342" s="3">
        <v>45674</v>
      </c>
      <c r="H342" s="1" t="s">
        <v>27</v>
      </c>
      <c r="I342" s="1" t="s">
        <v>51</v>
      </c>
      <c r="J342" s="1">
        <v>5</v>
      </c>
      <c r="K342" s="1" t="s">
        <v>19</v>
      </c>
      <c r="L342" s="1" t="s">
        <v>62</v>
      </c>
      <c r="M342" s="1">
        <f>orders[[#This Row],[Ship Date]]-orders[[#This Row],[Order Date]]</f>
        <v>2</v>
      </c>
      <c r="N342" s="1">
        <f>WEEKNUM(orders[[#This Row],[Order Date]])</f>
        <v>3</v>
      </c>
      <c r="O342" s="1" t="str" cm="1">
        <f t="array" ref="O342">_xlfn.IFS(orders[[#This Row],[Customer Gender]]="M","Male", orders[[#This Row],[Customer Gender]]="F","Female", orders[[#This Row],[Customer Gender]]="O","Other", TRUE,"Unknown")</f>
        <v>Female</v>
      </c>
    </row>
    <row r="343" spans="1:15">
      <c r="A343" s="1" t="s">
        <v>427</v>
      </c>
      <c r="B343" s="1" t="s">
        <v>69</v>
      </c>
      <c r="C343" s="1">
        <v>9</v>
      </c>
      <c r="D343" s="1">
        <v>57.8</v>
      </c>
      <c r="E343" s="11">
        <v>520.19999999999993</v>
      </c>
      <c r="F343" s="3">
        <v>45672</v>
      </c>
      <c r="G343" s="3">
        <v>45683</v>
      </c>
      <c r="H343" s="1" t="s">
        <v>23</v>
      </c>
      <c r="I343" s="1" t="s">
        <v>18</v>
      </c>
      <c r="J343" s="1">
        <v>2</v>
      </c>
      <c r="K343" s="1" t="s">
        <v>19</v>
      </c>
      <c r="L343" s="1" t="s">
        <v>103</v>
      </c>
      <c r="M343" s="1">
        <f>orders[[#This Row],[Ship Date]]-orders[[#This Row],[Order Date]]</f>
        <v>11</v>
      </c>
      <c r="N343" s="1">
        <f>WEEKNUM(orders[[#This Row],[Order Date]])</f>
        <v>3</v>
      </c>
      <c r="O343" s="1" t="str" cm="1">
        <f t="array" ref="O343">_xlfn.IFS(orders[[#This Row],[Customer Gender]]="M","Male", orders[[#This Row],[Customer Gender]]="F","Female", orders[[#This Row],[Customer Gender]]="O","Other", TRUE,"Unknown")</f>
        <v>Male</v>
      </c>
    </row>
    <row r="344" spans="1:15">
      <c r="A344" s="1" t="s">
        <v>428</v>
      </c>
      <c r="B344" s="1" t="s">
        <v>26</v>
      </c>
      <c r="C344" s="1">
        <v>2</v>
      </c>
      <c r="D344" s="1">
        <v>106.9</v>
      </c>
      <c r="E344" s="11">
        <v>213.8</v>
      </c>
      <c r="F344" s="3">
        <v>45672</v>
      </c>
      <c r="G344" s="3">
        <v>45674</v>
      </c>
      <c r="H344" s="1" t="s">
        <v>27</v>
      </c>
      <c r="I344" s="1" t="s">
        <v>18</v>
      </c>
      <c r="J344" s="1">
        <v>5</v>
      </c>
      <c r="K344" s="1" t="s">
        <v>19</v>
      </c>
      <c r="L344" s="1" t="s">
        <v>429</v>
      </c>
      <c r="M344" s="1">
        <f>orders[[#This Row],[Ship Date]]-orders[[#This Row],[Order Date]]</f>
        <v>2</v>
      </c>
      <c r="N344" s="1">
        <f>WEEKNUM(orders[[#This Row],[Order Date]])</f>
        <v>3</v>
      </c>
      <c r="O344" s="1" t="str" cm="1">
        <f t="array" ref="O344">_xlfn.IFS(orders[[#This Row],[Customer Gender]]="M","Male", orders[[#This Row],[Customer Gender]]="F","Female", orders[[#This Row],[Customer Gender]]="O","Other", TRUE,"Unknown")</f>
        <v>Female</v>
      </c>
    </row>
    <row r="345" spans="1:15">
      <c r="A345" s="1" t="s">
        <v>430</v>
      </c>
      <c r="B345" s="1" t="s">
        <v>30</v>
      </c>
      <c r="C345" s="1">
        <v>5</v>
      </c>
      <c r="D345" s="1">
        <v>45.2</v>
      </c>
      <c r="E345" s="11">
        <v>226</v>
      </c>
      <c r="F345" s="3">
        <v>45672</v>
      </c>
      <c r="G345" s="3">
        <v>45676</v>
      </c>
      <c r="H345" s="1" t="s">
        <v>27</v>
      </c>
      <c r="I345" s="1" t="s">
        <v>35</v>
      </c>
      <c r="J345" s="1">
        <v>4</v>
      </c>
      <c r="K345" s="1" t="s">
        <v>19</v>
      </c>
      <c r="L345" s="1" t="s">
        <v>115</v>
      </c>
      <c r="M345" s="1">
        <f>orders[[#This Row],[Ship Date]]-orders[[#This Row],[Order Date]]</f>
        <v>4</v>
      </c>
      <c r="N345" s="1">
        <f>WEEKNUM(orders[[#This Row],[Order Date]])</f>
        <v>3</v>
      </c>
      <c r="O345" s="1" t="str" cm="1">
        <f t="array" ref="O345">_xlfn.IFS(orders[[#This Row],[Customer Gender]]="M","Male", orders[[#This Row],[Customer Gender]]="F","Female", orders[[#This Row],[Customer Gender]]="O","Other", TRUE,"Unknown")</f>
        <v>Female</v>
      </c>
    </row>
    <row r="346" spans="1:15">
      <c r="A346" s="1" t="s">
        <v>431</v>
      </c>
      <c r="B346" s="1" t="s">
        <v>44</v>
      </c>
      <c r="C346" s="1">
        <v>13</v>
      </c>
      <c r="D346" s="1">
        <v>34.6</v>
      </c>
      <c r="E346" s="11">
        <v>449.8</v>
      </c>
      <c r="F346" s="3">
        <v>45672</v>
      </c>
      <c r="G346" s="3">
        <v>45672</v>
      </c>
      <c r="H346" s="1" t="s">
        <v>27</v>
      </c>
      <c r="I346" s="1" t="s">
        <v>35</v>
      </c>
      <c r="J346" s="1">
        <v>3</v>
      </c>
      <c r="K346" s="1" t="s">
        <v>19</v>
      </c>
      <c r="L346" s="1" t="s">
        <v>115</v>
      </c>
      <c r="M346" s="1">
        <f>orders[[#This Row],[Ship Date]]-orders[[#This Row],[Order Date]]</f>
        <v>0</v>
      </c>
      <c r="N346" s="1">
        <f>WEEKNUM(orders[[#This Row],[Order Date]])</f>
        <v>3</v>
      </c>
      <c r="O346" s="1" t="str" cm="1">
        <f t="array" ref="O346">_xlfn.IFS(orders[[#This Row],[Customer Gender]]="M","Male", orders[[#This Row],[Customer Gender]]="F","Female", orders[[#This Row],[Customer Gender]]="O","Other", TRUE,"Unknown")</f>
        <v>Female</v>
      </c>
    </row>
    <row r="347" spans="1:15">
      <c r="A347" s="1" t="s">
        <v>432</v>
      </c>
      <c r="B347" s="1" t="s">
        <v>123</v>
      </c>
      <c r="C347" s="1">
        <v>1</v>
      </c>
      <c r="D347" s="1">
        <v>43.8</v>
      </c>
      <c r="E347" s="11">
        <v>43.8</v>
      </c>
      <c r="F347" s="3">
        <v>45672</v>
      </c>
      <c r="G347" s="3">
        <v>45674</v>
      </c>
      <c r="H347" s="1" t="s">
        <v>17</v>
      </c>
      <c r="I347" s="1" t="s">
        <v>18</v>
      </c>
      <c r="J347" s="1">
        <v>5</v>
      </c>
      <c r="K347" s="1" t="s">
        <v>19</v>
      </c>
      <c r="L347" s="1" t="s">
        <v>115</v>
      </c>
      <c r="M347" s="1">
        <f>orders[[#This Row],[Ship Date]]-orders[[#This Row],[Order Date]]</f>
        <v>2</v>
      </c>
      <c r="N347" s="1">
        <f>WEEKNUM(orders[[#This Row],[Order Date]])</f>
        <v>3</v>
      </c>
      <c r="O347" s="1" t="str" cm="1">
        <f t="array" ref="O347">_xlfn.IFS(orders[[#This Row],[Customer Gender]]="M","Male", orders[[#This Row],[Customer Gender]]="F","Female", orders[[#This Row],[Customer Gender]]="O","Other", TRUE,"Unknown")</f>
        <v>Unknown</v>
      </c>
    </row>
    <row r="348" spans="1:15">
      <c r="A348" s="1" t="s">
        <v>433</v>
      </c>
      <c r="B348" s="1" t="s">
        <v>123</v>
      </c>
      <c r="C348" s="1">
        <v>1</v>
      </c>
      <c r="D348" s="1">
        <v>20.399999999999999</v>
      </c>
      <c r="E348" s="11">
        <v>20.399999999999999</v>
      </c>
      <c r="F348" s="3">
        <v>45672</v>
      </c>
      <c r="G348" s="3">
        <v>45674</v>
      </c>
      <c r="H348" s="1" t="s">
        <v>23</v>
      </c>
      <c r="I348" s="1" t="s">
        <v>70</v>
      </c>
      <c r="J348" s="1">
        <v>3</v>
      </c>
      <c r="K348" s="1" t="s">
        <v>19</v>
      </c>
      <c r="L348" s="1" t="s">
        <v>115</v>
      </c>
      <c r="M348" s="1">
        <f>orders[[#This Row],[Ship Date]]-orders[[#This Row],[Order Date]]</f>
        <v>2</v>
      </c>
      <c r="N348" s="1">
        <f>WEEKNUM(orders[[#This Row],[Order Date]])</f>
        <v>3</v>
      </c>
      <c r="O348" s="1" t="str" cm="1">
        <f t="array" ref="O348">_xlfn.IFS(orders[[#This Row],[Customer Gender]]="M","Male", orders[[#This Row],[Customer Gender]]="F","Female", orders[[#This Row],[Customer Gender]]="O","Other", TRUE,"Unknown")</f>
        <v>Male</v>
      </c>
    </row>
    <row r="349" spans="1:15">
      <c r="A349" s="1" t="s">
        <v>434</v>
      </c>
      <c r="B349" s="1" t="s">
        <v>22</v>
      </c>
      <c r="C349" s="1">
        <v>1</v>
      </c>
      <c r="D349" s="1">
        <v>36.700000000000003</v>
      </c>
      <c r="E349" s="11">
        <v>36.700000000000003</v>
      </c>
      <c r="F349" s="3">
        <v>45672</v>
      </c>
      <c r="G349" s="3">
        <v>45673</v>
      </c>
      <c r="H349" s="1" t="s">
        <v>23</v>
      </c>
      <c r="I349" s="1" t="s">
        <v>18</v>
      </c>
      <c r="J349" s="1">
        <v>3</v>
      </c>
      <c r="K349" s="1" t="s">
        <v>19</v>
      </c>
      <c r="L349" s="1" t="s">
        <v>24</v>
      </c>
      <c r="M349" s="1">
        <f>orders[[#This Row],[Ship Date]]-orders[[#This Row],[Order Date]]</f>
        <v>1</v>
      </c>
      <c r="N349" s="1">
        <f>WEEKNUM(orders[[#This Row],[Order Date]])</f>
        <v>3</v>
      </c>
      <c r="O349" s="1" t="str" cm="1">
        <f t="array" ref="O349">_xlfn.IFS(orders[[#This Row],[Customer Gender]]="M","Male", orders[[#This Row],[Customer Gender]]="F","Female", orders[[#This Row],[Customer Gender]]="O","Other", TRUE,"Unknown")</f>
        <v>Male</v>
      </c>
    </row>
    <row r="350" spans="1:15">
      <c r="A350" s="1" t="s">
        <v>435</v>
      </c>
      <c r="B350" s="1" t="s">
        <v>44</v>
      </c>
      <c r="C350" s="1">
        <v>3</v>
      </c>
      <c r="D350" s="1">
        <v>27.2</v>
      </c>
      <c r="E350" s="11">
        <v>81.599999999999994</v>
      </c>
      <c r="F350" s="3">
        <v>45672</v>
      </c>
      <c r="G350" s="3">
        <v>45676</v>
      </c>
      <c r="H350" s="1" t="s">
        <v>23</v>
      </c>
      <c r="I350" s="1" t="s">
        <v>18</v>
      </c>
      <c r="J350" s="1">
        <v>5</v>
      </c>
      <c r="K350" s="1" t="s">
        <v>19</v>
      </c>
      <c r="L350" s="1" t="s">
        <v>24</v>
      </c>
      <c r="M350" s="1">
        <f>orders[[#This Row],[Ship Date]]-orders[[#This Row],[Order Date]]</f>
        <v>4</v>
      </c>
      <c r="N350" s="1">
        <f>WEEKNUM(orders[[#This Row],[Order Date]])</f>
        <v>3</v>
      </c>
      <c r="O350" s="1" t="str" cm="1">
        <f t="array" ref="O350">_xlfn.IFS(orders[[#This Row],[Customer Gender]]="M","Male", orders[[#This Row],[Customer Gender]]="F","Female", orders[[#This Row],[Customer Gender]]="O","Other", TRUE,"Unknown")</f>
        <v>Male</v>
      </c>
    </row>
    <row r="351" spans="1:15">
      <c r="A351" s="1" t="s">
        <v>436</v>
      </c>
      <c r="B351" s="1" t="s">
        <v>39</v>
      </c>
      <c r="C351" s="1">
        <v>1</v>
      </c>
      <c r="D351" s="1">
        <v>58.2</v>
      </c>
      <c r="E351" s="11">
        <v>58.2</v>
      </c>
      <c r="F351" s="3">
        <v>45672</v>
      </c>
      <c r="G351" s="3">
        <v>45673</v>
      </c>
      <c r="H351" s="1" t="s">
        <v>27</v>
      </c>
      <c r="I351" s="1" t="s">
        <v>18</v>
      </c>
      <c r="J351" s="1">
        <v>5</v>
      </c>
      <c r="K351" s="1" t="s">
        <v>19</v>
      </c>
      <c r="L351" s="1" t="s">
        <v>437</v>
      </c>
      <c r="M351" s="1">
        <f>orders[[#This Row],[Ship Date]]-orders[[#This Row],[Order Date]]</f>
        <v>1</v>
      </c>
      <c r="N351" s="1">
        <f>WEEKNUM(orders[[#This Row],[Order Date]])</f>
        <v>3</v>
      </c>
      <c r="O351" s="1" t="str" cm="1">
        <f t="array" ref="O351">_xlfn.IFS(orders[[#This Row],[Customer Gender]]="M","Male", orders[[#This Row],[Customer Gender]]="F","Female", orders[[#This Row],[Customer Gender]]="O","Other", TRUE,"Unknown")</f>
        <v>Female</v>
      </c>
    </row>
    <row r="352" spans="1:15">
      <c r="A352" s="1" t="s">
        <v>438</v>
      </c>
      <c r="B352" s="1" t="s">
        <v>44</v>
      </c>
      <c r="C352" s="1">
        <v>3</v>
      </c>
      <c r="D352" s="1">
        <v>25.6</v>
      </c>
      <c r="E352" s="11">
        <v>76.800000000000011</v>
      </c>
      <c r="F352" s="3">
        <v>45672</v>
      </c>
      <c r="G352" s="3">
        <v>45673</v>
      </c>
      <c r="H352" s="1" t="s">
        <v>23</v>
      </c>
      <c r="I352" s="1" t="s">
        <v>70</v>
      </c>
      <c r="J352" s="1">
        <v>2</v>
      </c>
      <c r="K352" s="1" t="s">
        <v>19</v>
      </c>
      <c r="L352" s="1" t="s">
        <v>28</v>
      </c>
      <c r="M352" s="1">
        <f>orders[[#This Row],[Ship Date]]-orders[[#This Row],[Order Date]]</f>
        <v>1</v>
      </c>
      <c r="N352" s="1">
        <f>WEEKNUM(orders[[#This Row],[Order Date]])</f>
        <v>3</v>
      </c>
      <c r="O352" s="1" t="str" cm="1">
        <f t="array" ref="O352">_xlfn.IFS(orders[[#This Row],[Customer Gender]]="M","Male", orders[[#This Row],[Customer Gender]]="F","Female", orders[[#This Row],[Customer Gender]]="O","Other", TRUE,"Unknown")</f>
        <v>Male</v>
      </c>
    </row>
    <row r="353" spans="1:15">
      <c r="A353" s="1" t="s">
        <v>439</v>
      </c>
      <c r="B353" s="1" t="s">
        <v>54</v>
      </c>
      <c r="C353" s="1">
        <v>1</v>
      </c>
      <c r="D353" s="1">
        <v>21.2</v>
      </c>
      <c r="E353" s="11">
        <v>21.2</v>
      </c>
      <c r="F353" s="3">
        <v>45672</v>
      </c>
      <c r="G353" s="3">
        <v>45672</v>
      </c>
      <c r="H353" s="1" t="s">
        <v>27</v>
      </c>
      <c r="I353" s="1" t="s">
        <v>35</v>
      </c>
      <c r="J353" s="1">
        <v>5</v>
      </c>
      <c r="K353" s="1" t="s">
        <v>19</v>
      </c>
      <c r="L353" s="1" t="s">
        <v>33</v>
      </c>
      <c r="M353" s="1">
        <f>orders[[#This Row],[Ship Date]]-orders[[#This Row],[Order Date]]</f>
        <v>0</v>
      </c>
      <c r="N353" s="1">
        <f>WEEKNUM(orders[[#This Row],[Order Date]])</f>
        <v>3</v>
      </c>
      <c r="O353" s="1" t="str" cm="1">
        <f t="array" ref="O353">_xlfn.IFS(orders[[#This Row],[Customer Gender]]="M","Male", orders[[#This Row],[Customer Gender]]="F","Female", orders[[#This Row],[Customer Gender]]="O","Other", TRUE,"Unknown")</f>
        <v>Female</v>
      </c>
    </row>
    <row r="354" spans="1:15">
      <c r="A354" s="1" t="s">
        <v>440</v>
      </c>
      <c r="B354" s="1" t="s">
        <v>39</v>
      </c>
      <c r="C354" s="1">
        <v>2</v>
      </c>
      <c r="D354" s="1">
        <v>48.2</v>
      </c>
      <c r="E354" s="11">
        <v>96.4</v>
      </c>
      <c r="F354" s="3">
        <v>45672</v>
      </c>
      <c r="G354" s="3">
        <v>45680</v>
      </c>
      <c r="H354" s="1" t="s">
        <v>27</v>
      </c>
      <c r="I354" s="1" t="s">
        <v>18</v>
      </c>
      <c r="J354" s="1">
        <v>5</v>
      </c>
      <c r="K354" s="1" t="s">
        <v>19</v>
      </c>
      <c r="L354" s="1" t="s">
        <v>33</v>
      </c>
      <c r="M354" s="1">
        <f>orders[[#This Row],[Ship Date]]-orders[[#This Row],[Order Date]]</f>
        <v>8</v>
      </c>
      <c r="N354" s="1">
        <f>WEEKNUM(orders[[#This Row],[Order Date]])</f>
        <v>3</v>
      </c>
      <c r="O354" s="1" t="str" cm="1">
        <f t="array" ref="O354">_xlfn.IFS(orders[[#This Row],[Customer Gender]]="M","Male", orders[[#This Row],[Customer Gender]]="F","Female", orders[[#This Row],[Customer Gender]]="O","Other", TRUE,"Unknown")</f>
        <v>Female</v>
      </c>
    </row>
    <row r="355" spans="1:15">
      <c r="A355" s="1" t="s">
        <v>441</v>
      </c>
      <c r="B355" s="1" t="s">
        <v>22</v>
      </c>
      <c r="C355" s="1">
        <v>4</v>
      </c>
      <c r="D355" s="1">
        <v>83.4</v>
      </c>
      <c r="E355" s="11">
        <v>333.6</v>
      </c>
      <c r="F355" s="3">
        <v>45673</v>
      </c>
      <c r="G355" s="3">
        <v>45674</v>
      </c>
      <c r="H355" s="1" t="s">
        <v>23</v>
      </c>
      <c r="I355" s="1" t="s">
        <v>18</v>
      </c>
      <c r="J355" s="1">
        <v>4</v>
      </c>
      <c r="K355" s="1" t="s">
        <v>19</v>
      </c>
      <c r="L355" s="1" t="s">
        <v>33</v>
      </c>
      <c r="M355" s="1">
        <f>orders[[#This Row],[Ship Date]]-orders[[#This Row],[Order Date]]</f>
        <v>1</v>
      </c>
      <c r="N355" s="1">
        <f>WEEKNUM(orders[[#This Row],[Order Date]])</f>
        <v>3</v>
      </c>
      <c r="O355" s="1" t="str" cm="1">
        <f t="array" ref="O355">_xlfn.IFS(orders[[#This Row],[Customer Gender]]="M","Male", orders[[#This Row],[Customer Gender]]="F","Female", orders[[#This Row],[Customer Gender]]="O","Other", TRUE,"Unknown")</f>
        <v>Male</v>
      </c>
    </row>
    <row r="356" spans="1:15">
      <c r="A356" s="1" t="s">
        <v>442</v>
      </c>
      <c r="B356" s="1" t="s">
        <v>46</v>
      </c>
      <c r="C356" s="1">
        <v>3</v>
      </c>
      <c r="D356" s="1">
        <v>45.3</v>
      </c>
      <c r="E356" s="11">
        <v>135.89999999999998</v>
      </c>
      <c r="F356" s="3">
        <v>45673</v>
      </c>
      <c r="G356" s="3">
        <v>45679</v>
      </c>
      <c r="H356" s="1" t="s">
        <v>23</v>
      </c>
      <c r="I356" s="1" t="s">
        <v>40</v>
      </c>
      <c r="J356" s="1">
        <v>3</v>
      </c>
      <c r="K356" s="1" t="s">
        <v>19</v>
      </c>
      <c r="L356" s="1" t="s">
        <v>33</v>
      </c>
      <c r="M356" s="1">
        <f>orders[[#This Row],[Ship Date]]-orders[[#This Row],[Order Date]]</f>
        <v>6</v>
      </c>
      <c r="N356" s="1">
        <f>WEEKNUM(orders[[#This Row],[Order Date]])</f>
        <v>3</v>
      </c>
      <c r="O356" s="1" t="str" cm="1">
        <f t="array" ref="O356">_xlfn.IFS(orders[[#This Row],[Customer Gender]]="M","Male", orders[[#This Row],[Customer Gender]]="F","Female", orders[[#This Row],[Customer Gender]]="O","Other", TRUE,"Unknown")</f>
        <v>Male</v>
      </c>
    </row>
    <row r="357" spans="1:15">
      <c r="A357" s="1" t="s">
        <v>443</v>
      </c>
      <c r="B357" s="1" t="s">
        <v>135</v>
      </c>
      <c r="C357" s="1">
        <v>1</v>
      </c>
      <c r="D357" s="1">
        <v>42</v>
      </c>
      <c r="E357" s="11">
        <v>42</v>
      </c>
      <c r="F357" s="3">
        <v>45673</v>
      </c>
      <c r="G357" s="3">
        <v>45674</v>
      </c>
      <c r="H357" s="1" t="s">
        <v>17</v>
      </c>
      <c r="I357" s="1" t="s">
        <v>18</v>
      </c>
      <c r="J357" s="1">
        <v>4</v>
      </c>
      <c r="K357" s="1" t="s">
        <v>19</v>
      </c>
      <c r="L357" s="1" t="s">
        <v>33</v>
      </c>
      <c r="M357" s="1">
        <f>orders[[#This Row],[Ship Date]]-orders[[#This Row],[Order Date]]</f>
        <v>1</v>
      </c>
      <c r="N357" s="1">
        <f>WEEKNUM(orders[[#This Row],[Order Date]])</f>
        <v>3</v>
      </c>
      <c r="O357" s="1" t="str" cm="1">
        <f t="array" ref="O357">_xlfn.IFS(orders[[#This Row],[Customer Gender]]="M","Male", orders[[#This Row],[Customer Gender]]="F","Female", orders[[#This Row],[Customer Gender]]="O","Other", TRUE,"Unknown")</f>
        <v>Unknown</v>
      </c>
    </row>
    <row r="358" spans="1:15">
      <c r="A358" s="1" t="s">
        <v>444</v>
      </c>
      <c r="B358" s="1" t="s">
        <v>16</v>
      </c>
      <c r="C358" s="1">
        <v>9</v>
      </c>
      <c r="D358" s="1">
        <v>21.8</v>
      </c>
      <c r="E358" s="11">
        <v>196.20000000000002</v>
      </c>
      <c r="F358" s="3">
        <v>45673</v>
      </c>
      <c r="G358" s="3">
        <v>45675</v>
      </c>
      <c r="H358" s="1" t="s">
        <v>27</v>
      </c>
      <c r="I358" s="1" t="s">
        <v>35</v>
      </c>
      <c r="J358" s="1">
        <v>4</v>
      </c>
      <c r="K358" s="1" t="s">
        <v>19</v>
      </c>
      <c r="L358" s="1" t="s">
        <v>33</v>
      </c>
      <c r="M358" s="1">
        <f>orders[[#This Row],[Ship Date]]-orders[[#This Row],[Order Date]]</f>
        <v>2</v>
      </c>
      <c r="N358" s="1">
        <f>WEEKNUM(orders[[#This Row],[Order Date]])</f>
        <v>3</v>
      </c>
      <c r="O358" s="1" t="str" cm="1">
        <f t="array" ref="O358">_xlfn.IFS(orders[[#This Row],[Customer Gender]]="M","Male", orders[[#This Row],[Customer Gender]]="F","Female", orders[[#This Row],[Customer Gender]]="O","Other", TRUE,"Unknown")</f>
        <v>Female</v>
      </c>
    </row>
    <row r="359" spans="1:15">
      <c r="A359" s="1" t="s">
        <v>445</v>
      </c>
      <c r="B359" s="1" t="s">
        <v>44</v>
      </c>
      <c r="C359" s="1">
        <v>18</v>
      </c>
      <c r="D359" s="1">
        <v>21.4</v>
      </c>
      <c r="E359" s="11">
        <v>385.2</v>
      </c>
      <c r="F359" s="3">
        <v>45673</v>
      </c>
      <c r="G359" s="3">
        <v>45676</v>
      </c>
      <c r="H359" s="1" t="s">
        <v>27</v>
      </c>
      <c r="I359" s="1" t="s">
        <v>35</v>
      </c>
      <c r="J359" s="1">
        <v>5</v>
      </c>
      <c r="K359" s="1" t="s">
        <v>19</v>
      </c>
      <c r="L359" s="1" t="s">
        <v>33</v>
      </c>
      <c r="M359" s="1">
        <f>orders[[#This Row],[Ship Date]]-orders[[#This Row],[Order Date]]</f>
        <v>3</v>
      </c>
      <c r="N359" s="1">
        <f>WEEKNUM(orders[[#This Row],[Order Date]])</f>
        <v>3</v>
      </c>
      <c r="O359" s="1" t="str" cm="1">
        <f t="array" ref="O359">_xlfn.IFS(orders[[#This Row],[Customer Gender]]="M","Male", orders[[#This Row],[Customer Gender]]="F","Female", orders[[#This Row],[Customer Gender]]="O","Other", TRUE,"Unknown")</f>
        <v>Female</v>
      </c>
    </row>
    <row r="360" spans="1:15">
      <c r="A360" s="1" t="s">
        <v>446</v>
      </c>
      <c r="B360" s="1" t="s">
        <v>54</v>
      </c>
      <c r="C360" s="1">
        <v>3</v>
      </c>
      <c r="D360" s="1">
        <v>45</v>
      </c>
      <c r="E360" s="11">
        <v>135</v>
      </c>
      <c r="F360" s="3">
        <v>45673</v>
      </c>
      <c r="G360" s="3">
        <v>45673</v>
      </c>
      <c r="H360" s="1" t="s">
        <v>27</v>
      </c>
      <c r="I360" s="1" t="s">
        <v>35</v>
      </c>
      <c r="J360" s="1">
        <v>5</v>
      </c>
      <c r="K360" s="1" t="s">
        <v>19</v>
      </c>
      <c r="L360" s="1" t="s">
        <v>33</v>
      </c>
      <c r="M360" s="1">
        <f>orders[[#This Row],[Ship Date]]-orders[[#This Row],[Order Date]]</f>
        <v>0</v>
      </c>
      <c r="N360" s="1">
        <f>WEEKNUM(orders[[#This Row],[Order Date]])</f>
        <v>3</v>
      </c>
      <c r="O360" s="1" t="str" cm="1">
        <f t="array" ref="O360">_xlfn.IFS(orders[[#This Row],[Customer Gender]]="M","Male", orders[[#This Row],[Customer Gender]]="F","Female", orders[[#This Row],[Customer Gender]]="O","Other", TRUE,"Unknown")</f>
        <v>Female</v>
      </c>
    </row>
    <row r="361" spans="1:15">
      <c r="A361" s="1" t="s">
        <v>447</v>
      </c>
      <c r="B361" s="1" t="s">
        <v>81</v>
      </c>
      <c r="C361" s="1">
        <v>1</v>
      </c>
      <c r="D361" s="1">
        <v>39.6</v>
      </c>
      <c r="E361" s="11">
        <v>39.6</v>
      </c>
      <c r="F361" s="3">
        <v>45673</v>
      </c>
      <c r="G361" s="3">
        <v>45674</v>
      </c>
      <c r="H361" s="1" t="s">
        <v>23</v>
      </c>
      <c r="I361" s="1" t="s">
        <v>18</v>
      </c>
      <c r="J361" s="1">
        <v>5</v>
      </c>
      <c r="K361" s="1" t="s">
        <v>19</v>
      </c>
      <c r="L361" s="1" t="s">
        <v>33</v>
      </c>
      <c r="M361" s="1">
        <f>orders[[#This Row],[Ship Date]]-orders[[#This Row],[Order Date]]</f>
        <v>1</v>
      </c>
      <c r="N361" s="1">
        <f>WEEKNUM(orders[[#This Row],[Order Date]])</f>
        <v>3</v>
      </c>
      <c r="O361" s="1" t="str" cm="1">
        <f t="array" ref="O361">_xlfn.IFS(orders[[#This Row],[Customer Gender]]="M","Male", orders[[#This Row],[Customer Gender]]="F","Female", orders[[#This Row],[Customer Gender]]="O","Other", TRUE,"Unknown")</f>
        <v>Male</v>
      </c>
    </row>
    <row r="362" spans="1:15">
      <c r="A362" s="1" t="s">
        <v>448</v>
      </c>
      <c r="B362" s="1" t="s">
        <v>69</v>
      </c>
      <c r="C362" s="1">
        <v>3</v>
      </c>
      <c r="D362" s="1">
        <v>79.8</v>
      </c>
      <c r="E362" s="11">
        <v>239.39999999999998</v>
      </c>
      <c r="F362" s="3">
        <v>45673</v>
      </c>
      <c r="G362" s="3">
        <v>45679</v>
      </c>
      <c r="H362" s="1" t="s">
        <v>27</v>
      </c>
      <c r="I362" s="1" t="s">
        <v>35</v>
      </c>
      <c r="J362" s="1">
        <v>2</v>
      </c>
      <c r="K362" s="1" t="s">
        <v>19</v>
      </c>
      <c r="L362" s="1" t="s">
        <v>33</v>
      </c>
      <c r="M362" s="1">
        <f>orders[[#This Row],[Ship Date]]-orders[[#This Row],[Order Date]]</f>
        <v>6</v>
      </c>
      <c r="N362" s="1">
        <f>WEEKNUM(orders[[#This Row],[Order Date]])</f>
        <v>3</v>
      </c>
      <c r="O362" s="1" t="str" cm="1">
        <f t="array" ref="O362">_xlfn.IFS(orders[[#This Row],[Customer Gender]]="M","Male", orders[[#This Row],[Customer Gender]]="F","Female", orders[[#This Row],[Customer Gender]]="O","Other", TRUE,"Unknown")</f>
        <v>Female</v>
      </c>
    </row>
    <row r="363" spans="1:15">
      <c r="A363" s="1" t="s">
        <v>449</v>
      </c>
      <c r="B363" s="1" t="s">
        <v>22</v>
      </c>
      <c r="C363" s="1">
        <v>4</v>
      </c>
      <c r="D363" s="1">
        <v>63.6</v>
      </c>
      <c r="E363" s="11">
        <v>254.4</v>
      </c>
      <c r="F363" s="3">
        <v>45673</v>
      </c>
      <c r="G363" s="3">
        <v>45674</v>
      </c>
      <c r="H363" s="1" t="s">
        <v>89</v>
      </c>
      <c r="I363" s="1" t="s">
        <v>18</v>
      </c>
      <c r="J363" s="1">
        <v>5</v>
      </c>
      <c r="K363" s="1" t="s">
        <v>19</v>
      </c>
      <c r="L363" s="1" t="s">
        <v>186</v>
      </c>
      <c r="M363" s="1">
        <f>orders[[#This Row],[Ship Date]]-orders[[#This Row],[Order Date]]</f>
        <v>1</v>
      </c>
      <c r="N363" s="1">
        <f>WEEKNUM(orders[[#This Row],[Order Date]])</f>
        <v>3</v>
      </c>
      <c r="O363" s="1" t="str" cm="1">
        <f t="array" ref="O363">_xlfn.IFS(orders[[#This Row],[Customer Gender]]="M","Male", orders[[#This Row],[Customer Gender]]="F","Female", orders[[#This Row],[Customer Gender]]="O","Other", TRUE,"Unknown")</f>
        <v>Other</v>
      </c>
    </row>
    <row r="364" spans="1:15">
      <c r="A364" s="1" t="s">
        <v>450</v>
      </c>
      <c r="B364" s="1" t="s">
        <v>42</v>
      </c>
      <c r="C364" s="1">
        <v>10</v>
      </c>
      <c r="D364" s="1">
        <v>92.7</v>
      </c>
      <c r="E364" s="11">
        <v>927</v>
      </c>
      <c r="F364" s="3">
        <v>45673</v>
      </c>
      <c r="G364" s="3">
        <v>45677</v>
      </c>
      <c r="H364" s="1" t="s">
        <v>23</v>
      </c>
      <c r="I364" s="1" t="s">
        <v>35</v>
      </c>
      <c r="J364" s="1">
        <v>5</v>
      </c>
      <c r="K364" s="1" t="s">
        <v>19</v>
      </c>
      <c r="L364" s="1" t="s">
        <v>55</v>
      </c>
      <c r="M364" s="1">
        <f>orders[[#This Row],[Ship Date]]-orders[[#This Row],[Order Date]]</f>
        <v>4</v>
      </c>
      <c r="N364" s="1">
        <f>WEEKNUM(orders[[#This Row],[Order Date]])</f>
        <v>3</v>
      </c>
      <c r="O364" s="1" t="str" cm="1">
        <f t="array" ref="O364">_xlfn.IFS(orders[[#This Row],[Customer Gender]]="M","Male", orders[[#This Row],[Customer Gender]]="F","Female", orders[[#This Row],[Customer Gender]]="O","Other", TRUE,"Unknown")</f>
        <v>Male</v>
      </c>
    </row>
    <row r="365" spans="1:15">
      <c r="A365" s="1" t="s">
        <v>451</v>
      </c>
      <c r="B365" s="1" t="s">
        <v>22</v>
      </c>
      <c r="C365" s="1">
        <v>4</v>
      </c>
      <c r="D365" s="1">
        <v>48.4</v>
      </c>
      <c r="E365" s="11">
        <v>193.6</v>
      </c>
      <c r="F365" s="3">
        <v>45673</v>
      </c>
      <c r="G365" s="3">
        <v>45675</v>
      </c>
      <c r="H365" s="1" t="s">
        <v>27</v>
      </c>
      <c r="I365" s="1" t="s">
        <v>35</v>
      </c>
      <c r="J365" s="1">
        <v>5</v>
      </c>
      <c r="K365" s="1" t="s">
        <v>19</v>
      </c>
      <c r="L365" s="1" t="s">
        <v>55</v>
      </c>
      <c r="M365" s="1">
        <f>orders[[#This Row],[Ship Date]]-orders[[#This Row],[Order Date]]</f>
        <v>2</v>
      </c>
      <c r="N365" s="1">
        <f>WEEKNUM(orders[[#This Row],[Order Date]])</f>
        <v>3</v>
      </c>
      <c r="O365" s="1" t="str" cm="1">
        <f t="array" ref="O365">_xlfn.IFS(orders[[#This Row],[Customer Gender]]="M","Male", orders[[#This Row],[Customer Gender]]="F","Female", orders[[#This Row],[Customer Gender]]="O","Other", TRUE,"Unknown")</f>
        <v>Female</v>
      </c>
    </row>
    <row r="366" spans="1:15">
      <c r="A366" s="1" t="s">
        <v>452</v>
      </c>
      <c r="B366" s="1" t="s">
        <v>46</v>
      </c>
      <c r="C366" s="1">
        <v>8</v>
      </c>
      <c r="D366" s="1">
        <v>36</v>
      </c>
      <c r="E366" s="11">
        <v>288</v>
      </c>
      <c r="F366" s="3">
        <v>45673</v>
      </c>
      <c r="G366" s="3">
        <v>45676</v>
      </c>
      <c r="H366" s="1" t="s">
        <v>23</v>
      </c>
      <c r="I366" s="1" t="s">
        <v>40</v>
      </c>
      <c r="J366" s="1">
        <v>5</v>
      </c>
      <c r="K366" s="1" t="s">
        <v>19</v>
      </c>
      <c r="L366" s="1" t="s">
        <v>62</v>
      </c>
      <c r="M366" s="1">
        <f>orders[[#This Row],[Ship Date]]-orders[[#This Row],[Order Date]]</f>
        <v>3</v>
      </c>
      <c r="N366" s="1">
        <f>WEEKNUM(orders[[#This Row],[Order Date]])</f>
        <v>3</v>
      </c>
      <c r="O366" s="1" t="str" cm="1">
        <f t="array" ref="O366">_xlfn.IFS(orders[[#This Row],[Customer Gender]]="M","Male", orders[[#This Row],[Customer Gender]]="F","Female", orders[[#This Row],[Customer Gender]]="O","Other", TRUE,"Unknown")</f>
        <v>Male</v>
      </c>
    </row>
    <row r="367" spans="1:15">
      <c r="A367" s="1" t="s">
        <v>453</v>
      </c>
      <c r="B367" s="1" t="s">
        <v>44</v>
      </c>
      <c r="C367" s="1">
        <v>12</v>
      </c>
      <c r="D367" s="1">
        <v>27</v>
      </c>
      <c r="E367" s="11">
        <v>324</v>
      </c>
      <c r="F367" s="3">
        <v>45673</v>
      </c>
      <c r="G367" s="3">
        <v>45675</v>
      </c>
      <c r="H367" s="1" t="s">
        <v>27</v>
      </c>
      <c r="I367" s="1" t="s">
        <v>40</v>
      </c>
      <c r="J367" s="1">
        <v>3</v>
      </c>
      <c r="K367" s="1" t="s">
        <v>19</v>
      </c>
      <c r="L367" s="1" t="s">
        <v>62</v>
      </c>
      <c r="M367" s="1">
        <f>orders[[#This Row],[Ship Date]]-orders[[#This Row],[Order Date]]</f>
        <v>2</v>
      </c>
      <c r="N367" s="1">
        <f>WEEKNUM(orders[[#This Row],[Order Date]])</f>
        <v>3</v>
      </c>
      <c r="O367" s="1" t="str" cm="1">
        <f t="array" ref="O367">_xlfn.IFS(orders[[#This Row],[Customer Gender]]="M","Male", orders[[#This Row],[Customer Gender]]="F","Female", orders[[#This Row],[Customer Gender]]="O","Other", TRUE,"Unknown")</f>
        <v>Female</v>
      </c>
    </row>
    <row r="368" spans="1:15">
      <c r="A368" s="1" t="s">
        <v>454</v>
      </c>
      <c r="B368" s="1" t="s">
        <v>26</v>
      </c>
      <c r="C368" s="1">
        <v>8</v>
      </c>
      <c r="D368" s="1">
        <v>53.9</v>
      </c>
      <c r="E368" s="11">
        <v>431.2</v>
      </c>
      <c r="F368" s="3">
        <v>45673</v>
      </c>
      <c r="G368" s="3">
        <v>45674</v>
      </c>
      <c r="H368" s="1" t="s">
        <v>17</v>
      </c>
      <c r="I368" s="1" t="s">
        <v>18</v>
      </c>
      <c r="J368" s="1">
        <v>4</v>
      </c>
      <c r="K368" s="1" t="s">
        <v>19</v>
      </c>
      <c r="L368" s="1" t="s">
        <v>62</v>
      </c>
      <c r="M368" s="1">
        <f>orders[[#This Row],[Ship Date]]-orders[[#This Row],[Order Date]]</f>
        <v>1</v>
      </c>
      <c r="N368" s="1">
        <f>WEEKNUM(orders[[#This Row],[Order Date]])</f>
        <v>3</v>
      </c>
      <c r="O368" s="1" t="str" cm="1">
        <f t="array" ref="O368">_xlfn.IFS(orders[[#This Row],[Customer Gender]]="M","Male", orders[[#This Row],[Customer Gender]]="F","Female", orders[[#This Row],[Customer Gender]]="O","Other", TRUE,"Unknown")</f>
        <v>Unknown</v>
      </c>
    </row>
    <row r="369" spans="1:15">
      <c r="A369" s="1" t="s">
        <v>455</v>
      </c>
      <c r="B369" s="1" t="s">
        <v>30</v>
      </c>
      <c r="C369" s="1">
        <v>9</v>
      </c>
      <c r="D369" s="1">
        <v>48.4</v>
      </c>
      <c r="E369" s="11">
        <v>435.59999999999997</v>
      </c>
      <c r="F369" s="3">
        <v>45673</v>
      </c>
      <c r="G369" s="3">
        <v>45674</v>
      </c>
      <c r="H369" s="1" t="s">
        <v>27</v>
      </c>
      <c r="I369" s="1" t="s">
        <v>35</v>
      </c>
      <c r="J369" s="1">
        <v>4</v>
      </c>
      <c r="K369" s="1" t="s">
        <v>19</v>
      </c>
      <c r="L369" s="1" t="s">
        <v>72</v>
      </c>
      <c r="M369" s="1">
        <f>orders[[#This Row],[Ship Date]]-orders[[#This Row],[Order Date]]</f>
        <v>1</v>
      </c>
      <c r="N369" s="1">
        <f>WEEKNUM(orders[[#This Row],[Order Date]])</f>
        <v>3</v>
      </c>
      <c r="O369" s="1" t="str" cm="1">
        <f t="array" ref="O369">_xlfn.IFS(orders[[#This Row],[Customer Gender]]="M","Male", orders[[#This Row],[Customer Gender]]="F","Female", orders[[#This Row],[Customer Gender]]="O","Other", TRUE,"Unknown")</f>
        <v>Female</v>
      </c>
    </row>
    <row r="370" spans="1:15">
      <c r="A370" s="1" t="s">
        <v>456</v>
      </c>
      <c r="B370" s="1" t="s">
        <v>135</v>
      </c>
      <c r="C370" s="1">
        <v>2</v>
      </c>
      <c r="D370" s="1">
        <v>49.9</v>
      </c>
      <c r="E370" s="11">
        <v>99.8</v>
      </c>
      <c r="F370" s="3">
        <v>45673</v>
      </c>
      <c r="G370" s="3">
        <v>45678</v>
      </c>
      <c r="H370" s="1" t="s">
        <v>23</v>
      </c>
      <c r="I370" s="1" t="s">
        <v>70</v>
      </c>
      <c r="J370" s="1">
        <v>2</v>
      </c>
      <c r="K370" s="1" t="s">
        <v>19</v>
      </c>
      <c r="L370" s="1" t="s">
        <v>74</v>
      </c>
      <c r="M370" s="1">
        <f>orders[[#This Row],[Ship Date]]-orders[[#This Row],[Order Date]]</f>
        <v>5</v>
      </c>
      <c r="N370" s="1">
        <f>WEEKNUM(orders[[#This Row],[Order Date]])</f>
        <v>3</v>
      </c>
      <c r="O370" s="1" t="str" cm="1">
        <f t="array" ref="O370">_xlfn.IFS(orders[[#This Row],[Customer Gender]]="M","Male", orders[[#This Row],[Customer Gender]]="F","Female", orders[[#This Row],[Customer Gender]]="O","Other", TRUE,"Unknown")</f>
        <v>Male</v>
      </c>
    </row>
    <row r="371" spans="1:15">
      <c r="A371" s="1" t="s">
        <v>457</v>
      </c>
      <c r="B371" s="1" t="s">
        <v>22</v>
      </c>
      <c r="C371" s="1">
        <v>3</v>
      </c>
      <c r="D371" s="1">
        <v>51.7</v>
      </c>
      <c r="E371" s="11">
        <v>155.10000000000002</v>
      </c>
      <c r="F371" s="3">
        <v>45673</v>
      </c>
      <c r="G371" s="3">
        <v>45674</v>
      </c>
      <c r="H371" s="1" t="s">
        <v>27</v>
      </c>
      <c r="I371" s="1" t="s">
        <v>18</v>
      </c>
      <c r="J371" s="1">
        <v>5</v>
      </c>
      <c r="K371" s="1" t="s">
        <v>19</v>
      </c>
      <c r="L371" s="1" t="s">
        <v>77</v>
      </c>
      <c r="M371" s="1">
        <f>orders[[#This Row],[Ship Date]]-orders[[#This Row],[Order Date]]</f>
        <v>1</v>
      </c>
      <c r="N371" s="1">
        <f>WEEKNUM(orders[[#This Row],[Order Date]])</f>
        <v>3</v>
      </c>
      <c r="O371" s="1" t="str" cm="1">
        <f t="array" ref="O371">_xlfn.IFS(orders[[#This Row],[Customer Gender]]="M","Male", orders[[#This Row],[Customer Gender]]="F","Female", orders[[#This Row],[Customer Gender]]="O","Other", TRUE,"Unknown")</f>
        <v>Female</v>
      </c>
    </row>
    <row r="372" spans="1:15">
      <c r="A372" s="1" t="s">
        <v>458</v>
      </c>
      <c r="B372" s="1" t="s">
        <v>44</v>
      </c>
      <c r="C372" s="1">
        <v>3</v>
      </c>
      <c r="D372" s="1">
        <v>41.8</v>
      </c>
      <c r="E372" s="11">
        <v>125.39999999999999</v>
      </c>
      <c r="F372" s="3">
        <v>45673</v>
      </c>
      <c r="G372" s="3">
        <v>45675</v>
      </c>
      <c r="H372" s="1" t="s">
        <v>27</v>
      </c>
      <c r="I372" s="1" t="s">
        <v>40</v>
      </c>
      <c r="J372" s="1">
        <v>4</v>
      </c>
      <c r="K372" s="1" t="s">
        <v>19</v>
      </c>
      <c r="L372" s="1" t="s">
        <v>108</v>
      </c>
      <c r="M372" s="1">
        <f>orders[[#This Row],[Ship Date]]-orders[[#This Row],[Order Date]]</f>
        <v>2</v>
      </c>
      <c r="N372" s="1">
        <f>WEEKNUM(orders[[#This Row],[Order Date]])</f>
        <v>3</v>
      </c>
      <c r="O372" s="1" t="str" cm="1">
        <f t="array" ref="O372">_xlfn.IFS(orders[[#This Row],[Customer Gender]]="M","Male", orders[[#This Row],[Customer Gender]]="F","Female", orders[[#This Row],[Customer Gender]]="O","Other", TRUE,"Unknown")</f>
        <v>Female</v>
      </c>
    </row>
    <row r="373" spans="1:15">
      <c r="A373" s="1" t="s">
        <v>459</v>
      </c>
      <c r="B373" s="1" t="s">
        <v>32</v>
      </c>
      <c r="C373" s="1">
        <v>4</v>
      </c>
      <c r="D373" s="1">
        <v>36.200000000000003</v>
      </c>
      <c r="E373" s="11">
        <v>144.80000000000001</v>
      </c>
      <c r="F373" s="3">
        <v>45674</v>
      </c>
      <c r="G373" s="3">
        <v>45675</v>
      </c>
      <c r="H373" s="1" t="s">
        <v>23</v>
      </c>
      <c r="I373" s="1" t="s">
        <v>40</v>
      </c>
      <c r="J373" s="1">
        <v>5</v>
      </c>
      <c r="K373" s="1" t="s">
        <v>19</v>
      </c>
      <c r="L373" s="1" t="s">
        <v>115</v>
      </c>
      <c r="M373" s="1">
        <f>orders[[#This Row],[Ship Date]]-orders[[#This Row],[Order Date]]</f>
        <v>1</v>
      </c>
      <c r="N373" s="1">
        <f>WEEKNUM(orders[[#This Row],[Order Date]])</f>
        <v>3</v>
      </c>
      <c r="O373" s="1" t="str" cm="1">
        <f t="array" ref="O373">_xlfn.IFS(orders[[#This Row],[Customer Gender]]="M","Male", orders[[#This Row],[Customer Gender]]="F","Female", orders[[#This Row],[Customer Gender]]="O","Other", TRUE,"Unknown")</f>
        <v>Male</v>
      </c>
    </row>
    <row r="374" spans="1:15">
      <c r="A374" s="1" t="s">
        <v>460</v>
      </c>
      <c r="B374" s="1" t="s">
        <v>26</v>
      </c>
      <c r="C374" s="1">
        <v>1</v>
      </c>
      <c r="D374" s="1">
        <v>150.9</v>
      </c>
      <c r="E374" s="11">
        <v>150.9</v>
      </c>
      <c r="F374" s="3">
        <v>45674</v>
      </c>
      <c r="G374" s="3">
        <v>45684</v>
      </c>
      <c r="H374" s="1" t="s">
        <v>23</v>
      </c>
      <c r="I374" s="1" t="s">
        <v>18</v>
      </c>
      <c r="J374" s="1">
        <v>4</v>
      </c>
      <c r="K374" s="1" t="s">
        <v>19</v>
      </c>
      <c r="L374" s="1" t="s">
        <v>24</v>
      </c>
      <c r="M374" s="1">
        <f>orders[[#This Row],[Ship Date]]-orders[[#This Row],[Order Date]]</f>
        <v>10</v>
      </c>
      <c r="N374" s="1">
        <f>WEEKNUM(orders[[#This Row],[Order Date]])</f>
        <v>3</v>
      </c>
      <c r="O374" s="1" t="str" cm="1">
        <f t="array" ref="O374">_xlfn.IFS(orders[[#This Row],[Customer Gender]]="M","Male", orders[[#This Row],[Customer Gender]]="F","Female", orders[[#This Row],[Customer Gender]]="O","Other", TRUE,"Unknown")</f>
        <v>Male</v>
      </c>
    </row>
    <row r="375" spans="1:15">
      <c r="A375" s="1" t="s">
        <v>461</v>
      </c>
      <c r="B375" s="1" t="s">
        <v>146</v>
      </c>
      <c r="C375" s="1">
        <v>4</v>
      </c>
      <c r="D375" s="1">
        <v>77.599999999999994</v>
      </c>
      <c r="E375" s="11">
        <v>310.39999999999998</v>
      </c>
      <c r="F375" s="3">
        <v>45674</v>
      </c>
      <c r="G375" s="3">
        <v>45675</v>
      </c>
      <c r="H375" s="1" t="s">
        <v>17</v>
      </c>
      <c r="I375" s="1" t="s">
        <v>40</v>
      </c>
      <c r="J375" s="1">
        <v>4</v>
      </c>
      <c r="K375" s="1" t="s">
        <v>19</v>
      </c>
      <c r="L375" s="1" t="s">
        <v>33</v>
      </c>
      <c r="M375" s="1">
        <f>orders[[#This Row],[Ship Date]]-orders[[#This Row],[Order Date]]</f>
        <v>1</v>
      </c>
      <c r="N375" s="1">
        <f>WEEKNUM(orders[[#This Row],[Order Date]])</f>
        <v>3</v>
      </c>
      <c r="O375" s="1" t="str" cm="1">
        <f t="array" ref="O375">_xlfn.IFS(orders[[#This Row],[Customer Gender]]="M","Male", orders[[#This Row],[Customer Gender]]="F","Female", orders[[#This Row],[Customer Gender]]="O","Other", TRUE,"Unknown")</f>
        <v>Unknown</v>
      </c>
    </row>
    <row r="376" spans="1:15">
      <c r="A376" s="1" t="s">
        <v>462</v>
      </c>
      <c r="B376" s="1" t="s">
        <v>76</v>
      </c>
      <c r="C376" s="1">
        <v>5</v>
      </c>
      <c r="D376" s="1">
        <v>65.5</v>
      </c>
      <c r="E376" s="11">
        <v>327.5</v>
      </c>
      <c r="F376" s="3">
        <v>45674</v>
      </c>
      <c r="G376" s="3">
        <v>45674</v>
      </c>
      <c r="H376" s="1" t="s">
        <v>23</v>
      </c>
      <c r="I376" s="1" t="s">
        <v>35</v>
      </c>
      <c r="J376" s="1">
        <v>4</v>
      </c>
      <c r="K376" s="1" t="s">
        <v>19</v>
      </c>
      <c r="L376" s="1" t="s">
        <v>33</v>
      </c>
      <c r="M376" s="1">
        <f>orders[[#This Row],[Ship Date]]-orders[[#This Row],[Order Date]]</f>
        <v>0</v>
      </c>
      <c r="N376" s="1">
        <f>WEEKNUM(orders[[#This Row],[Order Date]])</f>
        <v>3</v>
      </c>
      <c r="O376" s="1" t="str" cm="1">
        <f t="array" ref="O376">_xlfn.IFS(orders[[#This Row],[Customer Gender]]="M","Male", orders[[#This Row],[Customer Gender]]="F","Female", orders[[#This Row],[Customer Gender]]="O","Other", TRUE,"Unknown")</f>
        <v>Male</v>
      </c>
    </row>
    <row r="377" spans="1:15">
      <c r="A377" s="1" t="s">
        <v>463</v>
      </c>
      <c r="B377" s="1" t="s">
        <v>39</v>
      </c>
      <c r="C377" s="1">
        <v>3</v>
      </c>
      <c r="D377" s="1">
        <v>90.1</v>
      </c>
      <c r="E377" s="11">
        <v>270.29999999999995</v>
      </c>
      <c r="F377" s="3">
        <v>45674</v>
      </c>
      <c r="G377" s="3">
        <v>45676</v>
      </c>
      <c r="H377" s="1" t="s">
        <v>27</v>
      </c>
      <c r="I377" s="1" t="s">
        <v>18</v>
      </c>
      <c r="J377" s="1">
        <v>4</v>
      </c>
      <c r="K377" s="1" t="s">
        <v>19</v>
      </c>
      <c r="L377" s="1" t="s">
        <v>33</v>
      </c>
      <c r="M377" s="1">
        <f>orders[[#This Row],[Ship Date]]-orders[[#This Row],[Order Date]]</f>
        <v>2</v>
      </c>
      <c r="N377" s="1">
        <f>WEEKNUM(orders[[#This Row],[Order Date]])</f>
        <v>3</v>
      </c>
      <c r="O377" s="1" t="str" cm="1">
        <f t="array" ref="O377">_xlfn.IFS(orders[[#This Row],[Customer Gender]]="M","Male", orders[[#This Row],[Customer Gender]]="F","Female", orders[[#This Row],[Customer Gender]]="O","Other", TRUE,"Unknown")</f>
        <v>Female</v>
      </c>
    </row>
    <row r="378" spans="1:15">
      <c r="A378" s="1" t="s">
        <v>464</v>
      </c>
      <c r="B378" s="1" t="s">
        <v>22</v>
      </c>
      <c r="C378" s="1">
        <v>2</v>
      </c>
      <c r="D378" s="1">
        <v>108.3</v>
      </c>
      <c r="E378" s="11">
        <v>216.6</v>
      </c>
      <c r="F378" s="3">
        <v>45674</v>
      </c>
      <c r="G378" s="3">
        <v>45677</v>
      </c>
      <c r="H378" s="1" t="s">
        <v>89</v>
      </c>
      <c r="I378" s="1" t="s">
        <v>70</v>
      </c>
      <c r="J378" s="1">
        <v>4</v>
      </c>
      <c r="K378" s="1" t="s">
        <v>19</v>
      </c>
      <c r="L378" s="1" t="s">
        <v>33</v>
      </c>
      <c r="M378" s="1">
        <f>orders[[#This Row],[Ship Date]]-orders[[#This Row],[Order Date]]</f>
        <v>3</v>
      </c>
      <c r="N378" s="1">
        <f>WEEKNUM(orders[[#This Row],[Order Date]])</f>
        <v>3</v>
      </c>
      <c r="O378" s="1" t="str" cm="1">
        <f t="array" ref="O378">_xlfn.IFS(orders[[#This Row],[Customer Gender]]="M","Male", orders[[#This Row],[Customer Gender]]="F","Female", orders[[#This Row],[Customer Gender]]="O","Other", TRUE,"Unknown")</f>
        <v>Other</v>
      </c>
    </row>
    <row r="379" spans="1:15">
      <c r="A379" s="1" t="s">
        <v>465</v>
      </c>
      <c r="B379" s="1" t="s">
        <v>37</v>
      </c>
      <c r="C379" s="1">
        <v>3</v>
      </c>
      <c r="D379" s="1">
        <v>59.9</v>
      </c>
      <c r="E379" s="11">
        <v>179.7</v>
      </c>
      <c r="F379" s="3">
        <v>45674</v>
      </c>
      <c r="G379" s="3">
        <v>45678</v>
      </c>
      <c r="H379" s="1" t="s">
        <v>27</v>
      </c>
      <c r="I379" s="1" t="s">
        <v>18</v>
      </c>
      <c r="J379" s="1">
        <v>4</v>
      </c>
      <c r="K379" s="1" t="s">
        <v>19</v>
      </c>
      <c r="L379" s="1" t="s">
        <v>33</v>
      </c>
      <c r="M379" s="1">
        <f>orders[[#This Row],[Ship Date]]-orders[[#This Row],[Order Date]]</f>
        <v>4</v>
      </c>
      <c r="N379" s="1">
        <f>WEEKNUM(orders[[#This Row],[Order Date]])</f>
        <v>3</v>
      </c>
      <c r="O379" s="1" t="str" cm="1">
        <f t="array" ref="O379">_xlfn.IFS(orders[[#This Row],[Customer Gender]]="M","Male", orders[[#This Row],[Customer Gender]]="F","Female", orders[[#This Row],[Customer Gender]]="O","Other", TRUE,"Unknown")</f>
        <v>Female</v>
      </c>
    </row>
    <row r="380" spans="1:15">
      <c r="A380" s="1" t="s">
        <v>466</v>
      </c>
      <c r="B380" s="1" t="s">
        <v>26</v>
      </c>
      <c r="C380" s="1">
        <v>17</v>
      </c>
      <c r="D380" s="1">
        <v>139</v>
      </c>
      <c r="E380" s="11">
        <v>2363</v>
      </c>
      <c r="F380" s="3">
        <v>45674</v>
      </c>
      <c r="G380" s="3">
        <v>45676</v>
      </c>
      <c r="H380" s="1" t="s">
        <v>27</v>
      </c>
      <c r="I380" s="1" t="s">
        <v>35</v>
      </c>
      <c r="J380" s="1">
        <v>2</v>
      </c>
      <c r="K380" s="1" t="s">
        <v>19</v>
      </c>
      <c r="L380" s="1" t="s">
        <v>33</v>
      </c>
      <c r="M380" s="1">
        <f>orders[[#This Row],[Ship Date]]-orders[[#This Row],[Order Date]]</f>
        <v>2</v>
      </c>
      <c r="N380" s="1">
        <f>WEEKNUM(orders[[#This Row],[Order Date]])</f>
        <v>3</v>
      </c>
      <c r="O380" s="1" t="str" cm="1">
        <f t="array" ref="O380">_xlfn.IFS(orders[[#This Row],[Customer Gender]]="M","Male", orders[[#This Row],[Customer Gender]]="F","Female", orders[[#This Row],[Customer Gender]]="O","Other", TRUE,"Unknown")</f>
        <v>Female</v>
      </c>
    </row>
    <row r="381" spans="1:15">
      <c r="A381" s="1" t="s">
        <v>467</v>
      </c>
      <c r="B381" s="1" t="s">
        <v>39</v>
      </c>
      <c r="C381" s="1">
        <v>3</v>
      </c>
      <c r="D381" s="1">
        <v>87.3</v>
      </c>
      <c r="E381" s="11">
        <v>261.89999999999998</v>
      </c>
      <c r="F381" s="3">
        <v>45674</v>
      </c>
      <c r="G381" s="3">
        <v>45675</v>
      </c>
      <c r="H381" s="1" t="s">
        <v>27</v>
      </c>
      <c r="I381" s="1" t="s">
        <v>18</v>
      </c>
      <c r="J381" s="1">
        <v>4</v>
      </c>
      <c r="K381" s="1" t="s">
        <v>19</v>
      </c>
      <c r="L381" s="1" t="s">
        <v>33</v>
      </c>
      <c r="M381" s="1">
        <f>orders[[#This Row],[Ship Date]]-orders[[#This Row],[Order Date]]</f>
        <v>1</v>
      </c>
      <c r="N381" s="1">
        <f>WEEKNUM(orders[[#This Row],[Order Date]])</f>
        <v>3</v>
      </c>
      <c r="O381" s="1" t="str" cm="1">
        <f t="array" ref="O381">_xlfn.IFS(orders[[#This Row],[Customer Gender]]="M","Male", orders[[#This Row],[Customer Gender]]="F","Female", orders[[#This Row],[Customer Gender]]="O","Other", TRUE,"Unknown")</f>
        <v>Female</v>
      </c>
    </row>
    <row r="382" spans="1:15">
      <c r="A382" s="1" t="s">
        <v>468</v>
      </c>
      <c r="B382" s="1" t="s">
        <v>67</v>
      </c>
      <c r="C382" s="1">
        <v>4</v>
      </c>
      <c r="D382" s="1">
        <v>42.3</v>
      </c>
      <c r="E382" s="11">
        <v>169.2</v>
      </c>
      <c r="F382" s="3">
        <v>45674</v>
      </c>
      <c r="G382" s="3">
        <v>45674</v>
      </c>
      <c r="H382" s="1" t="s">
        <v>23</v>
      </c>
      <c r="I382" s="1" t="s">
        <v>18</v>
      </c>
      <c r="J382" s="1">
        <v>4</v>
      </c>
      <c r="K382" s="1" t="s">
        <v>19</v>
      </c>
      <c r="L382" s="1" t="s">
        <v>33</v>
      </c>
      <c r="M382" s="1">
        <f>orders[[#This Row],[Ship Date]]-orders[[#This Row],[Order Date]]</f>
        <v>0</v>
      </c>
      <c r="N382" s="1">
        <f>WEEKNUM(orders[[#This Row],[Order Date]])</f>
        <v>3</v>
      </c>
      <c r="O382" s="1" t="str" cm="1">
        <f t="array" ref="O382">_xlfn.IFS(orders[[#This Row],[Customer Gender]]="M","Male", orders[[#This Row],[Customer Gender]]="F","Female", orders[[#This Row],[Customer Gender]]="O","Other", TRUE,"Unknown")</f>
        <v>Male</v>
      </c>
    </row>
    <row r="383" spans="1:15">
      <c r="A383" s="1" t="s">
        <v>469</v>
      </c>
      <c r="B383" s="1" t="s">
        <v>81</v>
      </c>
      <c r="C383" s="1">
        <v>8</v>
      </c>
      <c r="D383" s="1">
        <v>103.6</v>
      </c>
      <c r="E383" s="11">
        <v>828.8</v>
      </c>
      <c r="F383" s="3">
        <v>45674</v>
      </c>
      <c r="G383" s="3">
        <v>45675</v>
      </c>
      <c r="H383" s="1" t="s">
        <v>89</v>
      </c>
      <c r="I383" s="1" t="s">
        <v>18</v>
      </c>
      <c r="J383" s="1">
        <v>3</v>
      </c>
      <c r="K383" s="1" t="s">
        <v>19</v>
      </c>
      <c r="L383" s="1" t="s">
        <v>33</v>
      </c>
      <c r="M383" s="1">
        <f>orders[[#This Row],[Ship Date]]-orders[[#This Row],[Order Date]]</f>
        <v>1</v>
      </c>
      <c r="N383" s="1">
        <f>WEEKNUM(orders[[#This Row],[Order Date]])</f>
        <v>3</v>
      </c>
      <c r="O383" s="1" t="str" cm="1">
        <f t="array" ref="O383">_xlfn.IFS(orders[[#This Row],[Customer Gender]]="M","Male", orders[[#This Row],[Customer Gender]]="F","Female", orders[[#This Row],[Customer Gender]]="O","Other", TRUE,"Unknown")</f>
        <v>Other</v>
      </c>
    </row>
    <row r="384" spans="1:15">
      <c r="A384" s="1" t="s">
        <v>470</v>
      </c>
      <c r="B384" s="1" t="s">
        <v>39</v>
      </c>
      <c r="C384" s="1">
        <v>2</v>
      </c>
      <c r="D384" s="1">
        <v>90.9</v>
      </c>
      <c r="E384" s="11">
        <v>181.8</v>
      </c>
      <c r="F384" s="3">
        <v>45674</v>
      </c>
      <c r="G384" s="3">
        <v>45675</v>
      </c>
      <c r="H384" s="1" t="s">
        <v>23</v>
      </c>
      <c r="I384" s="1" t="s">
        <v>35</v>
      </c>
      <c r="J384" s="1">
        <v>4</v>
      </c>
      <c r="K384" s="1" t="s">
        <v>19</v>
      </c>
      <c r="L384" s="1" t="s">
        <v>55</v>
      </c>
      <c r="M384" s="1">
        <f>orders[[#This Row],[Ship Date]]-orders[[#This Row],[Order Date]]</f>
        <v>1</v>
      </c>
      <c r="N384" s="1">
        <f>WEEKNUM(orders[[#This Row],[Order Date]])</f>
        <v>3</v>
      </c>
      <c r="O384" s="1" t="str" cm="1">
        <f t="array" ref="O384">_xlfn.IFS(orders[[#This Row],[Customer Gender]]="M","Male", orders[[#This Row],[Customer Gender]]="F","Female", orders[[#This Row],[Customer Gender]]="O","Other", TRUE,"Unknown")</f>
        <v>Male</v>
      </c>
    </row>
    <row r="385" spans="1:15">
      <c r="A385" s="1" t="s">
        <v>471</v>
      </c>
      <c r="B385" s="1" t="s">
        <v>46</v>
      </c>
      <c r="C385" s="1">
        <v>16</v>
      </c>
      <c r="D385" s="1">
        <v>100.9</v>
      </c>
      <c r="E385" s="11">
        <v>1614.4</v>
      </c>
      <c r="F385" s="3">
        <v>45674</v>
      </c>
      <c r="G385" s="3">
        <v>45675</v>
      </c>
      <c r="H385" s="1" t="s">
        <v>27</v>
      </c>
      <c r="I385" s="1" t="s">
        <v>35</v>
      </c>
      <c r="J385" s="1">
        <v>4</v>
      </c>
      <c r="K385" s="1" t="s">
        <v>19</v>
      </c>
      <c r="L385" s="1" t="s">
        <v>55</v>
      </c>
      <c r="M385" s="1">
        <f>orders[[#This Row],[Ship Date]]-orders[[#This Row],[Order Date]]</f>
        <v>1</v>
      </c>
      <c r="N385" s="1">
        <f>WEEKNUM(orders[[#This Row],[Order Date]])</f>
        <v>3</v>
      </c>
      <c r="O385" s="1" t="str" cm="1">
        <f t="array" ref="O385">_xlfn.IFS(orders[[#This Row],[Customer Gender]]="M","Male", orders[[#This Row],[Customer Gender]]="F","Female", orders[[#This Row],[Customer Gender]]="O","Other", TRUE,"Unknown")</f>
        <v>Female</v>
      </c>
    </row>
    <row r="386" spans="1:15">
      <c r="A386" s="1" t="s">
        <v>472</v>
      </c>
      <c r="B386" s="1" t="s">
        <v>32</v>
      </c>
      <c r="C386" s="1">
        <v>5</v>
      </c>
      <c r="D386" s="1">
        <v>36</v>
      </c>
      <c r="E386" s="11">
        <v>180</v>
      </c>
      <c r="F386" s="3">
        <v>45674</v>
      </c>
      <c r="G386" s="3">
        <v>45676</v>
      </c>
      <c r="H386" s="1" t="s">
        <v>27</v>
      </c>
      <c r="I386" s="1" t="s">
        <v>35</v>
      </c>
      <c r="J386" s="1">
        <v>4</v>
      </c>
      <c r="K386" s="1" t="s">
        <v>19</v>
      </c>
      <c r="L386" s="1" t="s">
        <v>59</v>
      </c>
      <c r="M386" s="1">
        <f>orders[[#This Row],[Ship Date]]-orders[[#This Row],[Order Date]]</f>
        <v>2</v>
      </c>
      <c r="N386" s="1">
        <f>WEEKNUM(orders[[#This Row],[Order Date]])</f>
        <v>3</v>
      </c>
      <c r="O386" s="1" t="str" cm="1">
        <f t="array" ref="O386">_xlfn.IFS(orders[[#This Row],[Customer Gender]]="M","Male", orders[[#This Row],[Customer Gender]]="F","Female", orders[[#This Row],[Customer Gender]]="O","Other", TRUE,"Unknown")</f>
        <v>Female</v>
      </c>
    </row>
    <row r="387" spans="1:15">
      <c r="A387" s="1" t="s">
        <v>473</v>
      </c>
      <c r="B387" s="1" t="s">
        <v>39</v>
      </c>
      <c r="C387" s="1">
        <v>6</v>
      </c>
      <c r="D387" s="1">
        <v>83.3</v>
      </c>
      <c r="E387" s="11">
        <v>499.79999999999995</v>
      </c>
      <c r="F387" s="3">
        <v>45674</v>
      </c>
      <c r="G387" s="3">
        <v>45677</v>
      </c>
      <c r="H387" s="1" t="s">
        <v>17</v>
      </c>
      <c r="I387" s="1" t="s">
        <v>40</v>
      </c>
      <c r="J387" s="1">
        <v>4</v>
      </c>
      <c r="K387" s="1" t="s">
        <v>19</v>
      </c>
      <c r="L387" s="1" t="s">
        <v>59</v>
      </c>
      <c r="M387" s="1">
        <f>orders[[#This Row],[Ship Date]]-orders[[#This Row],[Order Date]]</f>
        <v>3</v>
      </c>
      <c r="N387" s="1">
        <f>WEEKNUM(orders[[#This Row],[Order Date]])</f>
        <v>3</v>
      </c>
      <c r="O387" s="1" t="str" cm="1">
        <f t="array" ref="O387">_xlfn.IFS(orders[[#This Row],[Customer Gender]]="M","Male", orders[[#This Row],[Customer Gender]]="F","Female", orders[[#This Row],[Customer Gender]]="O","Other", TRUE,"Unknown")</f>
        <v>Unknown</v>
      </c>
    </row>
    <row r="388" spans="1:15">
      <c r="A388" s="1" t="s">
        <v>474</v>
      </c>
      <c r="B388" s="1" t="s">
        <v>26</v>
      </c>
      <c r="C388" s="1">
        <v>17</v>
      </c>
      <c r="D388" s="1">
        <v>60.3</v>
      </c>
      <c r="E388" s="11">
        <v>1025.0999999999999</v>
      </c>
      <c r="F388" s="3">
        <v>45674</v>
      </c>
      <c r="G388" s="3">
        <v>45675</v>
      </c>
      <c r="H388" s="1" t="s">
        <v>23</v>
      </c>
      <c r="I388" s="1" t="s">
        <v>40</v>
      </c>
      <c r="J388" s="1">
        <v>3</v>
      </c>
      <c r="K388" s="1" t="s">
        <v>19</v>
      </c>
      <c r="L388" s="1" t="s">
        <v>59</v>
      </c>
      <c r="M388" s="1">
        <f>orders[[#This Row],[Ship Date]]-orders[[#This Row],[Order Date]]</f>
        <v>1</v>
      </c>
      <c r="N388" s="1">
        <f>WEEKNUM(orders[[#This Row],[Order Date]])</f>
        <v>3</v>
      </c>
      <c r="O388" s="1" t="str" cm="1">
        <f t="array" ref="O388">_xlfn.IFS(orders[[#This Row],[Customer Gender]]="M","Male", orders[[#This Row],[Customer Gender]]="F","Female", orders[[#This Row],[Customer Gender]]="O","Other", TRUE,"Unknown")</f>
        <v>Male</v>
      </c>
    </row>
    <row r="389" spans="1:15">
      <c r="A389" s="1" t="s">
        <v>475</v>
      </c>
      <c r="B389" s="1" t="s">
        <v>26</v>
      </c>
      <c r="C389" s="1">
        <v>6</v>
      </c>
      <c r="D389" s="1">
        <v>120.3</v>
      </c>
      <c r="E389" s="11">
        <v>721.8</v>
      </c>
      <c r="F389" s="3">
        <v>45674</v>
      </c>
      <c r="G389" s="3">
        <v>45675</v>
      </c>
      <c r="H389" s="1" t="s">
        <v>23</v>
      </c>
      <c r="I389" s="1" t="s">
        <v>40</v>
      </c>
      <c r="J389" s="1">
        <v>4</v>
      </c>
      <c r="K389" s="1" t="s">
        <v>19</v>
      </c>
      <c r="L389" s="1" t="s">
        <v>62</v>
      </c>
      <c r="M389" s="1">
        <f>orders[[#This Row],[Ship Date]]-orders[[#This Row],[Order Date]]</f>
        <v>1</v>
      </c>
      <c r="N389" s="1">
        <f>WEEKNUM(orders[[#This Row],[Order Date]])</f>
        <v>3</v>
      </c>
      <c r="O389" s="1" t="str" cm="1">
        <f t="array" ref="O389">_xlfn.IFS(orders[[#This Row],[Customer Gender]]="M","Male", orders[[#This Row],[Customer Gender]]="F","Female", orders[[#This Row],[Customer Gender]]="O","Other", TRUE,"Unknown")</f>
        <v>Male</v>
      </c>
    </row>
    <row r="390" spans="1:15">
      <c r="A390" s="1" t="s">
        <v>476</v>
      </c>
      <c r="B390" s="1" t="s">
        <v>32</v>
      </c>
      <c r="C390" s="1">
        <v>10</v>
      </c>
      <c r="D390" s="1">
        <v>34</v>
      </c>
      <c r="E390" s="11">
        <v>340</v>
      </c>
      <c r="F390" s="3">
        <v>45674</v>
      </c>
      <c r="G390" s="3">
        <v>45678</v>
      </c>
      <c r="H390" s="1" t="s">
        <v>27</v>
      </c>
      <c r="I390" s="1" t="s">
        <v>40</v>
      </c>
      <c r="J390" s="1">
        <v>4</v>
      </c>
      <c r="K390" s="1" t="s">
        <v>19</v>
      </c>
      <c r="L390" s="1" t="s">
        <v>62</v>
      </c>
      <c r="M390" s="1">
        <f>orders[[#This Row],[Ship Date]]-orders[[#This Row],[Order Date]]</f>
        <v>4</v>
      </c>
      <c r="N390" s="1">
        <f>WEEKNUM(orders[[#This Row],[Order Date]])</f>
        <v>3</v>
      </c>
      <c r="O390" s="1" t="str" cm="1">
        <f t="array" ref="O390">_xlfn.IFS(orders[[#This Row],[Customer Gender]]="M","Male", orders[[#This Row],[Customer Gender]]="F","Female", orders[[#This Row],[Customer Gender]]="O","Other", TRUE,"Unknown")</f>
        <v>Female</v>
      </c>
    </row>
    <row r="391" spans="1:15">
      <c r="A391" s="1" t="s">
        <v>477</v>
      </c>
      <c r="B391" s="1" t="s">
        <v>54</v>
      </c>
      <c r="C391" s="1">
        <v>5</v>
      </c>
      <c r="D391" s="1">
        <v>42.6</v>
      </c>
      <c r="E391" s="11">
        <v>213</v>
      </c>
      <c r="F391" s="3">
        <v>45674</v>
      </c>
      <c r="G391" s="3">
        <v>45677</v>
      </c>
      <c r="H391" s="1" t="s">
        <v>23</v>
      </c>
      <c r="I391" s="1" t="s">
        <v>35</v>
      </c>
      <c r="J391" s="1">
        <v>4</v>
      </c>
      <c r="K391" s="1" t="s">
        <v>19</v>
      </c>
      <c r="L391" s="1" t="s">
        <v>62</v>
      </c>
      <c r="M391" s="1">
        <f>orders[[#This Row],[Ship Date]]-orders[[#This Row],[Order Date]]</f>
        <v>3</v>
      </c>
      <c r="N391" s="1">
        <f>WEEKNUM(orders[[#This Row],[Order Date]])</f>
        <v>3</v>
      </c>
      <c r="O391" s="1" t="str" cm="1">
        <f t="array" ref="O391">_xlfn.IFS(orders[[#This Row],[Customer Gender]]="M","Male", orders[[#This Row],[Customer Gender]]="F","Female", orders[[#This Row],[Customer Gender]]="O","Other", TRUE,"Unknown")</f>
        <v>Male</v>
      </c>
    </row>
    <row r="392" spans="1:15">
      <c r="A392" s="1" t="s">
        <v>478</v>
      </c>
      <c r="B392" s="1" t="s">
        <v>37</v>
      </c>
      <c r="C392" s="1">
        <v>20</v>
      </c>
      <c r="D392" s="1">
        <v>47.4</v>
      </c>
      <c r="E392" s="11">
        <v>948</v>
      </c>
      <c r="F392" s="3">
        <v>45674</v>
      </c>
      <c r="G392" s="3">
        <v>45674</v>
      </c>
      <c r="H392" s="1" t="s">
        <v>27</v>
      </c>
      <c r="I392" s="1" t="s">
        <v>40</v>
      </c>
      <c r="J392" s="1">
        <v>3</v>
      </c>
      <c r="K392" s="1" t="s">
        <v>19</v>
      </c>
      <c r="L392" s="1" t="s">
        <v>103</v>
      </c>
      <c r="M392" s="1">
        <f>orders[[#This Row],[Ship Date]]-orders[[#This Row],[Order Date]]</f>
        <v>0</v>
      </c>
      <c r="N392" s="1">
        <f>WEEKNUM(orders[[#This Row],[Order Date]])</f>
        <v>3</v>
      </c>
      <c r="O392" s="1" t="str" cm="1">
        <f t="array" ref="O392">_xlfn.IFS(orders[[#This Row],[Customer Gender]]="M","Male", orders[[#This Row],[Customer Gender]]="F","Female", orders[[#This Row],[Customer Gender]]="O","Other", TRUE,"Unknown")</f>
        <v>Female</v>
      </c>
    </row>
    <row r="393" spans="1:15">
      <c r="A393" s="1" t="s">
        <v>479</v>
      </c>
      <c r="B393" s="1" t="s">
        <v>26</v>
      </c>
      <c r="C393" s="1">
        <v>1</v>
      </c>
      <c r="D393" s="1">
        <v>74</v>
      </c>
      <c r="E393" s="11">
        <v>74</v>
      </c>
      <c r="F393" s="3">
        <v>45675</v>
      </c>
      <c r="G393" s="3">
        <v>45676</v>
      </c>
      <c r="H393" s="1" t="s">
        <v>23</v>
      </c>
      <c r="I393" s="1" t="s">
        <v>35</v>
      </c>
      <c r="J393" s="1">
        <v>4</v>
      </c>
      <c r="K393" s="1" t="s">
        <v>19</v>
      </c>
      <c r="L393" s="1" t="s">
        <v>77</v>
      </c>
      <c r="M393" s="1">
        <f>orders[[#This Row],[Ship Date]]-orders[[#This Row],[Order Date]]</f>
        <v>1</v>
      </c>
      <c r="N393" s="1">
        <f>WEEKNUM(orders[[#This Row],[Order Date]])</f>
        <v>3</v>
      </c>
      <c r="O393" s="1" t="str" cm="1">
        <f t="array" ref="O393">_xlfn.IFS(orders[[#This Row],[Customer Gender]]="M","Male", orders[[#This Row],[Customer Gender]]="F","Female", orders[[#This Row],[Customer Gender]]="O","Other", TRUE,"Unknown")</f>
        <v>Male</v>
      </c>
    </row>
    <row r="394" spans="1:15">
      <c r="A394" s="1" t="s">
        <v>480</v>
      </c>
      <c r="B394" s="1" t="s">
        <v>26</v>
      </c>
      <c r="C394" s="1">
        <v>5</v>
      </c>
      <c r="D394" s="1">
        <v>60.4</v>
      </c>
      <c r="E394" s="11">
        <v>302</v>
      </c>
      <c r="F394" s="3">
        <v>45675</v>
      </c>
      <c r="G394" s="3">
        <v>45678</v>
      </c>
      <c r="H394" s="1" t="s">
        <v>27</v>
      </c>
      <c r="I394" s="1" t="s">
        <v>35</v>
      </c>
      <c r="J394" s="1">
        <v>2</v>
      </c>
      <c r="K394" s="1" t="s">
        <v>19</v>
      </c>
      <c r="L394" s="1" t="s">
        <v>108</v>
      </c>
      <c r="M394" s="1">
        <f>orders[[#This Row],[Ship Date]]-orders[[#This Row],[Order Date]]</f>
        <v>3</v>
      </c>
      <c r="N394" s="1">
        <f>WEEKNUM(orders[[#This Row],[Order Date]])</f>
        <v>3</v>
      </c>
      <c r="O394" s="1" t="str" cm="1">
        <f t="array" ref="O394">_xlfn.IFS(orders[[#This Row],[Customer Gender]]="M","Male", orders[[#This Row],[Customer Gender]]="F","Female", orders[[#This Row],[Customer Gender]]="O","Other", TRUE,"Unknown")</f>
        <v>Female</v>
      </c>
    </row>
    <row r="395" spans="1:15">
      <c r="A395" s="1" t="s">
        <v>481</v>
      </c>
      <c r="B395" s="1" t="s">
        <v>69</v>
      </c>
      <c r="C395" s="1">
        <v>2</v>
      </c>
      <c r="D395" s="1">
        <v>69.3</v>
      </c>
      <c r="E395" s="11">
        <v>138.6</v>
      </c>
      <c r="F395" s="3">
        <v>45675</v>
      </c>
      <c r="G395" s="3">
        <v>45678</v>
      </c>
      <c r="H395" s="1" t="s">
        <v>23</v>
      </c>
      <c r="I395" s="1" t="s">
        <v>35</v>
      </c>
      <c r="J395" s="1">
        <v>3</v>
      </c>
      <c r="K395" s="1" t="s">
        <v>19</v>
      </c>
      <c r="L395" s="1" t="s">
        <v>82</v>
      </c>
      <c r="M395" s="1">
        <f>orders[[#This Row],[Ship Date]]-orders[[#This Row],[Order Date]]</f>
        <v>3</v>
      </c>
      <c r="N395" s="1">
        <f>WEEKNUM(orders[[#This Row],[Order Date]])</f>
        <v>3</v>
      </c>
      <c r="O395" s="1" t="str" cm="1">
        <f t="array" ref="O395">_xlfn.IFS(orders[[#This Row],[Customer Gender]]="M","Male", orders[[#This Row],[Customer Gender]]="F","Female", orders[[#This Row],[Customer Gender]]="O","Other", TRUE,"Unknown")</f>
        <v>Male</v>
      </c>
    </row>
    <row r="396" spans="1:15">
      <c r="A396" s="1" t="s">
        <v>482</v>
      </c>
      <c r="B396" s="1" t="s">
        <v>37</v>
      </c>
      <c r="C396" s="1">
        <v>5</v>
      </c>
      <c r="D396" s="1">
        <v>81</v>
      </c>
      <c r="E396" s="11">
        <v>405</v>
      </c>
      <c r="F396" s="3">
        <v>45675</v>
      </c>
      <c r="G396" s="3">
        <v>45681</v>
      </c>
      <c r="H396" s="1" t="s">
        <v>23</v>
      </c>
      <c r="I396" s="1" t="s">
        <v>51</v>
      </c>
      <c r="J396" s="1">
        <v>4</v>
      </c>
      <c r="K396" s="1" t="s">
        <v>19</v>
      </c>
      <c r="L396" s="1" t="s">
        <v>115</v>
      </c>
      <c r="M396" s="1">
        <f>orders[[#This Row],[Ship Date]]-orders[[#This Row],[Order Date]]</f>
        <v>6</v>
      </c>
      <c r="N396" s="1">
        <f>WEEKNUM(orders[[#This Row],[Order Date]])</f>
        <v>3</v>
      </c>
      <c r="O396" s="1" t="str" cm="1">
        <f t="array" ref="O396">_xlfn.IFS(orders[[#This Row],[Customer Gender]]="M","Male", orders[[#This Row],[Customer Gender]]="F","Female", orders[[#This Row],[Customer Gender]]="O","Other", TRUE,"Unknown")</f>
        <v>Male</v>
      </c>
    </row>
    <row r="397" spans="1:15">
      <c r="A397" s="1" t="s">
        <v>483</v>
      </c>
      <c r="B397" s="1" t="s">
        <v>123</v>
      </c>
      <c r="C397" s="1">
        <v>3</v>
      </c>
      <c r="D397" s="1">
        <v>41.5</v>
      </c>
      <c r="E397" s="11">
        <v>124.5</v>
      </c>
      <c r="F397" s="3">
        <v>45675</v>
      </c>
      <c r="G397" s="3">
        <v>45677</v>
      </c>
      <c r="H397" s="1" t="s">
        <v>89</v>
      </c>
      <c r="I397" s="1" t="s">
        <v>35</v>
      </c>
      <c r="J397" s="1">
        <v>4</v>
      </c>
      <c r="K397" s="1" t="s">
        <v>19</v>
      </c>
      <c r="L397" s="1" t="s">
        <v>115</v>
      </c>
      <c r="M397" s="1">
        <f>orders[[#This Row],[Ship Date]]-orders[[#This Row],[Order Date]]</f>
        <v>2</v>
      </c>
      <c r="N397" s="1">
        <f>WEEKNUM(orders[[#This Row],[Order Date]])</f>
        <v>3</v>
      </c>
      <c r="O397" s="1" t="str" cm="1">
        <f t="array" ref="O397">_xlfn.IFS(orders[[#This Row],[Customer Gender]]="M","Male", orders[[#This Row],[Customer Gender]]="F","Female", orders[[#This Row],[Customer Gender]]="O","Other", TRUE,"Unknown")</f>
        <v>Other</v>
      </c>
    </row>
    <row r="398" spans="1:15">
      <c r="A398" s="1" t="s">
        <v>484</v>
      </c>
      <c r="B398" s="1" t="s">
        <v>146</v>
      </c>
      <c r="C398" s="1">
        <v>2</v>
      </c>
      <c r="D398" s="1">
        <v>69.7</v>
      </c>
      <c r="E398" s="11">
        <v>139.4</v>
      </c>
      <c r="F398" s="3">
        <v>45675</v>
      </c>
      <c r="G398" s="3">
        <v>45680</v>
      </c>
      <c r="H398" s="1" t="s">
        <v>23</v>
      </c>
      <c r="I398" s="1" t="s">
        <v>35</v>
      </c>
      <c r="J398" s="1">
        <v>4</v>
      </c>
      <c r="K398" s="1" t="s">
        <v>19</v>
      </c>
      <c r="L398" s="1" t="s">
        <v>115</v>
      </c>
      <c r="M398" s="1">
        <f>orders[[#This Row],[Ship Date]]-orders[[#This Row],[Order Date]]</f>
        <v>5</v>
      </c>
      <c r="N398" s="1">
        <f>WEEKNUM(orders[[#This Row],[Order Date]])</f>
        <v>3</v>
      </c>
      <c r="O398" s="1" t="str" cm="1">
        <f t="array" ref="O398">_xlfn.IFS(orders[[#This Row],[Customer Gender]]="M","Male", orders[[#This Row],[Customer Gender]]="F","Female", orders[[#This Row],[Customer Gender]]="O","Other", TRUE,"Unknown")</f>
        <v>Male</v>
      </c>
    </row>
    <row r="399" spans="1:15">
      <c r="A399" s="1" t="s">
        <v>485</v>
      </c>
      <c r="B399" s="1" t="s">
        <v>26</v>
      </c>
      <c r="C399" s="1">
        <v>5</v>
      </c>
      <c r="D399" s="1">
        <v>83.6</v>
      </c>
      <c r="E399" s="11">
        <v>418</v>
      </c>
      <c r="F399" s="3">
        <v>45675</v>
      </c>
      <c r="G399" s="3">
        <v>45675</v>
      </c>
      <c r="H399" s="1" t="s">
        <v>27</v>
      </c>
      <c r="I399" s="1" t="s">
        <v>70</v>
      </c>
      <c r="J399" s="1">
        <v>4</v>
      </c>
      <c r="K399" s="1" t="s">
        <v>19</v>
      </c>
      <c r="L399" s="1" t="s">
        <v>24</v>
      </c>
      <c r="M399" s="1">
        <f>orders[[#This Row],[Ship Date]]-orders[[#This Row],[Order Date]]</f>
        <v>0</v>
      </c>
      <c r="N399" s="1">
        <f>WEEKNUM(orders[[#This Row],[Order Date]])</f>
        <v>3</v>
      </c>
      <c r="O399" s="1" t="str" cm="1">
        <f t="array" ref="O399">_xlfn.IFS(orders[[#This Row],[Customer Gender]]="M","Male", orders[[#This Row],[Customer Gender]]="F","Female", orders[[#This Row],[Customer Gender]]="O","Other", TRUE,"Unknown")</f>
        <v>Female</v>
      </c>
    </row>
    <row r="400" spans="1:15">
      <c r="A400" s="1" t="s">
        <v>486</v>
      </c>
      <c r="B400" s="1" t="s">
        <v>44</v>
      </c>
      <c r="C400" s="1">
        <v>7</v>
      </c>
      <c r="D400" s="1">
        <v>21.5</v>
      </c>
      <c r="E400" s="11">
        <v>150.5</v>
      </c>
      <c r="F400" s="3">
        <v>45675</v>
      </c>
      <c r="G400" s="3">
        <v>45677</v>
      </c>
      <c r="H400" s="1" t="s">
        <v>23</v>
      </c>
      <c r="I400" s="1" t="s">
        <v>35</v>
      </c>
      <c r="J400" s="1">
        <v>2</v>
      </c>
      <c r="K400" s="1" t="s">
        <v>19</v>
      </c>
      <c r="L400" s="1" t="s">
        <v>334</v>
      </c>
      <c r="M400" s="1">
        <f>orders[[#This Row],[Ship Date]]-orders[[#This Row],[Order Date]]</f>
        <v>2</v>
      </c>
      <c r="N400" s="1">
        <f>WEEKNUM(orders[[#This Row],[Order Date]])</f>
        <v>3</v>
      </c>
      <c r="O400" s="1" t="str" cm="1">
        <f t="array" ref="O400">_xlfn.IFS(orders[[#This Row],[Customer Gender]]="M","Male", orders[[#This Row],[Customer Gender]]="F","Female", orders[[#This Row],[Customer Gender]]="O","Other", TRUE,"Unknown")</f>
        <v>Male</v>
      </c>
    </row>
    <row r="401" spans="1:15">
      <c r="A401" s="1" t="s">
        <v>487</v>
      </c>
      <c r="B401" s="1" t="s">
        <v>44</v>
      </c>
      <c r="C401" s="1">
        <v>8</v>
      </c>
      <c r="D401" s="1">
        <v>28.6</v>
      </c>
      <c r="E401" s="11">
        <v>228.8</v>
      </c>
      <c r="F401" s="3">
        <v>45675</v>
      </c>
      <c r="G401" s="3">
        <v>45676</v>
      </c>
      <c r="H401" s="1" t="s">
        <v>23</v>
      </c>
      <c r="I401" s="1" t="s">
        <v>18</v>
      </c>
      <c r="J401" s="1">
        <v>4</v>
      </c>
      <c r="K401" s="1" t="s">
        <v>19</v>
      </c>
      <c r="L401" s="1" t="s">
        <v>33</v>
      </c>
      <c r="M401" s="1">
        <f>orders[[#This Row],[Ship Date]]-orders[[#This Row],[Order Date]]</f>
        <v>1</v>
      </c>
      <c r="N401" s="1">
        <f>WEEKNUM(orders[[#This Row],[Order Date]])</f>
        <v>3</v>
      </c>
      <c r="O401" s="1" t="str" cm="1">
        <f t="array" ref="O401">_xlfn.IFS(orders[[#This Row],[Customer Gender]]="M","Male", orders[[#This Row],[Customer Gender]]="F","Female", orders[[#This Row],[Customer Gender]]="O","Other", TRUE,"Unknown")</f>
        <v>Male</v>
      </c>
    </row>
    <row r="402" spans="1:15">
      <c r="A402" s="1" t="s">
        <v>488</v>
      </c>
      <c r="B402" s="1" t="s">
        <v>44</v>
      </c>
      <c r="C402" s="1">
        <v>6</v>
      </c>
      <c r="D402" s="1">
        <v>18.8</v>
      </c>
      <c r="E402" s="11">
        <v>112.80000000000001</v>
      </c>
      <c r="F402" s="3">
        <v>45675</v>
      </c>
      <c r="G402" s="3">
        <v>45678</v>
      </c>
      <c r="H402" s="1" t="s">
        <v>23</v>
      </c>
      <c r="I402" s="1" t="s">
        <v>51</v>
      </c>
      <c r="J402" s="1">
        <v>5</v>
      </c>
      <c r="K402" s="1" t="s">
        <v>19</v>
      </c>
      <c r="L402" s="1" t="s">
        <v>33</v>
      </c>
      <c r="M402" s="1">
        <f>orders[[#This Row],[Ship Date]]-orders[[#This Row],[Order Date]]</f>
        <v>3</v>
      </c>
      <c r="N402" s="1">
        <f>WEEKNUM(orders[[#This Row],[Order Date]])</f>
        <v>3</v>
      </c>
      <c r="O402" s="1" t="str" cm="1">
        <f t="array" ref="O402">_xlfn.IFS(orders[[#This Row],[Customer Gender]]="M","Male", orders[[#This Row],[Customer Gender]]="F","Female", orders[[#This Row],[Customer Gender]]="O","Other", TRUE,"Unknown")</f>
        <v>Male</v>
      </c>
    </row>
    <row r="403" spans="1:15">
      <c r="A403" s="1" t="s">
        <v>489</v>
      </c>
      <c r="B403" s="1" t="s">
        <v>54</v>
      </c>
      <c r="C403" s="1">
        <v>4</v>
      </c>
      <c r="D403" s="1">
        <v>35.1</v>
      </c>
      <c r="E403" s="11">
        <v>140.4</v>
      </c>
      <c r="F403" s="3">
        <v>45675</v>
      </c>
      <c r="G403" s="3">
        <v>45675</v>
      </c>
      <c r="H403" s="1" t="s">
        <v>27</v>
      </c>
      <c r="I403" s="1" t="s">
        <v>35</v>
      </c>
      <c r="J403" s="1">
        <v>3</v>
      </c>
      <c r="K403" s="1" t="s">
        <v>19</v>
      </c>
      <c r="L403" s="1" t="s">
        <v>33</v>
      </c>
      <c r="M403" s="1">
        <f>orders[[#This Row],[Ship Date]]-orders[[#This Row],[Order Date]]</f>
        <v>0</v>
      </c>
      <c r="N403" s="1">
        <f>WEEKNUM(orders[[#This Row],[Order Date]])</f>
        <v>3</v>
      </c>
      <c r="O403" s="1" t="str" cm="1">
        <f t="array" ref="O403">_xlfn.IFS(orders[[#This Row],[Customer Gender]]="M","Male", orders[[#This Row],[Customer Gender]]="F","Female", orders[[#This Row],[Customer Gender]]="O","Other", TRUE,"Unknown")</f>
        <v>Female</v>
      </c>
    </row>
    <row r="404" spans="1:15">
      <c r="A404" s="1" t="s">
        <v>490</v>
      </c>
      <c r="B404" s="1" t="s">
        <v>16</v>
      </c>
      <c r="C404" s="1">
        <v>2</v>
      </c>
      <c r="D404" s="1">
        <v>12.7</v>
      </c>
      <c r="E404" s="11">
        <v>25.4</v>
      </c>
      <c r="F404" s="3">
        <v>45675</v>
      </c>
      <c r="G404" s="3">
        <v>45677</v>
      </c>
      <c r="H404" s="1" t="s">
        <v>27</v>
      </c>
      <c r="I404" s="1" t="s">
        <v>35</v>
      </c>
      <c r="J404" s="1">
        <v>5</v>
      </c>
      <c r="K404" s="1" t="s">
        <v>19</v>
      </c>
      <c r="L404" s="1" t="s">
        <v>33</v>
      </c>
      <c r="M404" s="1">
        <f>orders[[#This Row],[Ship Date]]-orders[[#This Row],[Order Date]]</f>
        <v>2</v>
      </c>
      <c r="N404" s="1">
        <f>WEEKNUM(orders[[#This Row],[Order Date]])</f>
        <v>3</v>
      </c>
      <c r="O404" s="1" t="str" cm="1">
        <f t="array" ref="O404">_xlfn.IFS(orders[[#This Row],[Customer Gender]]="M","Male", orders[[#This Row],[Customer Gender]]="F","Female", orders[[#This Row],[Customer Gender]]="O","Other", TRUE,"Unknown")</f>
        <v>Female</v>
      </c>
    </row>
    <row r="405" spans="1:15">
      <c r="A405" s="1" t="s">
        <v>491</v>
      </c>
      <c r="B405" s="1" t="s">
        <v>44</v>
      </c>
      <c r="C405" s="1">
        <v>5</v>
      </c>
      <c r="D405" s="1">
        <v>27.4</v>
      </c>
      <c r="E405" s="11">
        <v>137</v>
      </c>
      <c r="F405" s="3">
        <v>45675</v>
      </c>
      <c r="G405" s="3">
        <v>45677</v>
      </c>
      <c r="H405" s="1" t="s">
        <v>89</v>
      </c>
      <c r="I405" s="1" t="s">
        <v>18</v>
      </c>
      <c r="J405" s="1">
        <v>4</v>
      </c>
      <c r="K405" s="1" t="s">
        <v>19</v>
      </c>
      <c r="L405" s="1" t="s">
        <v>33</v>
      </c>
      <c r="M405" s="1">
        <f>orders[[#This Row],[Ship Date]]-orders[[#This Row],[Order Date]]</f>
        <v>2</v>
      </c>
      <c r="N405" s="1">
        <f>WEEKNUM(orders[[#This Row],[Order Date]])</f>
        <v>3</v>
      </c>
      <c r="O405" s="1" t="str" cm="1">
        <f t="array" ref="O405">_xlfn.IFS(orders[[#This Row],[Customer Gender]]="M","Male", orders[[#This Row],[Customer Gender]]="F","Female", orders[[#This Row],[Customer Gender]]="O","Other", TRUE,"Unknown")</f>
        <v>Other</v>
      </c>
    </row>
    <row r="406" spans="1:15">
      <c r="A406" s="1" t="s">
        <v>492</v>
      </c>
      <c r="B406" s="1" t="s">
        <v>54</v>
      </c>
      <c r="C406" s="1">
        <v>2</v>
      </c>
      <c r="D406" s="1">
        <v>61.3</v>
      </c>
      <c r="E406" s="11">
        <v>122.6</v>
      </c>
      <c r="F406" s="3">
        <v>45675</v>
      </c>
      <c r="G406" s="3">
        <v>45676</v>
      </c>
      <c r="H406" s="1" t="s">
        <v>27</v>
      </c>
      <c r="I406" s="1" t="s">
        <v>35</v>
      </c>
      <c r="J406" s="1">
        <v>4</v>
      </c>
      <c r="K406" s="1" t="s">
        <v>19</v>
      </c>
      <c r="L406" s="1" t="s">
        <v>55</v>
      </c>
      <c r="M406" s="1">
        <f>orders[[#This Row],[Ship Date]]-orders[[#This Row],[Order Date]]</f>
        <v>1</v>
      </c>
      <c r="N406" s="1">
        <f>WEEKNUM(orders[[#This Row],[Order Date]])</f>
        <v>3</v>
      </c>
      <c r="O406" s="1" t="str" cm="1">
        <f t="array" ref="O406">_xlfn.IFS(orders[[#This Row],[Customer Gender]]="M","Male", orders[[#This Row],[Customer Gender]]="F","Female", orders[[#This Row],[Customer Gender]]="O","Other", TRUE,"Unknown")</f>
        <v>Female</v>
      </c>
    </row>
    <row r="407" spans="1:15">
      <c r="A407" s="1" t="s">
        <v>493</v>
      </c>
      <c r="B407" s="1" t="s">
        <v>44</v>
      </c>
      <c r="C407" s="1">
        <v>2</v>
      </c>
      <c r="D407" s="1">
        <v>64.7</v>
      </c>
      <c r="E407" s="11">
        <v>129.4</v>
      </c>
      <c r="F407" s="3">
        <v>45675</v>
      </c>
      <c r="G407" s="3">
        <v>45677</v>
      </c>
      <c r="H407" s="1" t="s">
        <v>27</v>
      </c>
      <c r="I407" s="1" t="s">
        <v>51</v>
      </c>
      <c r="J407" s="1">
        <v>5</v>
      </c>
      <c r="K407" s="1" t="s">
        <v>19</v>
      </c>
      <c r="L407" s="1" t="s">
        <v>55</v>
      </c>
      <c r="M407" s="1">
        <f>orders[[#This Row],[Ship Date]]-orders[[#This Row],[Order Date]]</f>
        <v>2</v>
      </c>
      <c r="N407" s="1">
        <f>WEEKNUM(orders[[#This Row],[Order Date]])</f>
        <v>3</v>
      </c>
      <c r="O407" s="1" t="str" cm="1">
        <f t="array" ref="O407">_xlfn.IFS(orders[[#This Row],[Customer Gender]]="M","Male", orders[[#This Row],[Customer Gender]]="F","Female", orders[[#This Row],[Customer Gender]]="O","Other", TRUE,"Unknown")</f>
        <v>Female</v>
      </c>
    </row>
    <row r="408" spans="1:15">
      <c r="A408" s="1" t="s">
        <v>494</v>
      </c>
      <c r="B408" s="1" t="s">
        <v>42</v>
      </c>
      <c r="C408" s="1">
        <v>4</v>
      </c>
      <c r="D408" s="1">
        <v>91.4</v>
      </c>
      <c r="E408" s="11">
        <v>365.6</v>
      </c>
      <c r="F408" s="3">
        <v>45675</v>
      </c>
      <c r="G408" s="3">
        <v>45677</v>
      </c>
      <c r="H408" s="1" t="s">
        <v>27</v>
      </c>
      <c r="I408" s="1" t="s">
        <v>18</v>
      </c>
      <c r="J408" s="1">
        <v>4</v>
      </c>
      <c r="K408" s="1" t="s">
        <v>19</v>
      </c>
      <c r="L408" s="1" t="s">
        <v>62</v>
      </c>
      <c r="M408" s="1">
        <f>orders[[#This Row],[Ship Date]]-orders[[#This Row],[Order Date]]</f>
        <v>2</v>
      </c>
      <c r="N408" s="1">
        <f>WEEKNUM(orders[[#This Row],[Order Date]])</f>
        <v>3</v>
      </c>
      <c r="O408" s="1" t="str" cm="1">
        <f t="array" ref="O408">_xlfn.IFS(orders[[#This Row],[Customer Gender]]="M","Male", orders[[#This Row],[Customer Gender]]="F","Female", orders[[#This Row],[Customer Gender]]="O","Other", TRUE,"Unknown")</f>
        <v>Female</v>
      </c>
    </row>
    <row r="409" spans="1:15">
      <c r="A409" s="1" t="s">
        <v>495</v>
      </c>
      <c r="B409" s="1" t="s">
        <v>16</v>
      </c>
      <c r="C409" s="1">
        <v>2</v>
      </c>
      <c r="D409" s="1">
        <v>33.1</v>
      </c>
      <c r="E409" s="11">
        <v>66.2</v>
      </c>
      <c r="F409" s="3">
        <v>45676</v>
      </c>
      <c r="G409" s="3">
        <v>45677</v>
      </c>
      <c r="H409" s="1" t="s">
        <v>23</v>
      </c>
      <c r="I409" s="1" t="s">
        <v>18</v>
      </c>
      <c r="J409" s="1">
        <v>5</v>
      </c>
      <c r="K409" s="1" t="s">
        <v>19</v>
      </c>
      <c r="L409" s="1" t="s">
        <v>62</v>
      </c>
      <c r="M409" s="1">
        <f>orders[[#This Row],[Ship Date]]-orders[[#This Row],[Order Date]]</f>
        <v>1</v>
      </c>
      <c r="N409" s="1">
        <f>WEEKNUM(orders[[#This Row],[Order Date]])</f>
        <v>4</v>
      </c>
      <c r="O409" s="1" t="str" cm="1">
        <f t="array" ref="O409">_xlfn.IFS(orders[[#This Row],[Customer Gender]]="M","Male", orders[[#This Row],[Customer Gender]]="F","Female", orders[[#This Row],[Customer Gender]]="O","Other", TRUE,"Unknown")</f>
        <v>Male</v>
      </c>
    </row>
    <row r="410" spans="1:15">
      <c r="A410" s="1" t="s">
        <v>496</v>
      </c>
      <c r="B410" s="1" t="s">
        <v>30</v>
      </c>
      <c r="C410" s="1">
        <v>2</v>
      </c>
      <c r="D410" s="1">
        <v>105.6</v>
      </c>
      <c r="E410" s="11">
        <v>211.2</v>
      </c>
      <c r="F410" s="3">
        <v>45676</v>
      </c>
      <c r="G410" s="3">
        <v>45677</v>
      </c>
      <c r="H410" s="1" t="s">
        <v>23</v>
      </c>
      <c r="I410" s="1" t="s">
        <v>40</v>
      </c>
      <c r="J410" s="1">
        <v>3</v>
      </c>
      <c r="K410" s="1" t="s">
        <v>19</v>
      </c>
      <c r="L410" s="1" t="s">
        <v>62</v>
      </c>
      <c r="M410" s="1">
        <f>orders[[#This Row],[Ship Date]]-orders[[#This Row],[Order Date]]</f>
        <v>1</v>
      </c>
      <c r="N410" s="1">
        <f>WEEKNUM(orders[[#This Row],[Order Date]])</f>
        <v>4</v>
      </c>
      <c r="O410" s="1" t="str" cm="1">
        <f t="array" ref="O410">_xlfn.IFS(orders[[#This Row],[Customer Gender]]="M","Male", orders[[#This Row],[Customer Gender]]="F","Female", orders[[#This Row],[Customer Gender]]="O","Other", TRUE,"Unknown")</f>
        <v>Male</v>
      </c>
    </row>
    <row r="411" spans="1:15">
      <c r="A411" s="1" t="s">
        <v>497</v>
      </c>
      <c r="B411" s="1" t="s">
        <v>54</v>
      </c>
      <c r="C411" s="1">
        <v>3</v>
      </c>
      <c r="D411" s="1">
        <v>46.4</v>
      </c>
      <c r="E411" s="11">
        <v>139.19999999999999</v>
      </c>
      <c r="F411" s="3">
        <v>45676</v>
      </c>
      <c r="G411" s="3">
        <v>45677</v>
      </c>
      <c r="H411" s="1" t="s">
        <v>23</v>
      </c>
      <c r="I411" s="1" t="s">
        <v>40</v>
      </c>
      <c r="J411" s="1">
        <v>4</v>
      </c>
      <c r="K411" s="1" t="s">
        <v>19</v>
      </c>
      <c r="L411" s="1" t="s">
        <v>72</v>
      </c>
      <c r="M411" s="1">
        <f>orders[[#This Row],[Ship Date]]-orders[[#This Row],[Order Date]]</f>
        <v>1</v>
      </c>
      <c r="N411" s="1">
        <f>WEEKNUM(orders[[#This Row],[Order Date]])</f>
        <v>4</v>
      </c>
      <c r="O411" s="1" t="str" cm="1">
        <f t="array" ref="O411">_xlfn.IFS(orders[[#This Row],[Customer Gender]]="M","Male", orders[[#This Row],[Customer Gender]]="F","Female", orders[[#This Row],[Customer Gender]]="O","Other", TRUE,"Unknown")</f>
        <v>Male</v>
      </c>
    </row>
    <row r="412" spans="1:15">
      <c r="A412" s="1" t="s">
        <v>498</v>
      </c>
      <c r="B412" s="1" t="s">
        <v>46</v>
      </c>
      <c r="C412" s="1">
        <v>14</v>
      </c>
      <c r="D412" s="1">
        <v>35.299999999999997</v>
      </c>
      <c r="E412" s="11">
        <v>494.19999999999993</v>
      </c>
      <c r="F412" s="3">
        <v>45676</v>
      </c>
      <c r="G412" s="3">
        <v>45679</v>
      </c>
      <c r="H412" s="1" t="s">
        <v>27</v>
      </c>
      <c r="I412" s="1" t="s">
        <v>70</v>
      </c>
      <c r="J412" s="1">
        <v>3</v>
      </c>
      <c r="K412" s="1" t="s">
        <v>19</v>
      </c>
      <c r="L412" s="1" t="s">
        <v>77</v>
      </c>
      <c r="M412" s="1">
        <f>orders[[#This Row],[Ship Date]]-orders[[#This Row],[Order Date]]</f>
        <v>3</v>
      </c>
      <c r="N412" s="1">
        <f>WEEKNUM(orders[[#This Row],[Order Date]])</f>
        <v>4</v>
      </c>
      <c r="O412" s="1" t="str" cm="1">
        <f t="array" ref="O412">_xlfn.IFS(orders[[#This Row],[Customer Gender]]="M","Male", orders[[#This Row],[Customer Gender]]="F","Female", orders[[#This Row],[Customer Gender]]="O","Other", TRUE,"Unknown")</f>
        <v>Female</v>
      </c>
    </row>
    <row r="413" spans="1:15">
      <c r="A413" s="1" t="s">
        <v>499</v>
      </c>
      <c r="B413" s="1" t="s">
        <v>16</v>
      </c>
      <c r="C413" s="1">
        <v>2</v>
      </c>
      <c r="D413" s="1">
        <v>16.100000000000001</v>
      </c>
      <c r="E413" s="11">
        <v>32.200000000000003</v>
      </c>
      <c r="F413" s="3">
        <v>45676</v>
      </c>
      <c r="G413" s="3">
        <v>45678</v>
      </c>
      <c r="H413" s="1" t="s">
        <v>23</v>
      </c>
      <c r="I413" s="1" t="s">
        <v>51</v>
      </c>
      <c r="J413" s="1">
        <v>5</v>
      </c>
      <c r="K413" s="1" t="s">
        <v>19</v>
      </c>
      <c r="L413" s="1" t="s">
        <v>309</v>
      </c>
      <c r="M413" s="1">
        <f>orders[[#This Row],[Ship Date]]-orders[[#This Row],[Order Date]]</f>
        <v>2</v>
      </c>
      <c r="N413" s="1">
        <f>WEEKNUM(orders[[#This Row],[Order Date]])</f>
        <v>4</v>
      </c>
      <c r="O413" s="1" t="str" cm="1">
        <f t="array" ref="O413">_xlfn.IFS(orders[[#This Row],[Customer Gender]]="M","Male", orders[[#This Row],[Customer Gender]]="F","Female", orders[[#This Row],[Customer Gender]]="O","Other", TRUE,"Unknown")</f>
        <v>Male</v>
      </c>
    </row>
    <row r="414" spans="1:15">
      <c r="A414" s="1" t="s">
        <v>500</v>
      </c>
      <c r="B414" s="1" t="s">
        <v>32</v>
      </c>
      <c r="C414" s="1">
        <v>2</v>
      </c>
      <c r="D414" s="1">
        <v>27.9</v>
      </c>
      <c r="E414" s="11">
        <v>55.8</v>
      </c>
      <c r="F414" s="3">
        <v>45676</v>
      </c>
      <c r="G414" s="3">
        <v>45679</v>
      </c>
      <c r="H414" s="1" t="s">
        <v>23</v>
      </c>
      <c r="I414" s="1" t="s">
        <v>18</v>
      </c>
      <c r="J414" s="1">
        <v>4</v>
      </c>
      <c r="K414" s="1" t="s">
        <v>19</v>
      </c>
      <c r="L414" s="1" t="s">
        <v>82</v>
      </c>
      <c r="M414" s="1">
        <f>orders[[#This Row],[Ship Date]]-orders[[#This Row],[Order Date]]</f>
        <v>3</v>
      </c>
      <c r="N414" s="1">
        <f>WEEKNUM(orders[[#This Row],[Order Date]])</f>
        <v>4</v>
      </c>
      <c r="O414" s="1" t="str" cm="1">
        <f t="array" ref="O414">_xlfn.IFS(orders[[#This Row],[Customer Gender]]="M","Male", orders[[#This Row],[Customer Gender]]="F","Female", orders[[#This Row],[Customer Gender]]="O","Other", TRUE,"Unknown")</f>
        <v>Male</v>
      </c>
    </row>
    <row r="415" spans="1:15">
      <c r="A415" s="1" t="s">
        <v>501</v>
      </c>
      <c r="B415" s="1" t="s">
        <v>44</v>
      </c>
      <c r="C415" s="1">
        <v>1</v>
      </c>
      <c r="D415" s="1">
        <v>47.1</v>
      </c>
      <c r="E415" s="11">
        <v>47.1</v>
      </c>
      <c r="F415" s="3">
        <v>45676</v>
      </c>
      <c r="G415" s="3">
        <v>45684</v>
      </c>
      <c r="H415" s="1" t="s">
        <v>27</v>
      </c>
      <c r="I415" s="1" t="s">
        <v>35</v>
      </c>
      <c r="J415" s="1">
        <v>4</v>
      </c>
      <c r="K415" s="1" t="s">
        <v>19</v>
      </c>
      <c r="L415" s="1" t="s">
        <v>28</v>
      </c>
      <c r="M415" s="1">
        <f>orders[[#This Row],[Ship Date]]-orders[[#This Row],[Order Date]]</f>
        <v>8</v>
      </c>
      <c r="N415" s="1">
        <f>WEEKNUM(orders[[#This Row],[Order Date]])</f>
        <v>4</v>
      </c>
      <c r="O415" s="1" t="str" cm="1">
        <f t="array" ref="O415">_xlfn.IFS(orders[[#This Row],[Customer Gender]]="M","Male", orders[[#This Row],[Customer Gender]]="F","Female", orders[[#This Row],[Customer Gender]]="O","Other", TRUE,"Unknown")</f>
        <v>Female</v>
      </c>
    </row>
    <row r="416" spans="1:15">
      <c r="A416" s="1" t="s">
        <v>502</v>
      </c>
      <c r="B416" s="1" t="s">
        <v>39</v>
      </c>
      <c r="C416" s="1">
        <v>2</v>
      </c>
      <c r="D416" s="1">
        <v>85</v>
      </c>
      <c r="E416" s="11">
        <v>170</v>
      </c>
      <c r="F416" s="3">
        <v>45676</v>
      </c>
      <c r="G416" s="3">
        <v>45679</v>
      </c>
      <c r="H416" s="1" t="s">
        <v>17</v>
      </c>
      <c r="I416" s="1" t="s">
        <v>40</v>
      </c>
      <c r="J416" s="1">
        <v>5</v>
      </c>
      <c r="K416" s="1" t="s">
        <v>19</v>
      </c>
      <c r="L416" s="1" t="s">
        <v>147</v>
      </c>
      <c r="M416" s="1">
        <f>orders[[#This Row],[Ship Date]]-orders[[#This Row],[Order Date]]</f>
        <v>3</v>
      </c>
      <c r="N416" s="1">
        <f>WEEKNUM(orders[[#This Row],[Order Date]])</f>
        <v>4</v>
      </c>
      <c r="O416" s="1" t="str" cm="1">
        <f t="array" ref="O416">_xlfn.IFS(orders[[#This Row],[Customer Gender]]="M","Male", orders[[#This Row],[Customer Gender]]="F","Female", orders[[#This Row],[Customer Gender]]="O","Other", TRUE,"Unknown")</f>
        <v>Unknown</v>
      </c>
    </row>
    <row r="417" spans="1:15">
      <c r="A417" s="1" t="s">
        <v>503</v>
      </c>
      <c r="B417" s="1" t="s">
        <v>146</v>
      </c>
      <c r="C417" s="1">
        <v>2</v>
      </c>
      <c r="D417" s="1">
        <v>89</v>
      </c>
      <c r="E417" s="11">
        <v>178</v>
      </c>
      <c r="F417" s="3">
        <v>45676</v>
      </c>
      <c r="G417" s="3">
        <v>45678</v>
      </c>
      <c r="H417" s="1" t="s">
        <v>27</v>
      </c>
      <c r="I417" s="1" t="s">
        <v>18</v>
      </c>
      <c r="J417" s="1">
        <v>4</v>
      </c>
      <c r="K417" s="1" t="s">
        <v>19</v>
      </c>
      <c r="L417" s="1" t="s">
        <v>33</v>
      </c>
      <c r="M417" s="1">
        <f>orders[[#This Row],[Ship Date]]-orders[[#This Row],[Order Date]]</f>
        <v>2</v>
      </c>
      <c r="N417" s="1">
        <f>WEEKNUM(orders[[#This Row],[Order Date]])</f>
        <v>4</v>
      </c>
      <c r="O417" s="1" t="str" cm="1">
        <f t="array" ref="O417">_xlfn.IFS(orders[[#This Row],[Customer Gender]]="M","Male", orders[[#This Row],[Customer Gender]]="F","Female", orders[[#This Row],[Customer Gender]]="O","Other", TRUE,"Unknown")</f>
        <v>Female</v>
      </c>
    </row>
    <row r="418" spans="1:15">
      <c r="A418" s="1" t="s">
        <v>504</v>
      </c>
      <c r="B418" s="1" t="s">
        <v>128</v>
      </c>
      <c r="C418" s="1">
        <v>3</v>
      </c>
      <c r="D418" s="1">
        <v>36.6</v>
      </c>
      <c r="E418" s="11">
        <v>109.80000000000001</v>
      </c>
      <c r="F418" s="3">
        <v>45676</v>
      </c>
      <c r="G418" s="3">
        <v>45677</v>
      </c>
      <c r="H418" s="1" t="s">
        <v>89</v>
      </c>
      <c r="I418" s="1" t="s">
        <v>51</v>
      </c>
      <c r="J418" s="1">
        <v>5</v>
      </c>
      <c r="K418" s="1" t="s">
        <v>19</v>
      </c>
      <c r="L418" s="1" t="s">
        <v>33</v>
      </c>
      <c r="M418" s="1">
        <f>orders[[#This Row],[Ship Date]]-orders[[#This Row],[Order Date]]</f>
        <v>1</v>
      </c>
      <c r="N418" s="1">
        <f>WEEKNUM(orders[[#This Row],[Order Date]])</f>
        <v>4</v>
      </c>
      <c r="O418" s="1" t="str" cm="1">
        <f t="array" ref="O418">_xlfn.IFS(orders[[#This Row],[Customer Gender]]="M","Male", orders[[#This Row],[Customer Gender]]="F","Female", orders[[#This Row],[Customer Gender]]="O","Other", TRUE,"Unknown")</f>
        <v>Other</v>
      </c>
    </row>
    <row r="419" spans="1:15">
      <c r="A419" s="1" t="s">
        <v>505</v>
      </c>
      <c r="B419" s="1" t="s">
        <v>39</v>
      </c>
      <c r="C419" s="1">
        <v>7</v>
      </c>
      <c r="D419" s="1">
        <v>43.5</v>
      </c>
      <c r="E419" s="11">
        <v>304.5</v>
      </c>
      <c r="F419" s="3">
        <v>45676</v>
      </c>
      <c r="G419" s="3">
        <v>45677</v>
      </c>
      <c r="H419" s="1" t="s">
        <v>23</v>
      </c>
      <c r="I419" s="1" t="s">
        <v>35</v>
      </c>
      <c r="J419" s="1">
        <v>5</v>
      </c>
      <c r="K419" s="1" t="s">
        <v>19</v>
      </c>
      <c r="L419" s="1" t="s">
        <v>33</v>
      </c>
      <c r="M419" s="1">
        <f>orders[[#This Row],[Ship Date]]-orders[[#This Row],[Order Date]]</f>
        <v>1</v>
      </c>
      <c r="N419" s="1">
        <f>WEEKNUM(orders[[#This Row],[Order Date]])</f>
        <v>4</v>
      </c>
      <c r="O419" s="1" t="str" cm="1">
        <f t="array" ref="O419">_xlfn.IFS(orders[[#This Row],[Customer Gender]]="M","Male", orders[[#This Row],[Customer Gender]]="F","Female", orders[[#This Row],[Customer Gender]]="O","Other", TRUE,"Unknown")</f>
        <v>Male</v>
      </c>
    </row>
    <row r="420" spans="1:15">
      <c r="A420" s="1" t="s">
        <v>506</v>
      </c>
      <c r="B420" s="1" t="s">
        <v>46</v>
      </c>
      <c r="C420" s="1">
        <v>19</v>
      </c>
      <c r="D420" s="1">
        <v>30.5</v>
      </c>
      <c r="E420" s="11">
        <v>579.5</v>
      </c>
      <c r="F420" s="3">
        <v>45676</v>
      </c>
      <c r="G420" s="3">
        <v>45676</v>
      </c>
      <c r="H420" s="1" t="s">
        <v>27</v>
      </c>
      <c r="I420" s="1" t="s">
        <v>51</v>
      </c>
      <c r="J420" s="1">
        <v>4</v>
      </c>
      <c r="K420" s="1" t="s">
        <v>19</v>
      </c>
      <c r="L420" s="1" t="s">
        <v>33</v>
      </c>
      <c r="M420" s="1">
        <f>orders[[#This Row],[Ship Date]]-orders[[#This Row],[Order Date]]</f>
        <v>0</v>
      </c>
      <c r="N420" s="1">
        <f>WEEKNUM(orders[[#This Row],[Order Date]])</f>
        <v>4</v>
      </c>
      <c r="O420" s="1" t="str" cm="1">
        <f t="array" ref="O420">_xlfn.IFS(orders[[#This Row],[Customer Gender]]="M","Male", orders[[#This Row],[Customer Gender]]="F","Female", orders[[#This Row],[Customer Gender]]="O","Other", TRUE,"Unknown")</f>
        <v>Female</v>
      </c>
    </row>
    <row r="421" spans="1:15">
      <c r="A421" s="1" t="s">
        <v>507</v>
      </c>
      <c r="B421" s="1" t="s">
        <v>22</v>
      </c>
      <c r="C421" s="1">
        <v>2</v>
      </c>
      <c r="D421" s="1">
        <v>107.7</v>
      </c>
      <c r="E421" s="11">
        <v>215.4</v>
      </c>
      <c r="F421" s="3">
        <v>45676</v>
      </c>
      <c r="G421" s="3">
        <v>45680</v>
      </c>
      <c r="H421" s="1" t="s">
        <v>23</v>
      </c>
      <c r="I421" s="1" t="s">
        <v>51</v>
      </c>
      <c r="J421" s="1">
        <v>2</v>
      </c>
      <c r="K421" s="1" t="s">
        <v>19</v>
      </c>
      <c r="L421" s="1" t="s">
        <v>33</v>
      </c>
      <c r="M421" s="1">
        <f>orders[[#This Row],[Ship Date]]-orders[[#This Row],[Order Date]]</f>
        <v>4</v>
      </c>
      <c r="N421" s="1">
        <f>WEEKNUM(orders[[#This Row],[Order Date]])</f>
        <v>4</v>
      </c>
      <c r="O421" s="1" t="str" cm="1">
        <f t="array" ref="O421">_xlfn.IFS(orders[[#This Row],[Customer Gender]]="M","Male", orders[[#This Row],[Customer Gender]]="F","Female", orders[[#This Row],[Customer Gender]]="O","Other", TRUE,"Unknown")</f>
        <v>Male</v>
      </c>
    </row>
    <row r="422" spans="1:15">
      <c r="A422" s="1" t="s">
        <v>508</v>
      </c>
      <c r="B422" s="1" t="s">
        <v>135</v>
      </c>
      <c r="C422" s="1">
        <v>26</v>
      </c>
      <c r="D422" s="1">
        <v>57.1</v>
      </c>
      <c r="E422" s="11">
        <v>1484.6000000000001</v>
      </c>
      <c r="F422" s="3">
        <v>45676</v>
      </c>
      <c r="G422" s="3">
        <v>45677</v>
      </c>
      <c r="H422" s="1" t="s">
        <v>23</v>
      </c>
      <c r="I422" s="1" t="s">
        <v>35</v>
      </c>
      <c r="J422" s="1">
        <v>4</v>
      </c>
      <c r="K422" s="1" t="s">
        <v>19</v>
      </c>
      <c r="L422" s="1" t="s">
        <v>33</v>
      </c>
      <c r="M422" s="1">
        <f>orders[[#This Row],[Ship Date]]-orders[[#This Row],[Order Date]]</f>
        <v>1</v>
      </c>
      <c r="N422" s="1">
        <f>WEEKNUM(orders[[#This Row],[Order Date]])</f>
        <v>4</v>
      </c>
      <c r="O422" s="1" t="str" cm="1">
        <f t="array" ref="O422">_xlfn.IFS(orders[[#This Row],[Customer Gender]]="M","Male", orders[[#This Row],[Customer Gender]]="F","Female", orders[[#This Row],[Customer Gender]]="O","Other", TRUE,"Unknown")</f>
        <v>Male</v>
      </c>
    </row>
    <row r="423" spans="1:15">
      <c r="A423" s="1" t="s">
        <v>509</v>
      </c>
      <c r="B423" s="1" t="s">
        <v>26</v>
      </c>
      <c r="C423" s="1">
        <v>10</v>
      </c>
      <c r="D423" s="1">
        <v>111.7</v>
      </c>
      <c r="E423" s="11">
        <v>1117</v>
      </c>
      <c r="F423" s="3">
        <v>45676</v>
      </c>
      <c r="G423" s="3">
        <v>45677</v>
      </c>
      <c r="H423" s="1" t="s">
        <v>27</v>
      </c>
      <c r="I423" s="1" t="s">
        <v>70</v>
      </c>
      <c r="J423" s="1">
        <v>5</v>
      </c>
      <c r="K423" s="1" t="s">
        <v>19</v>
      </c>
      <c r="L423" s="1" t="s">
        <v>33</v>
      </c>
      <c r="M423" s="1">
        <f>orders[[#This Row],[Ship Date]]-orders[[#This Row],[Order Date]]</f>
        <v>1</v>
      </c>
      <c r="N423" s="1">
        <f>WEEKNUM(orders[[#This Row],[Order Date]])</f>
        <v>4</v>
      </c>
      <c r="O423" s="1" t="str" cm="1">
        <f t="array" ref="O423">_xlfn.IFS(orders[[#This Row],[Customer Gender]]="M","Male", orders[[#This Row],[Customer Gender]]="F","Female", orders[[#This Row],[Customer Gender]]="O","Other", TRUE,"Unknown")</f>
        <v>Female</v>
      </c>
    </row>
    <row r="424" spans="1:15">
      <c r="A424" s="1" t="s">
        <v>510</v>
      </c>
      <c r="B424" s="1" t="s">
        <v>146</v>
      </c>
      <c r="C424" s="1">
        <v>7</v>
      </c>
      <c r="D424" s="1">
        <v>44.3</v>
      </c>
      <c r="E424" s="11">
        <v>310.09999999999997</v>
      </c>
      <c r="F424" s="3">
        <v>45676</v>
      </c>
      <c r="G424" s="3">
        <v>45679</v>
      </c>
      <c r="H424" s="1" t="s">
        <v>23</v>
      </c>
      <c r="I424" s="1" t="s">
        <v>51</v>
      </c>
      <c r="J424" s="1">
        <v>5</v>
      </c>
      <c r="K424" s="1" t="s">
        <v>19</v>
      </c>
      <c r="L424" s="1" t="s">
        <v>33</v>
      </c>
      <c r="M424" s="1">
        <f>orders[[#This Row],[Ship Date]]-orders[[#This Row],[Order Date]]</f>
        <v>3</v>
      </c>
      <c r="N424" s="1">
        <f>WEEKNUM(orders[[#This Row],[Order Date]])</f>
        <v>4</v>
      </c>
      <c r="O424" s="1" t="str" cm="1">
        <f t="array" ref="O424">_xlfn.IFS(orders[[#This Row],[Customer Gender]]="M","Male", orders[[#This Row],[Customer Gender]]="F","Female", orders[[#This Row],[Customer Gender]]="O","Other", TRUE,"Unknown")</f>
        <v>Male</v>
      </c>
    </row>
    <row r="425" spans="1:15">
      <c r="A425" s="1" t="s">
        <v>511</v>
      </c>
      <c r="B425" s="1" t="s">
        <v>26</v>
      </c>
      <c r="C425" s="1">
        <v>8</v>
      </c>
      <c r="D425" s="1">
        <v>95.8</v>
      </c>
      <c r="E425" s="11">
        <v>766.4</v>
      </c>
      <c r="F425" s="3">
        <v>45676</v>
      </c>
      <c r="G425" s="3">
        <v>45682</v>
      </c>
      <c r="H425" s="1" t="s">
        <v>89</v>
      </c>
      <c r="I425" s="1" t="s">
        <v>18</v>
      </c>
      <c r="J425" s="1">
        <v>4</v>
      </c>
      <c r="K425" s="1" t="s">
        <v>19</v>
      </c>
      <c r="L425" s="1" t="s">
        <v>33</v>
      </c>
      <c r="M425" s="1">
        <f>orders[[#This Row],[Ship Date]]-orders[[#This Row],[Order Date]]</f>
        <v>6</v>
      </c>
      <c r="N425" s="1">
        <f>WEEKNUM(orders[[#This Row],[Order Date]])</f>
        <v>4</v>
      </c>
      <c r="O425" s="1" t="str" cm="1">
        <f t="array" ref="O425">_xlfn.IFS(orders[[#This Row],[Customer Gender]]="M","Male", orders[[#This Row],[Customer Gender]]="F","Female", orders[[#This Row],[Customer Gender]]="O","Other", TRUE,"Unknown")</f>
        <v>Other</v>
      </c>
    </row>
    <row r="426" spans="1:15">
      <c r="A426" s="1" t="s">
        <v>512</v>
      </c>
      <c r="B426" s="1" t="s">
        <v>54</v>
      </c>
      <c r="C426" s="1">
        <v>7</v>
      </c>
      <c r="D426" s="1">
        <v>22.6</v>
      </c>
      <c r="E426" s="11">
        <v>158.20000000000002</v>
      </c>
      <c r="F426" s="3">
        <v>45676</v>
      </c>
      <c r="G426" s="3">
        <v>45679</v>
      </c>
      <c r="H426" s="1" t="s">
        <v>27</v>
      </c>
      <c r="I426" s="1" t="s">
        <v>51</v>
      </c>
      <c r="J426" s="1">
        <v>3</v>
      </c>
      <c r="K426" s="1" t="s">
        <v>19</v>
      </c>
      <c r="L426" s="1" t="s">
        <v>33</v>
      </c>
      <c r="M426" s="1">
        <f>orders[[#This Row],[Ship Date]]-orders[[#This Row],[Order Date]]</f>
        <v>3</v>
      </c>
      <c r="N426" s="1">
        <f>WEEKNUM(orders[[#This Row],[Order Date]])</f>
        <v>4</v>
      </c>
      <c r="O426" s="1" t="str" cm="1">
        <f t="array" ref="O426">_xlfn.IFS(orders[[#This Row],[Customer Gender]]="M","Male", orders[[#This Row],[Customer Gender]]="F","Female", orders[[#This Row],[Customer Gender]]="O","Other", TRUE,"Unknown")</f>
        <v>Female</v>
      </c>
    </row>
    <row r="427" spans="1:15">
      <c r="A427" s="1" t="s">
        <v>513</v>
      </c>
      <c r="B427" s="1" t="s">
        <v>44</v>
      </c>
      <c r="C427" s="1">
        <v>8</v>
      </c>
      <c r="D427" s="1">
        <v>25.6</v>
      </c>
      <c r="E427" s="11">
        <v>204.8</v>
      </c>
      <c r="F427" s="3">
        <v>45676</v>
      </c>
      <c r="G427" s="3">
        <v>45678</v>
      </c>
      <c r="H427" s="1" t="s">
        <v>27</v>
      </c>
      <c r="I427" s="1" t="s">
        <v>70</v>
      </c>
      <c r="J427" s="1">
        <v>4</v>
      </c>
      <c r="K427" s="1" t="s">
        <v>19</v>
      </c>
      <c r="L427" s="1" t="s">
        <v>33</v>
      </c>
      <c r="M427" s="1">
        <f>orders[[#This Row],[Ship Date]]-orders[[#This Row],[Order Date]]</f>
        <v>2</v>
      </c>
      <c r="N427" s="1">
        <f>WEEKNUM(orders[[#This Row],[Order Date]])</f>
        <v>4</v>
      </c>
      <c r="O427" s="1" t="str" cm="1">
        <f t="array" ref="O427">_xlfn.IFS(orders[[#This Row],[Customer Gender]]="M","Male", orders[[#This Row],[Customer Gender]]="F","Female", orders[[#This Row],[Customer Gender]]="O","Other", TRUE,"Unknown")</f>
        <v>Female</v>
      </c>
    </row>
    <row r="428" spans="1:15">
      <c r="A428" s="1" t="s">
        <v>514</v>
      </c>
      <c r="B428" s="1" t="s">
        <v>39</v>
      </c>
      <c r="C428" s="1">
        <v>16</v>
      </c>
      <c r="D428" s="1">
        <v>54.3</v>
      </c>
      <c r="E428" s="11">
        <v>868.8</v>
      </c>
      <c r="F428" s="3">
        <v>45676</v>
      </c>
      <c r="G428" s="3">
        <v>45679</v>
      </c>
      <c r="H428" s="1" t="s">
        <v>27</v>
      </c>
      <c r="I428" s="1" t="s">
        <v>70</v>
      </c>
      <c r="J428" s="1">
        <v>4</v>
      </c>
      <c r="K428" s="1" t="s">
        <v>19</v>
      </c>
      <c r="L428" s="1" t="s">
        <v>33</v>
      </c>
      <c r="M428" s="1">
        <f>orders[[#This Row],[Ship Date]]-orders[[#This Row],[Order Date]]</f>
        <v>3</v>
      </c>
      <c r="N428" s="1">
        <f>WEEKNUM(orders[[#This Row],[Order Date]])</f>
        <v>4</v>
      </c>
      <c r="O428" s="1" t="str" cm="1">
        <f t="array" ref="O428">_xlfn.IFS(orders[[#This Row],[Customer Gender]]="M","Male", orders[[#This Row],[Customer Gender]]="F","Female", orders[[#This Row],[Customer Gender]]="O","Other", TRUE,"Unknown")</f>
        <v>Female</v>
      </c>
    </row>
    <row r="429" spans="1:15">
      <c r="A429" s="1" t="s">
        <v>515</v>
      </c>
      <c r="B429" s="1" t="s">
        <v>146</v>
      </c>
      <c r="C429" s="1">
        <v>13</v>
      </c>
      <c r="D429" s="1">
        <v>51.3</v>
      </c>
      <c r="E429" s="11">
        <v>666.9</v>
      </c>
      <c r="F429" s="3">
        <v>45676</v>
      </c>
      <c r="G429" s="3">
        <v>45678</v>
      </c>
      <c r="H429" s="1" t="s">
        <v>23</v>
      </c>
      <c r="I429" s="1" t="s">
        <v>18</v>
      </c>
      <c r="J429" s="1">
        <v>5</v>
      </c>
      <c r="K429" s="1" t="s">
        <v>19</v>
      </c>
      <c r="L429" s="1" t="s">
        <v>33</v>
      </c>
      <c r="M429" s="1">
        <f>orders[[#This Row],[Ship Date]]-orders[[#This Row],[Order Date]]</f>
        <v>2</v>
      </c>
      <c r="N429" s="1">
        <f>WEEKNUM(orders[[#This Row],[Order Date]])</f>
        <v>4</v>
      </c>
      <c r="O429" s="1" t="str" cm="1">
        <f t="array" ref="O429">_xlfn.IFS(orders[[#This Row],[Customer Gender]]="M","Male", orders[[#This Row],[Customer Gender]]="F","Female", orders[[#This Row],[Customer Gender]]="O","Other", TRUE,"Unknown")</f>
        <v>Male</v>
      </c>
    </row>
    <row r="430" spans="1:15">
      <c r="A430" s="1" t="s">
        <v>516</v>
      </c>
      <c r="B430" s="1" t="s">
        <v>16</v>
      </c>
      <c r="C430" s="1">
        <v>8</v>
      </c>
      <c r="D430" s="1">
        <v>25.6</v>
      </c>
      <c r="E430" s="11">
        <v>204.8</v>
      </c>
      <c r="F430" s="3">
        <v>45676</v>
      </c>
      <c r="G430" s="3">
        <v>45677</v>
      </c>
      <c r="H430" s="1" t="s">
        <v>27</v>
      </c>
      <c r="I430" s="1" t="s">
        <v>35</v>
      </c>
      <c r="J430" s="1">
        <v>3</v>
      </c>
      <c r="K430" s="1" t="s">
        <v>19</v>
      </c>
      <c r="L430" s="1" t="s">
        <v>33</v>
      </c>
      <c r="M430" s="1">
        <f>orders[[#This Row],[Ship Date]]-orders[[#This Row],[Order Date]]</f>
        <v>1</v>
      </c>
      <c r="N430" s="1">
        <f>WEEKNUM(orders[[#This Row],[Order Date]])</f>
        <v>4</v>
      </c>
      <c r="O430" s="1" t="str" cm="1">
        <f t="array" ref="O430">_xlfn.IFS(orders[[#This Row],[Customer Gender]]="M","Male", orders[[#This Row],[Customer Gender]]="F","Female", orders[[#This Row],[Customer Gender]]="O","Other", TRUE,"Unknown")</f>
        <v>Female</v>
      </c>
    </row>
    <row r="431" spans="1:15">
      <c r="A431" s="1" t="s">
        <v>517</v>
      </c>
      <c r="B431" s="1" t="s">
        <v>16</v>
      </c>
      <c r="C431" s="1">
        <v>2</v>
      </c>
      <c r="D431" s="1">
        <v>15.6</v>
      </c>
      <c r="E431" s="11">
        <v>31.2</v>
      </c>
      <c r="F431" s="3">
        <v>45676</v>
      </c>
      <c r="G431" s="3">
        <v>45677</v>
      </c>
      <c r="H431" s="1" t="s">
        <v>27</v>
      </c>
      <c r="I431" s="1" t="s">
        <v>40</v>
      </c>
      <c r="J431" s="1">
        <v>5</v>
      </c>
      <c r="K431" s="1" t="s">
        <v>19</v>
      </c>
      <c r="L431" s="1" t="s">
        <v>33</v>
      </c>
      <c r="M431" s="1">
        <f>orders[[#This Row],[Ship Date]]-orders[[#This Row],[Order Date]]</f>
        <v>1</v>
      </c>
      <c r="N431" s="1">
        <f>WEEKNUM(orders[[#This Row],[Order Date]])</f>
        <v>4</v>
      </c>
      <c r="O431" s="1" t="str" cm="1">
        <f t="array" ref="O431">_xlfn.IFS(orders[[#This Row],[Customer Gender]]="M","Male", orders[[#This Row],[Customer Gender]]="F","Female", orders[[#This Row],[Customer Gender]]="O","Other", TRUE,"Unknown")</f>
        <v>Female</v>
      </c>
    </row>
    <row r="432" spans="1:15">
      <c r="A432" s="1" t="s">
        <v>518</v>
      </c>
      <c r="B432" s="1" t="s">
        <v>44</v>
      </c>
      <c r="C432" s="1">
        <v>3</v>
      </c>
      <c r="D432" s="1">
        <v>30.3</v>
      </c>
      <c r="E432" s="11">
        <v>90.9</v>
      </c>
      <c r="F432" s="3">
        <v>45676</v>
      </c>
      <c r="G432" s="3">
        <v>45680</v>
      </c>
      <c r="H432" s="1" t="s">
        <v>27</v>
      </c>
      <c r="I432" s="1" t="s">
        <v>18</v>
      </c>
      <c r="J432" s="1">
        <v>3</v>
      </c>
      <c r="K432" s="1" t="s">
        <v>19</v>
      </c>
      <c r="L432" s="1" t="s">
        <v>33</v>
      </c>
      <c r="M432" s="1">
        <f>orders[[#This Row],[Ship Date]]-orders[[#This Row],[Order Date]]</f>
        <v>4</v>
      </c>
      <c r="N432" s="1">
        <f>WEEKNUM(orders[[#This Row],[Order Date]])</f>
        <v>4</v>
      </c>
      <c r="O432" s="1" t="str" cm="1">
        <f t="array" ref="O432">_xlfn.IFS(orders[[#This Row],[Customer Gender]]="M","Male", orders[[#This Row],[Customer Gender]]="F","Female", orders[[#This Row],[Customer Gender]]="O","Other", TRUE,"Unknown")</f>
        <v>Female</v>
      </c>
    </row>
    <row r="433" spans="1:15">
      <c r="A433" s="1" t="s">
        <v>519</v>
      </c>
      <c r="B433" s="1" t="s">
        <v>69</v>
      </c>
      <c r="C433" s="1">
        <v>2</v>
      </c>
      <c r="D433" s="1">
        <v>30.3</v>
      </c>
      <c r="E433" s="11">
        <v>60.6</v>
      </c>
      <c r="F433" s="3">
        <v>45676</v>
      </c>
      <c r="G433" s="3">
        <v>45681</v>
      </c>
      <c r="H433" s="1" t="s">
        <v>27</v>
      </c>
      <c r="I433" s="1" t="s">
        <v>18</v>
      </c>
      <c r="J433" s="1">
        <v>5</v>
      </c>
      <c r="K433" s="1" t="s">
        <v>19</v>
      </c>
      <c r="L433" s="1" t="s">
        <v>364</v>
      </c>
      <c r="M433" s="1">
        <f>orders[[#This Row],[Ship Date]]-orders[[#This Row],[Order Date]]</f>
        <v>5</v>
      </c>
      <c r="N433" s="1">
        <f>WEEKNUM(orders[[#This Row],[Order Date]])</f>
        <v>4</v>
      </c>
      <c r="O433" s="1" t="str" cm="1">
        <f t="array" ref="O433">_xlfn.IFS(orders[[#This Row],[Customer Gender]]="M","Male", orders[[#This Row],[Customer Gender]]="F","Female", orders[[#This Row],[Customer Gender]]="O","Other", TRUE,"Unknown")</f>
        <v>Female</v>
      </c>
    </row>
    <row r="434" spans="1:15">
      <c r="A434" s="1" t="s">
        <v>520</v>
      </c>
      <c r="B434" s="1" t="s">
        <v>54</v>
      </c>
      <c r="C434" s="1">
        <v>3</v>
      </c>
      <c r="D434" s="1">
        <v>53</v>
      </c>
      <c r="E434" s="11">
        <v>159</v>
      </c>
      <c r="F434" s="3">
        <v>45676</v>
      </c>
      <c r="G434" s="3">
        <v>45683</v>
      </c>
      <c r="H434" s="1" t="s">
        <v>27</v>
      </c>
      <c r="I434" s="1" t="s">
        <v>40</v>
      </c>
      <c r="J434" s="1">
        <v>4</v>
      </c>
      <c r="K434" s="1" t="s">
        <v>19</v>
      </c>
      <c r="L434" s="1" t="s">
        <v>186</v>
      </c>
      <c r="M434" s="1">
        <f>orders[[#This Row],[Ship Date]]-orders[[#This Row],[Order Date]]</f>
        <v>7</v>
      </c>
      <c r="N434" s="1">
        <f>WEEKNUM(orders[[#This Row],[Order Date]])</f>
        <v>4</v>
      </c>
      <c r="O434" s="1" t="str" cm="1">
        <f t="array" ref="O434">_xlfn.IFS(orders[[#This Row],[Customer Gender]]="M","Male", orders[[#This Row],[Customer Gender]]="F","Female", orders[[#This Row],[Customer Gender]]="O","Other", TRUE,"Unknown")</f>
        <v>Female</v>
      </c>
    </row>
    <row r="435" spans="1:15">
      <c r="A435" s="1" t="s">
        <v>521</v>
      </c>
      <c r="B435" s="1" t="s">
        <v>37</v>
      </c>
      <c r="C435" s="1">
        <v>18</v>
      </c>
      <c r="D435" s="1">
        <v>59.9</v>
      </c>
      <c r="E435" s="11">
        <v>1078.2</v>
      </c>
      <c r="F435" s="3">
        <v>45676</v>
      </c>
      <c r="G435" s="3">
        <v>45679</v>
      </c>
      <c r="H435" s="1" t="s">
        <v>23</v>
      </c>
      <c r="I435" s="1" t="s">
        <v>40</v>
      </c>
      <c r="J435" s="1">
        <v>2</v>
      </c>
      <c r="K435" s="1" t="s">
        <v>19</v>
      </c>
      <c r="L435" s="1" t="s">
        <v>188</v>
      </c>
      <c r="M435" s="1">
        <f>orders[[#This Row],[Ship Date]]-orders[[#This Row],[Order Date]]</f>
        <v>3</v>
      </c>
      <c r="N435" s="1">
        <f>WEEKNUM(orders[[#This Row],[Order Date]])</f>
        <v>4</v>
      </c>
      <c r="O435" s="1" t="str" cm="1">
        <f t="array" ref="O435">_xlfn.IFS(orders[[#This Row],[Customer Gender]]="M","Male", orders[[#This Row],[Customer Gender]]="F","Female", orders[[#This Row],[Customer Gender]]="O","Other", TRUE,"Unknown")</f>
        <v>Male</v>
      </c>
    </row>
    <row r="436" spans="1:15">
      <c r="A436" s="1" t="s">
        <v>522</v>
      </c>
      <c r="B436" s="1" t="s">
        <v>46</v>
      </c>
      <c r="C436" s="1">
        <v>2</v>
      </c>
      <c r="D436" s="1">
        <v>45.7</v>
      </c>
      <c r="E436" s="11">
        <v>91.4</v>
      </c>
      <c r="F436" s="3">
        <v>45676</v>
      </c>
      <c r="G436" s="3">
        <v>45677</v>
      </c>
      <c r="H436" s="1" t="s">
        <v>27</v>
      </c>
      <c r="I436" s="1" t="s">
        <v>35</v>
      </c>
      <c r="J436" s="1">
        <v>5</v>
      </c>
      <c r="K436" s="1" t="s">
        <v>19</v>
      </c>
      <c r="L436" s="1" t="s">
        <v>55</v>
      </c>
      <c r="M436" s="1">
        <f>orders[[#This Row],[Ship Date]]-orders[[#This Row],[Order Date]]</f>
        <v>1</v>
      </c>
      <c r="N436" s="1">
        <f>WEEKNUM(orders[[#This Row],[Order Date]])</f>
        <v>4</v>
      </c>
      <c r="O436" s="1" t="str" cm="1">
        <f t="array" ref="O436">_xlfn.IFS(orders[[#This Row],[Customer Gender]]="M","Male", orders[[#This Row],[Customer Gender]]="F","Female", orders[[#This Row],[Customer Gender]]="O","Other", TRUE,"Unknown")</f>
        <v>Female</v>
      </c>
    </row>
    <row r="437" spans="1:15">
      <c r="A437" s="1" t="s">
        <v>523</v>
      </c>
      <c r="B437" s="1" t="s">
        <v>44</v>
      </c>
      <c r="C437" s="1">
        <v>4</v>
      </c>
      <c r="D437" s="1">
        <v>46.1</v>
      </c>
      <c r="E437" s="11">
        <v>184.4</v>
      </c>
      <c r="F437" s="3">
        <v>45676</v>
      </c>
      <c r="G437" s="3">
        <v>45677</v>
      </c>
      <c r="H437" s="1" t="s">
        <v>23</v>
      </c>
      <c r="I437" s="1" t="s">
        <v>18</v>
      </c>
      <c r="J437" s="1">
        <v>4</v>
      </c>
      <c r="K437" s="1" t="s">
        <v>19</v>
      </c>
      <c r="L437" s="1" t="s">
        <v>55</v>
      </c>
      <c r="M437" s="1">
        <f>orders[[#This Row],[Ship Date]]-orders[[#This Row],[Order Date]]</f>
        <v>1</v>
      </c>
      <c r="N437" s="1">
        <f>WEEKNUM(orders[[#This Row],[Order Date]])</f>
        <v>4</v>
      </c>
      <c r="O437" s="1" t="str" cm="1">
        <f t="array" ref="O437">_xlfn.IFS(orders[[#This Row],[Customer Gender]]="M","Male", orders[[#This Row],[Customer Gender]]="F","Female", orders[[#This Row],[Customer Gender]]="O","Other", TRUE,"Unknown")</f>
        <v>Male</v>
      </c>
    </row>
    <row r="438" spans="1:15">
      <c r="A438" s="1" t="s">
        <v>524</v>
      </c>
      <c r="B438" s="1" t="s">
        <v>44</v>
      </c>
      <c r="C438" s="1">
        <v>3</v>
      </c>
      <c r="D438" s="1">
        <v>17.5</v>
      </c>
      <c r="E438" s="11">
        <v>52.5</v>
      </c>
      <c r="F438" s="3">
        <v>45676</v>
      </c>
      <c r="G438" s="3">
        <v>45677</v>
      </c>
      <c r="H438" s="1" t="s">
        <v>27</v>
      </c>
      <c r="I438" s="1" t="s">
        <v>18</v>
      </c>
      <c r="J438" s="1">
        <v>5</v>
      </c>
      <c r="K438" s="1" t="s">
        <v>19</v>
      </c>
      <c r="L438" s="1" t="s">
        <v>62</v>
      </c>
      <c r="M438" s="1">
        <f>orders[[#This Row],[Ship Date]]-orders[[#This Row],[Order Date]]</f>
        <v>1</v>
      </c>
      <c r="N438" s="1">
        <f>WEEKNUM(orders[[#This Row],[Order Date]])</f>
        <v>4</v>
      </c>
      <c r="O438" s="1" t="str" cm="1">
        <f t="array" ref="O438">_xlfn.IFS(orders[[#This Row],[Customer Gender]]="M","Male", orders[[#This Row],[Customer Gender]]="F","Female", orders[[#This Row],[Customer Gender]]="O","Other", TRUE,"Unknown")</f>
        <v>Female</v>
      </c>
    </row>
    <row r="439" spans="1:15">
      <c r="A439" s="1" t="s">
        <v>525</v>
      </c>
      <c r="B439" s="1" t="s">
        <v>54</v>
      </c>
      <c r="C439" s="1">
        <v>3</v>
      </c>
      <c r="D439" s="1">
        <v>36.5</v>
      </c>
      <c r="E439" s="11">
        <v>109.5</v>
      </c>
      <c r="F439" s="3">
        <v>45676</v>
      </c>
      <c r="G439" s="3">
        <v>45687</v>
      </c>
      <c r="H439" s="1" t="s">
        <v>23</v>
      </c>
      <c r="I439" s="1" t="s">
        <v>40</v>
      </c>
      <c r="J439" s="1">
        <v>4</v>
      </c>
      <c r="K439" s="1" t="s">
        <v>19</v>
      </c>
      <c r="L439" s="1" t="s">
        <v>62</v>
      </c>
      <c r="M439" s="1">
        <f>orders[[#This Row],[Ship Date]]-orders[[#This Row],[Order Date]]</f>
        <v>11</v>
      </c>
      <c r="N439" s="1">
        <f>WEEKNUM(orders[[#This Row],[Order Date]])</f>
        <v>4</v>
      </c>
      <c r="O439" s="1" t="str" cm="1">
        <f t="array" ref="O439">_xlfn.IFS(orders[[#This Row],[Customer Gender]]="M","Male", orders[[#This Row],[Customer Gender]]="F","Female", orders[[#This Row],[Customer Gender]]="O","Other", TRUE,"Unknown")</f>
        <v>Male</v>
      </c>
    </row>
    <row r="440" spans="1:15">
      <c r="A440" s="1" t="s">
        <v>526</v>
      </c>
      <c r="B440" s="1" t="s">
        <v>44</v>
      </c>
      <c r="C440" s="1">
        <v>2</v>
      </c>
      <c r="D440" s="1">
        <v>47.5</v>
      </c>
      <c r="E440" s="11">
        <v>95</v>
      </c>
      <c r="F440" s="3">
        <v>45677</v>
      </c>
      <c r="G440" s="3">
        <v>45679</v>
      </c>
      <c r="H440" s="1" t="s">
        <v>27</v>
      </c>
      <c r="I440" s="1" t="s">
        <v>35</v>
      </c>
      <c r="J440" s="1">
        <v>4</v>
      </c>
      <c r="K440" s="1" t="s">
        <v>19</v>
      </c>
      <c r="L440" s="1" t="s">
        <v>62</v>
      </c>
      <c r="M440" s="1">
        <f>orders[[#This Row],[Ship Date]]-orders[[#This Row],[Order Date]]</f>
        <v>2</v>
      </c>
      <c r="N440" s="1">
        <f>WEEKNUM(orders[[#This Row],[Order Date]])</f>
        <v>4</v>
      </c>
      <c r="O440" s="1" t="str" cm="1">
        <f t="array" ref="O440">_xlfn.IFS(orders[[#This Row],[Customer Gender]]="M","Male", orders[[#This Row],[Customer Gender]]="F","Female", orders[[#This Row],[Customer Gender]]="O","Other", TRUE,"Unknown")</f>
        <v>Female</v>
      </c>
    </row>
    <row r="441" spans="1:15">
      <c r="A441" s="1" t="s">
        <v>527</v>
      </c>
      <c r="B441" s="1" t="s">
        <v>39</v>
      </c>
      <c r="C441" s="1">
        <v>5</v>
      </c>
      <c r="D441" s="1">
        <v>45.6</v>
      </c>
      <c r="E441" s="11">
        <v>228</v>
      </c>
      <c r="F441" s="3">
        <v>45677</v>
      </c>
      <c r="G441" s="3">
        <v>45679</v>
      </c>
      <c r="H441" s="1" t="s">
        <v>27</v>
      </c>
      <c r="I441" s="1" t="s">
        <v>18</v>
      </c>
      <c r="J441" s="1">
        <v>5</v>
      </c>
      <c r="K441" s="1" t="s">
        <v>19</v>
      </c>
      <c r="L441" s="1" t="s">
        <v>62</v>
      </c>
      <c r="M441" s="1">
        <f>orders[[#This Row],[Ship Date]]-orders[[#This Row],[Order Date]]</f>
        <v>2</v>
      </c>
      <c r="N441" s="1">
        <f>WEEKNUM(orders[[#This Row],[Order Date]])</f>
        <v>4</v>
      </c>
      <c r="O441" s="1" t="str" cm="1">
        <f t="array" ref="O441">_xlfn.IFS(orders[[#This Row],[Customer Gender]]="M","Male", orders[[#This Row],[Customer Gender]]="F","Female", orders[[#This Row],[Customer Gender]]="O","Other", TRUE,"Unknown")</f>
        <v>Female</v>
      </c>
    </row>
    <row r="442" spans="1:15">
      <c r="A442" s="1" t="s">
        <v>528</v>
      </c>
      <c r="B442" s="1" t="s">
        <v>46</v>
      </c>
      <c r="C442" s="1">
        <v>2</v>
      </c>
      <c r="D442" s="1">
        <v>50.5</v>
      </c>
      <c r="E442" s="11">
        <v>101</v>
      </c>
      <c r="F442" s="3">
        <v>45677</v>
      </c>
      <c r="G442" s="3">
        <v>45679</v>
      </c>
      <c r="H442" s="1" t="s">
        <v>23</v>
      </c>
      <c r="I442" s="1" t="s">
        <v>18</v>
      </c>
      <c r="J442" s="1">
        <v>3</v>
      </c>
      <c r="K442" s="1" t="s">
        <v>19</v>
      </c>
      <c r="L442" s="1" t="s">
        <v>103</v>
      </c>
      <c r="M442" s="1">
        <f>orders[[#This Row],[Ship Date]]-orders[[#This Row],[Order Date]]</f>
        <v>2</v>
      </c>
      <c r="N442" s="1">
        <f>WEEKNUM(orders[[#This Row],[Order Date]])</f>
        <v>4</v>
      </c>
      <c r="O442" s="1" t="str" cm="1">
        <f t="array" ref="O442">_xlfn.IFS(orders[[#This Row],[Customer Gender]]="M","Male", orders[[#This Row],[Customer Gender]]="F","Female", orders[[#This Row],[Customer Gender]]="O","Other", TRUE,"Unknown")</f>
        <v>Male</v>
      </c>
    </row>
    <row r="443" spans="1:15">
      <c r="A443" s="1" t="s">
        <v>529</v>
      </c>
      <c r="B443" s="1" t="s">
        <v>26</v>
      </c>
      <c r="C443" s="1">
        <v>10</v>
      </c>
      <c r="D443" s="1">
        <v>99.8</v>
      </c>
      <c r="E443" s="11">
        <v>998</v>
      </c>
      <c r="F443" s="3">
        <v>45677</v>
      </c>
      <c r="G443" s="3">
        <v>45680</v>
      </c>
      <c r="H443" s="1" t="s">
        <v>27</v>
      </c>
      <c r="I443" s="1" t="s">
        <v>40</v>
      </c>
      <c r="J443" s="1">
        <v>3</v>
      </c>
      <c r="K443" s="1" t="s">
        <v>19</v>
      </c>
      <c r="L443" s="1" t="s">
        <v>103</v>
      </c>
      <c r="M443" s="1">
        <f>orders[[#This Row],[Ship Date]]-orders[[#This Row],[Order Date]]</f>
        <v>3</v>
      </c>
      <c r="N443" s="1">
        <f>WEEKNUM(orders[[#This Row],[Order Date]])</f>
        <v>4</v>
      </c>
      <c r="O443" s="1" t="str" cm="1">
        <f t="array" ref="O443">_xlfn.IFS(orders[[#This Row],[Customer Gender]]="M","Male", orders[[#This Row],[Customer Gender]]="F","Female", orders[[#This Row],[Customer Gender]]="O","Other", TRUE,"Unknown")</f>
        <v>Female</v>
      </c>
    </row>
    <row r="444" spans="1:15">
      <c r="A444" s="1" t="s">
        <v>530</v>
      </c>
      <c r="B444" s="1" t="s">
        <v>44</v>
      </c>
      <c r="C444" s="1">
        <v>15</v>
      </c>
      <c r="D444" s="1">
        <v>19.2</v>
      </c>
      <c r="E444" s="11">
        <v>288</v>
      </c>
      <c r="F444" s="3">
        <v>45677</v>
      </c>
      <c r="G444" s="3">
        <v>45679</v>
      </c>
      <c r="H444" s="1" t="s">
        <v>89</v>
      </c>
      <c r="I444" s="1" t="s">
        <v>70</v>
      </c>
      <c r="J444" s="1">
        <v>3</v>
      </c>
      <c r="K444" s="1" t="s">
        <v>19</v>
      </c>
      <c r="L444" s="1" t="s">
        <v>201</v>
      </c>
      <c r="M444" s="1">
        <f>orders[[#This Row],[Ship Date]]-orders[[#This Row],[Order Date]]</f>
        <v>2</v>
      </c>
      <c r="N444" s="1">
        <f>WEEKNUM(orders[[#This Row],[Order Date]])</f>
        <v>4</v>
      </c>
      <c r="O444" s="1" t="str" cm="1">
        <f t="array" ref="O444">_xlfn.IFS(orders[[#This Row],[Customer Gender]]="M","Male", orders[[#This Row],[Customer Gender]]="F","Female", orders[[#This Row],[Customer Gender]]="O","Other", TRUE,"Unknown")</f>
        <v>Other</v>
      </c>
    </row>
    <row r="445" spans="1:15">
      <c r="A445" s="1" t="s">
        <v>531</v>
      </c>
      <c r="B445" s="1" t="s">
        <v>135</v>
      </c>
      <c r="C445" s="1">
        <v>3</v>
      </c>
      <c r="D445" s="1">
        <v>22.6</v>
      </c>
      <c r="E445" s="11">
        <v>67.800000000000011</v>
      </c>
      <c r="F445" s="3">
        <v>45677</v>
      </c>
      <c r="G445" s="3">
        <v>45678</v>
      </c>
      <c r="H445" s="1" t="s">
        <v>23</v>
      </c>
      <c r="I445" s="1" t="s">
        <v>35</v>
      </c>
      <c r="J445" s="1">
        <v>4</v>
      </c>
      <c r="K445" s="1" t="s">
        <v>19</v>
      </c>
      <c r="L445" s="1" t="s">
        <v>77</v>
      </c>
      <c r="M445" s="1">
        <f>orders[[#This Row],[Ship Date]]-orders[[#This Row],[Order Date]]</f>
        <v>1</v>
      </c>
      <c r="N445" s="1">
        <f>WEEKNUM(orders[[#This Row],[Order Date]])</f>
        <v>4</v>
      </c>
      <c r="O445" s="1" t="str" cm="1">
        <f t="array" ref="O445">_xlfn.IFS(orders[[#This Row],[Customer Gender]]="M","Male", orders[[#This Row],[Customer Gender]]="F","Female", orders[[#This Row],[Customer Gender]]="O","Other", TRUE,"Unknown")</f>
        <v>Male</v>
      </c>
    </row>
    <row r="446" spans="1:15">
      <c r="A446" s="1" t="s">
        <v>532</v>
      </c>
      <c r="B446" s="1" t="s">
        <v>22</v>
      </c>
      <c r="C446" s="1">
        <v>15</v>
      </c>
      <c r="D446" s="1">
        <v>126.9</v>
      </c>
      <c r="E446" s="11">
        <v>1903.5</v>
      </c>
      <c r="F446" s="3">
        <v>45677</v>
      </c>
      <c r="G446" s="3">
        <v>45679</v>
      </c>
      <c r="H446" s="1" t="s">
        <v>27</v>
      </c>
      <c r="I446" s="1" t="s">
        <v>18</v>
      </c>
      <c r="J446" s="1">
        <v>5</v>
      </c>
      <c r="K446" s="1" t="s">
        <v>19</v>
      </c>
      <c r="L446" s="1" t="s">
        <v>77</v>
      </c>
      <c r="M446" s="1">
        <f>orders[[#This Row],[Ship Date]]-orders[[#This Row],[Order Date]]</f>
        <v>2</v>
      </c>
      <c r="N446" s="1">
        <f>WEEKNUM(orders[[#This Row],[Order Date]])</f>
        <v>4</v>
      </c>
      <c r="O446" s="1" t="str" cm="1">
        <f t="array" ref="O446">_xlfn.IFS(orders[[#This Row],[Customer Gender]]="M","Male", orders[[#This Row],[Customer Gender]]="F","Female", orders[[#This Row],[Customer Gender]]="O","Other", TRUE,"Unknown")</f>
        <v>Female</v>
      </c>
    </row>
    <row r="447" spans="1:15">
      <c r="A447" s="1" t="s">
        <v>533</v>
      </c>
      <c r="B447" s="1" t="s">
        <v>26</v>
      </c>
      <c r="C447" s="1">
        <v>2</v>
      </c>
      <c r="D447" s="1">
        <v>100.3</v>
      </c>
      <c r="E447" s="11">
        <v>200.6</v>
      </c>
      <c r="F447" s="3">
        <v>45677</v>
      </c>
      <c r="G447" s="3">
        <v>45678</v>
      </c>
      <c r="H447" s="1" t="s">
        <v>27</v>
      </c>
      <c r="I447" s="1" t="s">
        <v>18</v>
      </c>
      <c r="J447" s="1">
        <v>3</v>
      </c>
      <c r="K447" s="1" t="s">
        <v>19</v>
      </c>
      <c r="L447" s="1" t="s">
        <v>77</v>
      </c>
      <c r="M447" s="1">
        <f>orders[[#This Row],[Ship Date]]-orders[[#This Row],[Order Date]]</f>
        <v>1</v>
      </c>
      <c r="N447" s="1">
        <f>WEEKNUM(orders[[#This Row],[Order Date]])</f>
        <v>4</v>
      </c>
      <c r="O447" s="1" t="str" cm="1">
        <f t="array" ref="O447">_xlfn.IFS(orders[[#This Row],[Customer Gender]]="M","Male", orders[[#This Row],[Customer Gender]]="F","Female", orders[[#This Row],[Customer Gender]]="O","Other", TRUE,"Unknown")</f>
        <v>Female</v>
      </c>
    </row>
    <row r="448" spans="1:15">
      <c r="A448" s="1" t="s">
        <v>534</v>
      </c>
      <c r="B448" s="1" t="s">
        <v>32</v>
      </c>
      <c r="C448" s="1">
        <v>18</v>
      </c>
      <c r="D448" s="1">
        <v>24.6</v>
      </c>
      <c r="E448" s="11">
        <v>442.8</v>
      </c>
      <c r="F448" s="3">
        <v>45677</v>
      </c>
      <c r="G448" s="3">
        <v>45678</v>
      </c>
      <c r="H448" s="1" t="s">
        <v>27</v>
      </c>
      <c r="I448" s="1" t="s">
        <v>70</v>
      </c>
      <c r="J448" s="1">
        <v>4</v>
      </c>
      <c r="K448" s="1" t="s">
        <v>19</v>
      </c>
      <c r="L448" s="1" t="s">
        <v>82</v>
      </c>
      <c r="M448" s="1">
        <f>orders[[#This Row],[Ship Date]]-orders[[#This Row],[Order Date]]</f>
        <v>1</v>
      </c>
      <c r="N448" s="1">
        <f>WEEKNUM(orders[[#This Row],[Order Date]])</f>
        <v>4</v>
      </c>
      <c r="O448" s="1" t="str" cm="1">
        <f t="array" ref="O448">_xlfn.IFS(orders[[#This Row],[Customer Gender]]="M","Male", orders[[#This Row],[Customer Gender]]="F","Female", orders[[#This Row],[Customer Gender]]="O","Other", TRUE,"Unknown")</f>
        <v>Female</v>
      </c>
    </row>
    <row r="449" spans="1:15">
      <c r="A449" s="1" t="s">
        <v>535</v>
      </c>
      <c r="B449" s="1" t="s">
        <v>39</v>
      </c>
      <c r="C449" s="1">
        <v>2</v>
      </c>
      <c r="D449" s="1">
        <v>47.3</v>
      </c>
      <c r="E449" s="11">
        <v>94.6</v>
      </c>
      <c r="F449" s="3">
        <v>45677</v>
      </c>
      <c r="G449" s="3">
        <v>45678</v>
      </c>
      <c r="H449" s="1" t="s">
        <v>23</v>
      </c>
      <c r="I449" s="1" t="s">
        <v>35</v>
      </c>
      <c r="J449" s="1">
        <v>5</v>
      </c>
      <c r="K449" s="1" t="s">
        <v>19</v>
      </c>
      <c r="L449" s="1" t="s">
        <v>82</v>
      </c>
      <c r="M449" s="1">
        <f>orders[[#This Row],[Ship Date]]-orders[[#This Row],[Order Date]]</f>
        <v>1</v>
      </c>
      <c r="N449" s="1">
        <f>WEEKNUM(orders[[#This Row],[Order Date]])</f>
        <v>4</v>
      </c>
      <c r="O449" s="1" t="str" cm="1">
        <f t="array" ref="O449">_xlfn.IFS(orders[[#This Row],[Customer Gender]]="M","Male", orders[[#This Row],[Customer Gender]]="F","Female", orders[[#This Row],[Customer Gender]]="O","Other", TRUE,"Unknown")</f>
        <v>Male</v>
      </c>
    </row>
    <row r="450" spans="1:15">
      <c r="A450" s="1" t="s">
        <v>536</v>
      </c>
      <c r="B450" s="1" t="s">
        <v>39</v>
      </c>
      <c r="C450" s="1">
        <v>7</v>
      </c>
      <c r="D450" s="1">
        <v>40.799999999999997</v>
      </c>
      <c r="E450" s="11">
        <v>285.59999999999997</v>
      </c>
      <c r="F450" s="3">
        <v>45677</v>
      </c>
      <c r="G450" s="3">
        <v>45680</v>
      </c>
      <c r="H450" s="1" t="s">
        <v>27</v>
      </c>
      <c r="I450" s="1" t="s">
        <v>40</v>
      </c>
      <c r="J450" s="1">
        <v>5</v>
      </c>
      <c r="K450" s="1" t="s">
        <v>19</v>
      </c>
      <c r="L450" s="1" t="s">
        <v>115</v>
      </c>
      <c r="M450" s="1">
        <f>orders[[#This Row],[Ship Date]]-orders[[#This Row],[Order Date]]</f>
        <v>3</v>
      </c>
      <c r="N450" s="1">
        <f>WEEKNUM(orders[[#This Row],[Order Date]])</f>
        <v>4</v>
      </c>
      <c r="O450" s="1" t="str" cm="1">
        <f t="array" ref="O450">_xlfn.IFS(orders[[#This Row],[Customer Gender]]="M","Male", orders[[#This Row],[Customer Gender]]="F","Female", orders[[#This Row],[Customer Gender]]="O","Other", TRUE,"Unknown")</f>
        <v>Female</v>
      </c>
    </row>
    <row r="451" spans="1:15">
      <c r="A451" s="1" t="s">
        <v>537</v>
      </c>
      <c r="B451" s="1" t="s">
        <v>44</v>
      </c>
      <c r="C451" s="1">
        <v>8</v>
      </c>
      <c r="D451" s="1">
        <v>49.2</v>
      </c>
      <c r="E451" s="11">
        <v>393.6</v>
      </c>
      <c r="F451" s="3">
        <v>45677</v>
      </c>
      <c r="G451" s="3">
        <v>45679</v>
      </c>
      <c r="H451" s="1" t="s">
        <v>27</v>
      </c>
      <c r="I451" s="1" t="s">
        <v>18</v>
      </c>
      <c r="J451" s="1">
        <v>4</v>
      </c>
      <c r="K451" s="1" t="s">
        <v>19</v>
      </c>
      <c r="L451" s="1" t="s">
        <v>24</v>
      </c>
      <c r="M451" s="1">
        <f>orders[[#This Row],[Ship Date]]-orders[[#This Row],[Order Date]]</f>
        <v>2</v>
      </c>
      <c r="N451" s="1">
        <f>WEEKNUM(orders[[#This Row],[Order Date]])</f>
        <v>4</v>
      </c>
      <c r="O451" s="1" t="str" cm="1">
        <f t="array" ref="O451">_xlfn.IFS(orders[[#This Row],[Customer Gender]]="M","Male", orders[[#This Row],[Customer Gender]]="F","Female", orders[[#This Row],[Customer Gender]]="O","Other", TRUE,"Unknown")</f>
        <v>Female</v>
      </c>
    </row>
    <row r="452" spans="1:15">
      <c r="A452" s="1" t="s">
        <v>538</v>
      </c>
      <c r="B452" s="1" t="s">
        <v>44</v>
      </c>
      <c r="C452" s="1">
        <v>1</v>
      </c>
      <c r="D452" s="1">
        <v>28.5</v>
      </c>
      <c r="E452" s="11">
        <v>28.5</v>
      </c>
      <c r="F452" s="3">
        <v>45677</v>
      </c>
      <c r="G452" s="3">
        <v>45679</v>
      </c>
      <c r="H452" s="1" t="s">
        <v>17</v>
      </c>
      <c r="I452" s="1" t="s">
        <v>40</v>
      </c>
      <c r="J452" s="1">
        <v>3</v>
      </c>
      <c r="K452" s="1" t="s">
        <v>19</v>
      </c>
      <c r="L452" s="1" t="s">
        <v>33</v>
      </c>
      <c r="M452" s="1">
        <f>orders[[#This Row],[Ship Date]]-orders[[#This Row],[Order Date]]</f>
        <v>2</v>
      </c>
      <c r="N452" s="1">
        <f>WEEKNUM(orders[[#This Row],[Order Date]])</f>
        <v>4</v>
      </c>
      <c r="O452" s="1" t="str" cm="1">
        <f t="array" ref="O452">_xlfn.IFS(orders[[#This Row],[Customer Gender]]="M","Male", orders[[#This Row],[Customer Gender]]="F","Female", orders[[#This Row],[Customer Gender]]="O","Other", TRUE,"Unknown")</f>
        <v>Unknown</v>
      </c>
    </row>
    <row r="453" spans="1:15">
      <c r="A453" s="1" t="s">
        <v>539</v>
      </c>
      <c r="B453" s="1" t="s">
        <v>146</v>
      </c>
      <c r="C453" s="1">
        <v>2</v>
      </c>
      <c r="D453" s="1">
        <v>36.799999999999997</v>
      </c>
      <c r="E453" s="11">
        <v>73.599999999999994</v>
      </c>
      <c r="F453" s="3">
        <v>45677</v>
      </c>
      <c r="G453" s="3">
        <v>45683</v>
      </c>
      <c r="H453" s="1" t="s">
        <v>27</v>
      </c>
      <c r="I453" s="1" t="s">
        <v>18</v>
      </c>
      <c r="J453" s="1">
        <v>5</v>
      </c>
      <c r="K453" s="1" t="s">
        <v>19</v>
      </c>
      <c r="L453" s="1" t="s">
        <v>33</v>
      </c>
      <c r="M453" s="1">
        <f>orders[[#This Row],[Ship Date]]-orders[[#This Row],[Order Date]]</f>
        <v>6</v>
      </c>
      <c r="N453" s="1">
        <f>WEEKNUM(orders[[#This Row],[Order Date]])</f>
        <v>4</v>
      </c>
      <c r="O453" s="1" t="str" cm="1">
        <f t="array" ref="O453">_xlfn.IFS(orders[[#This Row],[Customer Gender]]="M","Male", orders[[#This Row],[Customer Gender]]="F","Female", orders[[#This Row],[Customer Gender]]="O","Other", TRUE,"Unknown")</f>
        <v>Female</v>
      </c>
    </row>
    <row r="454" spans="1:15">
      <c r="A454" s="1" t="s">
        <v>540</v>
      </c>
      <c r="B454" s="1" t="s">
        <v>42</v>
      </c>
      <c r="C454" s="1">
        <v>3</v>
      </c>
      <c r="D454" s="1">
        <v>33.5</v>
      </c>
      <c r="E454" s="11">
        <v>100.5</v>
      </c>
      <c r="F454" s="3">
        <v>45677</v>
      </c>
      <c r="G454" s="3">
        <v>45678</v>
      </c>
      <c r="H454" s="1" t="s">
        <v>27</v>
      </c>
      <c r="I454" s="1" t="s">
        <v>18</v>
      </c>
      <c r="J454" s="1">
        <v>3</v>
      </c>
      <c r="K454" s="1" t="s">
        <v>19</v>
      </c>
      <c r="L454" s="1" t="s">
        <v>33</v>
      </c>
      <c r="M454" s="1">
        <f>orders[[#This Row],[Ship Date]]-orders[[#This Row],[Order Date]]</f>
        <v>1</v>
      </c>
      <c r="N454" s="1">
        <f>WEEKNUM(orders[[#This Row],[Order Date]])</f>
        <v>4</v>
      </c>
      <c r="O454" s="1" t="str" cm="1">
        <f t="array" ref="O454">_xlfn.IFS(orders[[#This Row],[Customer Gender]]="M","Male", orders[[#This Row],[Customer Gender]]="F","Female", orders[[#This Row],[Customer Gender]]="O","Other", TRUE,"Unknown")</f>
        <v>Female</v>
      </c>
    </row>
    <row r="455" spans="1:15">
      <c r="A455" s="1" t="s">
        <v>541</v>
      </c>
      <c r="B455" s="1" t="s">
        <v>39</v>
      </c>
      <c r="C455" s="1">
        <v>6</v>
      </c>
      <c r="D455" s="1">
        <v>62.5</v>
      </c>
      <c r="E455" s="11">
        <v>375</v>
      </c>
      <c r="F455" s="3">
        <v>45677</v>
      </c>
      <c r="G455" s="3">
        <v>45679</v>
      </c>
      <c r="H455" s="1" t="s">
        <v>27</v>
      </c>
      <c r="I455" s="1" t="s">
        <v>18</v>
      </c>
      <c r="J455" s="1">
        <v>4</v>
      </c>
      <c r="K455" s="1" t="s">
        <v>19</v>
      </c>
      <c r="L455" s="1" t="s">
        <v>33</v>
      </c>
      <c r="M455" s="1">
        <f>orders[[#This Row],[Ship Date]]-orders[[#This Row],[Order Date]]</f>
        <v>2</v>
      </c>
      <c r="N455" s="1">
        <f>WEEKNUM(orders[[#This Row],[Order Date]])</f>
        <v>4</v>
      </c>
      <c r="O455" s="1" t="str" cm="1">
        <f t="array" ref="O455">_xlfn.IFS(orders[[#This Row],[Customer Gender]]="M","Male", orders[[#This Row],[Customer Gender]]="F","Female", orders[[#This Row],[Customer Gender]]="O","Other", TRUE,"Unknown")</f>
        <v>Female</v>
      </c>
    </row>
    <row r="456" spans="1:15">
      <c r="A456" s="1" t="s">
        <v>542</v>
      </c>
      <c r="B456" s="1" t="s">
        <v>44</v>
      </c>
      <c r="C456" s="1">
        <v>40</v>
      </c>
      <c r="D456" s="1">
        <v>47.9</v>
      </c>
      <c r="E456" s="11">
        <v>1916</v>
      </c>
      <c r="F456" s="3">
        <v>45677</v>
      </c>
      <c r="G456" s="3">
        <v>45678</v>
      </c>
      <c r="H456" s="1" t="s">
        <v>27</v>
      </c>
      <c r="I456" s="1" t="s">
        <v>51</v>
      </c>
      <c r="J456" s="1">
        <v>4</v>
      </c>
      <c r="K456" s="1" t="s">
        <v>19</v>
      </c>
      <c r="L456" s="1" t="s">
        <v>33</v>
      </c>
      <c r="M456" s="1">
        <f>orders[[#This Row],[Ship Date]]-orders[[#This Row],[Order Date]]</f>
        <v>1</v>
      </c>
      <c r="N456" s="1">
        <f>WEEKNUM(orders[[#This Row],[Order Date]])</f>
        <v>4</v>
      </c>
      <c r="O456" s="1" t="str" cm="1">
        <f t="array" ref="O456">_xlfn.IFS(orders[[#This Row],[Customer Gender]]="M","Male", orders[[#This Row],[Customer Gender]]="F","Female", orders[[#This Row],[Customer Gender]]="O","Other", TRUE,"Unknown")</f>
        <v>Female</v>
      </c>
    </row>
    <row r="457" spans="1:15">
      <c r="A457" s="1" t="s">
        <v>543</v>
      </c>
      <c r="B457" s="1" t="s">
        <v>39</v>
      </c>
      <c r="C457" s="1">
        <v>6</v>
      </c>
      <c r="D457" s="1">
        <v>92.9</v>
      </c>
      <c r="E457" s="11">
        <v>557.40000000000009</v>
      </c>
      <c r="F457" s="3">
        <v>45677</v>
      </c>
      <c r="G457" s="3">
        <v>45688</v>
      </c>
      <c r="H457" s="1" t="s">
        <v>27</v>
      </c>
      <c r="I457" s="1" t="s">
        <v>18</v>
      </c>
      <c r="J457" s="1">
        <v>2</v>
      </c>
      <c r="K457" s="1" t="s">
        <v>19</v>
      </c>
      <c r="L457" s="1" t="s">
        <v>33</v>
      </c>
      <c r="M457" s="1">
        <f>orders[[#This Row],[Ship Date]]-orders[[#This Row],[Order Date]]</f>
        <v>11</v>
      </c>
      <c r="N457" s="1">
        <f>WEEKNUM(orders[[#This Row],[Order Date]])</f>
        <v>4</v>
      </c>
      <c r="O457" s="1" t="str" cm="1">
        <f t="array" ref="O457">_xlfn.IFS(orders[[#This Row],[Customer Gender]]="M","Male", orders[[#This Row],[Customer Gender]]="F","Female", orders[[#This Row],[Customer Gender]]="O","Other", TRUE,"Unknown")</f>
        <v>Female</v>
      </c>
    </row>
    <row r="458" spans="1:15">
      <c r="A458" s="1" t="s">
        <v>544</v>
      </c>
      <c r="B458" s="1" t="s">
        <v>69</v>
      </c>
      <c r="C458" s="1">
        <v>3</v>
      </c>
      <c r="D458" s="1">
        <v>44.1</v>
      </c>
      <c r="E458" s="11">
        <v>132.30000000000001</v>
      </c>
      <c r="F458" s="3">
        <v>45677</v>
      </c>
      <c r="G458" s="3">
        <v>45677</v>
      </c>
      <c r="H458" s="1" t="s">
        <v>27</v>
      </c>
      <c r="I458" s="1" t="s">
        <v>35</v>
      </c>
      <c r="J458" s="1">
        <v>3</v>
      </c>
      <c r="K458" s="1" t="s">
        <v>19</v>
      </c>
      <c r="L458" s="1" t="s">
        <v>545</v>
      </c>
      <c r="M458" s="1">
        <f>orders[[#This Row],[Ship Date]]-orders[[#This Row],[Order Date]]</f>
        <v>0</v>
      </c>
      <c r="N458" s="1">
        <f>WEEKNUM(orders[[#This Row],[Order Date]])</f>
        <v>4</v>
      </c>
      <c r="O458" s="1" t="str" cm="1">
        <f t="array" ref="O458">_xlfn.IFS(orders[[#This Row],[Customer Gender]]="M","Male", orders[[#This Row],[Customer Gender]]="F","Female", orders[[#This Row],[Customer Gender]]="O","Other", TRUE,"Unknown")</f>
        <v>Female</v>
      </c>
    </row>
    <row r="459" spans="1:15">
      <c r="A459" s="1" t="s">
        <v>546</v>
      </c>
      <c r="B459" s="1" t="s">
        <v>16</v>
      </c>
      <c r="C459" s="1">
        <v>1</v>
      </c>
      <c r="D459" s="1">
        <v>11.4</v>
      </c>
      <c r="E459" s="11">
        <v>11.4</v>
      </c>
      <c r="F459" s="3">
        <v>45678</v>
      </c>
      <c r="G459" s="3">
        <v>45680</v>
      </c>
      <c r="H459" s="1" t="s">
        <v>27</v>
      </c>
      <c r="I459" s="1" t="s">
        <v>40</v>
      </c>
      <c r="J459" s="1">
        <v>4</v>
      </c>
      <c r="K459" s="1" t="s">
        <v>19</v>
      </c>
      <c r="L459" s="1" t="s">
        <v>52</v>
      </c>
      <c r="M459" s="1">
        <f>orders[[#This Row],[Ship Date]]-orders[[#This Row],[Order Date]]</f>
        <v>2</v>
      </c>
      <c r="N459" s="1">
        <f>WEEKNUM(orders[[#This Row],[Order Date]])</f>
        <v>4</v>
      </c>
      <c r="O459" s="1" t="str" cm="1">
        <f t="array" ref="O459">_xlfn.IFS(orders[[#This Row],[Customer Gender]]="M","Male", orders[[#This Row],[Customer Gender]]="F","Female", orders[[#This Row],[Customer Gender]]="O","Other", TRUE,"Unknown")</f>
        <v>Female</v>
      </c>
    </row>
    <row r="460" spans="1:15">
      <c r="A460" s="1" t="s">
        <v>547</v>
      </c>
      <c r="B460" s="1" t="s">
        <v>39</v>
      </c>
      <c r="C460" s="1">
        <v>1</v>
      </c>
      <c r="D460" s="1">
        <v>83.7</v>
      </c>
      <c r="E460" s="11">
        <v>83.7</v>
      </c>
      <c r="F460" s="3">
        <v>45678</v>
      </c>
      <c r="G460" s="3">
        <v>45680</v>
      </c>
      <c r="H460" s="1" t="s">
        <v>27</v>
      </c>
      <c r="I460" s="1" t="s">
        <v>18</v>
      </c>
      <c r="J460" s="1">
        <v>5</v>
      </c>
      <c r="K460" s="1" t="s">
        <v>19</v>
      </c>
      <c r="L460" s="1" t="s">
        <v>55</v>
      </c>
      <c r="M460" s="1">
        <f>orders[[#This Row],[Ship Date]]-orders[[#This Row],[Order Date]]</f>
        <v>2</v>
      </c>
      <c r="N460" s="1">
        <f>WEEKNUM(orders[[#This Row],[Order Date]])</f>
        <v>4</v>
      </c>
      <c r="O460" s="1" t="str" cm="1">
        <f t="array" ref="O460">_xlfn.IFS(orders[[#This Row],[Customer Gender]]="M","Male", orders[[#This Row],[Customer Gender]]="F","Female", orders[[#This Row],[Customer Gender]]="O","Other", TRUE,"Unknown")</f>
        <v>Female</v>
      </c>
    </row>
    <row r="461" spans="1:15">
      <c r="A461" s="1" t="s">
        <v>548</v>
      </c>
      <c r="B461" s="1" t="s">
        <v>54</v>
      </c>
      <c r="C461" s="1">
        <v>2</v>
      </c>
      <c r="D461" s="1">
        <v>23.2</v>
      </c>
      <c r="E461" s="11">
        <v>46.4</v>
      </c>
      <c r="F461" s="3">
        <v>45678</v>
      </c>
      <c r="G461" s="3">
        <v>45679</v>
      </c>
      <c r="H461" s="1" t="s">
        <v>23</v>
      </c>
      <c r="I461" s="1" t="s">
        <v>40</v>
      </c>
      <c r="J461" s="1">
        <v>4</v>
      </c>
      <c r="K461" s="1" t="s">
        <v>19</v>
      </c>
      <c r="L461" s="1" t="s">
        <v>62</v>
      </c>
      <c r="M461" s="1">
        <f>orders[[#This Row],[Ship Date]]-orders[[#This Row],[Order Date]]</f>
        <v>1</v>
      </c>
      <c r="N461" s="1">
        <f>WEEKNUM(orders[[#This Row],[Order Date]])</f>
        <v>4</v>
      </c>
      <c r="O461" s="1" t="str" cm="1">
        <f t="array" ref="O461">_xlfn.IFS(orders[[#This Row],[Customer Gender]]="M","Male", orders[[#This Row],[Customer Gender]]="F","Female", orders[[#This Row],[Customer Gender]]="O","Other", TRUE,"Unknown")</f>
        <v>Male</v>
      </c>
    </row>
    <row r="462" spans="1:15">
      <c r="A462" s="1" t="s">
        <v>549</v>
      </c>
      <c r="B462" s="1" t="s">
        <v>26</v>
      </c>
      <c r="C462" s="1">
        <v>1</v>
      </c>
      <c r="D462" s="1">
        <v>162.1</v>
      </c>
      <c r="E462" s="11">
        <v>162.1</v>
      </c>
      <c r="F462" s="3">
        <v>45678</v>
      </c>
      <c r="G462" s="3">
        <v>45681</v>
      </c>
      <c r="H462" s="1" t="s">
        <v>27</v>
      </c>
      <c r="I462" s="1" t="s">
        <v>18</v>
      </c>
      <c r="J462" s="1">
        <v>5</v>
      </c>
      <c r="K462" s="1" t="s">
        <v>19</v>
      </c>
      <c r="L462" s="1" t="s">
        <v>72</v>
      </c>
      <c r="M462" s="1">
        <f>orders[[#This Row],[Ship Date]]-orders[[#This Row],[Order Date]]</f>
        <v>3</v>
      </c>
      <c r="N462" s="1">
        <f>WEEKNUM(orders[[#This Row],[Order Date]])</f>
        <v>4</v>
      </c>
      <c r="O462" s="1" t="str" cm="1">
        <f t="array" ref="O462">_xlfn.IFS(orders[[#This Row],[Customer Gender]]="M","Male", orders[[#This Row],[Customer Gender]]="F","Female", orders[[#This Row],[Customer Gender]]="O","Other", TRUE,"Unknown")</f>
        <v>Female</v>
      </c>
    </row>
    <row r="463" spans="1:15">
      <c r="A463" s="1" t="s">
        <v>550</v>
      </c>
      <c r="B463" s="1" t="s">
        <v>39</v>
      </c>
      <c r="C463" s="1">
        <v>4</v>
      </c>
      <c r="D463" s="1">
        <v>49.2</v>
      </c>
      <c r="E463" s="11">
        <v>196.8</v>
      </c>
      <c r="F463" s="3">
        <v>45678</v>
      </c>
      <c r="G463" s="3">
        <v>45682</v>
      </c>
      <c r="H463" s="1" t="s">
        <v>23</v>
      </c>
      <c r="I463" s="1" t="s">
        <v>35</v>
      </c>
      <c r="J463" s="1">
        <v>4</v>
      </c>
      <c r="K463" s="1" t="s">
        <v>19</v>
      </c>
      <c r="L463" s="1" t="s">
        <v>72</v>
      </c>
      <c r="M463" s="1">
        <f>orders[[#This Row],[Ship Date]]-orders[[#This Row],[Order Date]]</f>
        <v>4</v>
      </c>
      <c r="N463" s="1">
        <f>WEEKNUM(orders[[#This Row],[Order Date]])</f>
        <v>4</v>
      </c>
      <c r="O463" s="1" t="str" cm="1">
        <f t="array" ref="O463">_xlfn.IFS(orders[[#This Row],[Customer Gender]]="M","Male", orders[[#This Row],[Customer Gender]]="F","Female", orders[[#This Row],[Customer Gender]]="O","Other", TRUE,"Unknown")</f>
        <v>Male</v>
      </c>
    </row>
    <row r="464" spans="1:15">
      <c r="A464" s="1" t="s">
        <v>551</v>
      </c>
      <c r="B464" s="1" t="s">
        <v>22</v>
      </c>
      <c r="C464" s="1">
        <v>2</v>
      </c>
      <c r="D464" s="1">
        <v>61</v>
      </c>
      <c r="E464" s="11">
        <v>122</v>
      </c>
      <c r="F464" s="3">
        <v>45678</v>
      </c>
      <c r="G464" s="3">
        <v>45679</v>
      </c>
      <c r="H464" s="1" t="s">
        <v>23</v>
      </c>
      <c r="I464" s="1" t="s">
        <v>51</v>
      </c>
      <c r="J464" s="1">
        <v>4</v>
      </c>
      <c r="K464" s="1" t="s">
        <v>19</v>
      </c>
      <c r="L464" s="1" t="s">
        <v>74</v>
      </c>
      <c r="M464" s="1">
        <f>orders[[#This Row],[Ship Date]]-orders[[#This Row],[Order Date]]</f>
        <v>1</v>
      </c>
      <c r="N464" s="1">
        <f>WEEKNUM(orders[[#This Row],[Order Date]])</f>
        <v>4</v>
      </c>
      <c r="O464" s="1" t="str" cm="1">
        <f t="array" ref="O464">_xlfn.IFS(orders[[#This Row],[Customer Gender]]="M","Male", orders[[#This Row],[Customer Gender]]="F","Female", orders[[#This Row],[Customer Gender]]="O","Other", TRUE,"Unknown")</f>
        <v>Male</v>
      </c>
    </row>
    <row r="465" spans="1:15">
      <c r="A465" s="1" t="s">
        <v>552</v>
      </c>
      <c r="B465" s="1" t="s">
        <v>26</v>
      </c>
      <c r="C465" s="1">
        <v>10</v>
      </c>
      <c r="D465" s="1">
        <v>53.1</v>
      </c>
      <c r="E465" s="11">
        <v>531</v>
      </c>
      <c r="F465" s="3">
        <v>45678</v>
      </c>
      <c r="G465" s="3">
        <v>45680</v>
      </c>
      <c r="H465" s="1" t="s">
        <v>23</v>
      </c>
      <c r="I465" s="1" t="s">
        <v>18</v>
      </c>
      <c r="J465" s="1">
        <v>4</v>
      </c>
      <c r="K465" s="1" t="s">
        <v>19</v>
      </c>
      <c r="L465" s="1" t="s">
        <v>77</v>
      </c>
      <c r="M465" s="1">
        <f>orders[[#This Row],[Ship Date]]-orders[[#This Row],[Order Date]]</f>
        <v>2</v>
      </c>
      <c r="N465" s="1">
        <f>WEEKNUM(orders[[#This Row],[Order Date]])</f>
        <v>4</v>
      </c>
      <c r="O465" s="1" t="str" cm="1">
        <f t="array" ref="O465">_xlfn.IFS(orders[[#This Row],[Customer Gender]]="M","Male", orders[[#This Row],[Customer Gender]]="F","Female", orders[[#This Row],[Customer Gender]]="O","Other", TRUE,"Unknown")</f>
        <v>Male</v>
      </c>
    </row>
    <row r="466" spans="1:15">
      <c r="A466" s="1" t="s">
        <v>553</v>
      </c>
      <c r="B466" s="1" t="s">
        <v>32</v>
      </c>
      <c r="C466" s="1">
        <v>2</v>
      </c>
      <c r="D466" s="1">
        <v>22.4</v>
      </c>
      <c r="E466" s="11">
        <v>44.8</v>
      </c>
      <c r="F466" s="3">
        <v>45678</v>
      </c>
      <c r="G466" s="3">
        <v>45680</v>
      </c>
      <c r="H466" s="1" t="s">
        <v>17</v>
      </c>
      <c r="I466" s="1" t="s">
        <v>35</v>
      </c>
      <c r="J466" s="1">
        <v>5</v>
      </c>
      <c r="K466" s="1" t="s">
        <v>19</v>
      </c>
      <c r="L466" s="1" t="s">
        <v>82</v>
      </c>
      <c r="M466" s="1">
        <f>orders[[#This Row],[Ship Date]]-orders[[#This Row],[Order Date]]</f>
        <v>2</v>
      </c>
      <c r="N466" s="1">
        <f>WEEKNUM(orders[[#This Row],[Order Date]])</f>
        <v>4</v>
      </c>
      <c r="O466" s="1" t="str" cm="1">
        <f t="array" ref="O466">_xlfn.IFS(orders[[#This Row],[Customer Gender]]="M","Male", orders[[#This Row],[Customer Gender]]="F","Female", orders[[#This Row],[Customer Gender]]="O","Other", TRUE,"Unknown")</f>
        <v>Unknown</v>
      </c>
    </row>
    <row r="467" spans="1:15">
      <c r="A467" s="1" t="s">
        <v>554</v>
      </c>
      <c r="B467" s="1" t="s">
        <v>22</v>
      </c>
      <c r="C467" s="1">
        <v>5</v>
      </c>
      <c r="D467" s="1">
        <v>75.3</v>
      </c>
      <c r="E467" s="11">
        <v>376.5</v>
      </c>
      <c r="F467" s="3">
        <v>45678</v>
      </c>
      <c r="G467" s="3">
        <v>45679</v>
      </c>
      <c r="H467" s="1" t="s">
        <v>23</v>
      </c>
      <c r="I467" s="1" t="s">
        <v>18</v>
      </c>
      <c r="J467" s="1">
        <v>4</v>
      </c>
      <c r="K467" s="1" t="s">
        <v>19</v>
      </c>
      <c r="L467" s="1" t="s">
        <v>115</v>
      </c>
      <c r="M467" s="1">
        <f>orders[[#This Row],[Ship Date]]-orders[[#This Row],[Order Date]]</f>
        <v>1</v>
      </c>
      <c r="N467" s="1">
        <f>WEEKNUM(orders[[#This Row],[Order Date]])</f>
        <v>4</v>
      </c>
      <c r="O467" s="1" t="str" cm="1">
        <f t="array" ref="O467">_xlfn.IFS(orders[[#This Row],[Customer Gender]]="M","Male", orders[[#This Row],[Customer Gender]]="F","Female", orders[[#This Row],[Customer Gender]]="O","Other", TRUE,"Unknown")</f>
        <v>Male</v>
      </c>
    </row>
    <row r="468" spans="1:15">
      <c r="A468" s="1" t="s">
        <v>555</v>
      </c>
      <c r="B468" s="1" t="s">
        <v>39</v>
      </c>
      <c r="C468" s="1">
        <v>1</v>
      </c>
      <c r="D468" s="1">
        <v>48.5</v>
      </c>
      <c r="E468" s="11">
        <v>48.5</v>
      </c>
      <c r="F468" s="3">
        <v>45678</v>
      </c>
      <c r="G468" s="3">
        <v>45679</v>
      </c>
      <c r="H468" s="1" t="s">
        <v>27</v>
      </c>
      <c r="I468" s="1" t="s">
        <v>18</v>
      </c>
      <c r="J468" s="1">
        <v>3</v>
      </c>
      <c r="K468" s="1" t="s">
        <v>19</v>
      </c>
      <c r="L468" s="1" t="s">
        <v>115</v>
      </c>
      <c r="M468" s="1">
        <f>orders[[#This Row],[Ship Date]]-orders[[#This Row],[Order Date]]</f>
        <v>1</v>
      </c>
      <c r="N468" s="1">
        <f>WEEKNUM(orders[[#This Row],[Order Date]])</f>
        <v>4</v>
      </c>
      <c r="O468" s="1" t="str" cm="1">
        <f t="array" ref="O468">_xlfn.IFS(orders[[#This Row],[Customer Gender]]="M","Male", orders[[#This Row],[Customer Gender]]="F","Female", orders[[#This Row],[Customer Gender]]="O","Other", TRUE,"Unknown")</f>
        <v>Female</v>
      </c>
    </row>
    <row r="469" spans="1:15">
      <c r="A469" s="1" t="s">
        <v>556</v>
      </c>
      <c r="B469" s="1" t="s">
        <v>39</v>
      </c>
      <c r="C469" s="1">
        <v>1</v>
      </c>
      <c r="D469" s="1">
        <v>42.6</v>
      </c>
      <c r="E469" s="11">
        <v>42.6</v>
      </c>
      <c r="F469" s="3">
        <v>45678</v>
      </c>
      <c r="G469" s="3">
        <v>45682</v>
      </c>
      <c r="H469" s="1" t="s">
        <v>27</v>
      </c>
      <c r="I469" s="1" t="s">
        <v>51</v>
      </c>
      <c r="J469" s="1">
        <v>4</v>
      </c>
      <c r="K469" s="1" t="s">
        <v>19</v>
      </c>
      <c r="L469" s="1" t="s">
        <v>24</v>
      </c>
      <c r="M469" s="1">
        <f>orders[[#This Row],[Ship Date]]-orders[[#This Row],[Order Date]]</f>
        <v>4</v>
      </c>
      <c r="N469" s="1">
        <f>WEEKNUM(orders[[#This Row],[Order Date]])</f>
        <v>4</v>
      </c>
      <c r="O469" s="1" t="str" cm="1">
        <f t="array" ref="O469">_xlfn.IFS(orders[[#This Row],[Customer Gender]]="M","Male", orders[[#This Row],[Customer Gender]]="F","Female", orders[[#This Row],[Customer Gender]]="O","Other", TRUE,"Unknown")</f>
        <v>Female</v>
      </c>
    </row>
    <row r="470" spans="1:15">
      <c r="A470" s="1" t="s">
        <v>557</v>
      </c>
      <c r="B470" s="1" t="s">
        <v>37</v>
      </c>
      <c r="C470" s="1">
        <v>5</v>
      </c>
      <c r="D470" s="1">
        <v>49</v>
      </c>
      <c r="E470" s="11">
        <v>245</v>
      </c>
      <c r="F470" s="3">
        <v>45678</v>
      </c>
      <c r="G470" s="3">
        <v>45679</v>
      </c>
      <c r="H470" s="1" t="s">
        <v>23</v>
      </c>
      <c r="I470" s="1" t="s">
        <v>18</v>
      </c>
      <c r="J470" s="1">
        <v>4</v>
      </c>
      <c r="K470" s="1" t="s">
        <v>19</v>
      </c>
      <c r="L470" s="1" t="s">
        <v>147</v>
      </c>
      <c r="M470" s="1">
        <f>orders[[#This Row],[Ship Date]]-orders[[#This Row],[Order Date]]</f>
        <v>1</v>
      </c>
      <c r="N470" s="1">
        <f>WEEKNUM(orders[[#This Row],[Order Date]])</f>
        <v>4</v>
      </c>
      <c r="O470" s="1" t="str" cm="1">
        <f t="array" ref="O470">_xlfn.IFS(orders[[#This Row],[Customer Gender]]="M","Male", orders[[#This Row],[Customer Gender]]="F","Female", orders[[#This Row],[Customer Gender]]="O","Other", TRUE,"Unknown")</f>
        <v>Male</v>
      </c>
    </row>
    <row r="471" spans="1:15">
      <c r="A471" s="1" t="s">
        <v>558</v>
      </c>
      <c r="B471" s="1" t="s">
        <v>44</v>
      </c>
      <c r="C471" s="1">
        <v>3</v>
      </c>
      <c r="D471" s="1">
        <v>31.3</v>
      </c>
      <c r="E471" s="11">
        <v>93.9</v>
      </c>
      <c r="F471" s="3">
        <v>45678</v>
      </c>
      <c r="G471" s="3">
        <v>45679</v>
      </c>
      <c r="H471" s="1" t="s">
        <v>23</v>
      </c>
      <c r="I471" s="1" t="s">
        <v>40</v>
      </c>
      <c r="J471" s="1">
        <v>3</v>
      </c>
      <c r="K471" s="1" t="s">
        <v>19</v>
      </c>
      <c r="L471" s="1" t="s">
        <v>33</v>
      </c>
      <c r="M471" s="1">
        <f>orders[[#This Row],[Ship Date]]-orders[[#This Row],[Order Date]]</f>
        <v>1</v>
      </c>
      <c r="N471" s="1">
        <f>WEEKNUM(orders[[#This Row],[Order Date]])</f>
        <v>4</v>
      </c>
      <c r="O471" s="1" t="str" cm="1">
        <f t="array" ref="O471">_xlfn.IFS(orders[[#This Row],[Customer Gender]]="M","Male", orders[[#This Row],[Customer Gender]]="F","Female", orders[[#This Row],[Customer Gender]]="O","Other", TRUE,"Unknown")</f>
        <v>Male</v>
      </c>
    </row>
    <row r="472" spans="1:15">
      <c r="A472" s="1" t="s">
        <v>559</v>
      </c>
      <c r="B472" s="1" t="s">
        <v>26</v>
      </c>
      <c r="C472" s="1">
        <v>2</v>
      </c>
      <c r="D472" s="1">
        <v>85.4</v>
      </c>
      <c r="E472" s="11">
        <v>170.8</v>
      </c>
      <c r="F472" s="3">
        <v>45678</v>
      </c>
      <c r="G472" s="3">
        <v>45679</v>
      </c>
      <c r="H472" s="1" t="s">
        <v>27</v>
      </c>
      <c r="I472" s="1" t="s">
        <v>40</v>
      </c>
      <c r="J472" s="1">
        <v>4</v>
      </c>
      <c r="K472" s="1" t="s">
        <v>19</v>
      </c>
      <c r="L472" s="1" t="s">
        <v>33</v>
      </c>
      <c r="M472" s="1">
        <f>orders[[#This Row],[Ship Date]]-orders[[#This Row],[Order Date]]</f>
        <v>1</v>
      </c>
      <c r="N472" s="1">
        <f>WEEKNUM(orders[[#This Row],[Order Date]])</f>
        <v>4</v>
      </c>
      <c r="O472" s="1" t="str" cm="1">
        <f t="array" ref="O472">_xlfn.IFS(orders[[#This Row],[Customer Gender]]="M","Male", orders[[#This Row],[Customer Gender]]="F","Female", orders[[#This Row],[Customer Gender]]="O","Other", TRUE,"Unknown")</f>
        <v>Female</v>
      </c>
    </row>
    <row r="473" spans="1:15">
      <c r="A473" s="1" t="s">
        <v>560</v>
      </c>
      <c r="B473" s="1" t="s">
        <v>44</v>
      </c>
      <c r="C473" s="1">
        <v>4</v>
      </c>
      <c r="D473" s="1">
        <v>40</v>
      </c>
      <c r="E473" s="11">
        <v>160</v>
      </c>
      <c r="F473" s="3">
        <v>45678</v>
      </c>
      <c r="G473" s="3">
        <v>45679</v>
      </c>
      <c r="H473" s="1" t="s">
        <v>89</v>
      </c>
      <c r="I473" s="1" t="s">
        <v>18</v>
      </c>
      <c r="J473" s="1">
        <v>5</v>
      </c>
      <c r="K473" s="1" t="s">
        <v>19</v>
      </c>
      <c r="L473" s="1" t="s">
        <v>33</v>
      </c>
      <c r="M473" s="1">
        <f>orders[[#This Row],[Ship Date]]-orders[[#This Row],[Order Date]]</f>
        <v>1</v>
      </c>
      <c r="N473" s="1">
        <f>WEEKNUM(orders[[#This Row],[Order Date]])</f>
        <v>4</v>
      </c>
      <c r="O473" s="1" t="str" cm="1">
        <f t="array" ref="O473">_xlfn.IFS(orders[[#This Row],[Customer Gender]]="M","Male", orders[[#This Row],[Customer Gender]]="F","Female", orders[[#This Row],[Customer Gender]]="O","Other", TRUE,"Unknown")</f>
        <v>Other</v>
      </c>
    </row>
    <row r="474" spans="1:15">
      <c r="A474" s="1" t="s">
        <v>561</v>
      </c>
      <c r="B474" s="1" t="s">
        <v>37</v>
      </c>
      <c r="C474" s="1">
        <v>2</v>
      </c>
      <c r="D474" s="1">
        <v>38.5</v>
      </c>
      <c r="E474" s="11">
        <v>77</v>
      </c>
      <c r="F474" s="3">
        <v>45678</v>
      </c>
      <c r="G474" s="3">
        <v>45681</v>
      </c>
      <c r="H474" s="1" t="s">
        <v>23</v>
      </c>
      <c r="I474" s="1" t="s">
        <v>35</v>
      </c>
      <c r="J474" s="1">
        <v>5</v>
      </c>
      <c r="K474" s="1" t="s">
        <v>19</v>
      </c>
      <c r="L474" s="1" t="s">
        <v>33</v>
      </c>
      <c r="M474" s="1">
        <f>orders[[#This Row],[Ship Date]]-orders[[#This Row],[Order Date]]</f>
        <v>3</v>
      </c>
      <c r="N474" s="1">
        <f>WEEKNUM(orders[[#This Row],[Order Date]])</f>
        <v>4</v>
      </c>
      <c r="O474" s="1" t="str" cm="1">
        <f t="array" ref="O474">_xlfn.IFS(orders[[#This Row],[Customer Gender]]="M","Male", orders[[#This Row],[Customer Gender]]="F","Female", orders[[#This Row],[Customer Gender]]="O","Other", TRUE,"Unknown")</f>
        <v>Male</v>
      </c>
    </row>
    <row r="475" spans="1:15">
      <c r="A475" s="1" t="s">
        <v>562</v>
      </c>
      <c r="B475" s="1" t="s">
        <v>26</v>
      </c>
      <c r="C475" s="1">
        <v>2</v>
      </c>
      <c r="D475" s="1">
        <v>57.8</v>
      </c>
      <c r="E475" s="11">
        <v>115.6</v>
      </c>
      <c r="F475" s="3">
        <v>45678</v>
      </c>
      <c r="G475" s="3">
        <v>45679</v>
      </c>
      <c r="H475" s="1" t="s">
        <v>17</v>
      </c>
      <c r="I475" s="1" t="s">
        <v>18</v>
      </c>
      <c r="J475" s="1">
        <v>4</v>
      </c>
      <c r="K475" s="1" t="s">
        <v>19</v>
      </c>
      <c r="L475" s="1" t="s">
        <v>33</v>
      </c>
      <c r="M475" s="1">
        <f>orders[[#This Row],[Ship Date]]-orders[[#This Row],[Order Date]]</f>
        <v>1</v>
      </c>
      <c r="N475" s="1">
        <f>WEEKNUM(orders[[#This Row],[Order Date]])</f>
        <v>4</v>
      </c>
      <c r="O475" s="1" t="str" cm="1">
        <f t="array" ref="O475">_xlfn.IFS(orders[[#This Row],[Customer Gender]]="M","Male", orders[[#This Row],[Customer Gender]]="F","Female", orders[[#This Row],[Customer Gender]]="O","Other", TRUE,"Unknown")</f>
        <v>Unknown</v>
      </c>
    </row>
    <row r="476" spans="1:15">
      <c r="A476" s="1" t="s">
        <v>563</v>
      </c>
      <c r="B476" s="1" t="s">
        <v>44</v>
      </c>
      <c r="C476" s="1">
        <v>1</v>
      </c>
      <c r="D476" s="1">
        <v>19.2</v>
      </c>
      <c r="E476" s="11">
        <v>19.2</v>
      </c>
      <c r="F476" s="3">
        <v>45678</v>
      </c>
      <c r="G476" s="3">
        <v>45679</v>
      </c>
      <c r="H476" s="1" t="s">
        <v>27</v>
      </c>
      <c r="I476" s="1" t="s">
        <v>18</v>
      </c>
      <c r="J476" s="1">
        <v>2</v>
      </c>
      <c r="K476" s="1" t="s">
        <v>19</v>
      </c>
      <c r="L476" s="1" t="s">
        <v>33</v>
      </c>
      <c r="M476" s="1">
        <f>orders[[#This Row],[Ship Date]]-orders[[#This Row],[Order Date]]</f>
        <v>1</v>
      </c>
      <c r="N476" s="1">
        <f>WEEKNUM(orders[[#This Row],[Order Date]])</f>
        <v>4</v>
      </c>
      <c r="O476" s="1" t="str" cm="1">
        <f t="array" ref="O476">_xlfn.IFS(orders[[#This Row],[Customer Gender]]="M","Male", orders[[#This Row],[Customer Gender]]="F","Female", orders[[#This Row],[Customer Gender]]="O","Other", TRUE,"Unknown")</f>
        <v>Female</v>
      </c>
    </row>
    <row r="477" spans="1:15">
      <c r="A477" s="1" t="s">
        <v>564</v>
      </c>
      <c r="B477" s="1" t="s">
        <v>39</v>
      </c>
      <c r="C477" s="1">
        <v>6</v>
      </c>
      <c r="D477" s="1">
        <v>114.8</v>
      </c>
      <c r="E477" s="11">
        <v>688.8</v>
      </c>
      <c r="F477" s="3">
        <v>45678</v>
      </c>
      <c r="G477" s="3">
        <v>45681</v>
      </c>
      <c r="H477" s="1" t="s">
        <v>23</v>
      </c>
      <c r="I477" s="1" t="s">
        <v>35</v>
      </c>
      <c r="J477" s="1">
        <v>3</v>
      </c>
      <c r="K477" s="1" t="s">
        <v>19</v>
      </c>
      <c r="L477" s="1" t="s">
        <v>33</v>
      </c>
      <c r="M477" s="1">
        <f>orders[[#This Row],[Ship Date]]-orders[[#This Row],[Order Date]]</f>
        <v>3</v>
      </c>
      <c r="N477" s="1">
        <f>WEEKNUM(orders[[#This Row],[Order Date]])</f>
        <v>4</v>
      </c>
      <c r="O477" s="1" t="str" cm="1">
        <f t="array" ref="O477">_xlfn.IFS(orders[[#This Row],[Customer Gender]]="M","Male", orders[[#This Row],[Customer Gender]]="F","Female", orders[[#This Row],[Customer Gender]]="O","Other", TRUE,"Unknown")</f>
        <v>Male</v>
      </c>
    </row>
    <row r="478" spans="1:15">
      <c r="A478" s="1" t="s">
        <v>565</v>
      </c>
      <c r="B478" s="1" t="s">
        <v>54</v>
      </c>
      <c r="C478" s="1">
        <v>7</v>
      </c>
      <c r="D478" s="1">
        <v>48.4</v>
      </c>
      <c r="E478" s="11">
        <v>338.8</v>
      </c>
      <c r="F478" s="3">
        <v>45678</v>
      </c>
      <c r="G478" s="3">
        <v>45681</v>
      </c>
      <c r="H478" s="1" t="s">
        <v>27</v>
      </c>
      <c r="I478" s="1" t="s">
        <v>51</v>
      </c>
      <c r="J478" s="1">
        <v>3</v>
      </c>
      <c r="K478" s="1" t="s">
        <v>19</v>
      </c>
      <c r="L478" s="1" t="s">
        <v>33</v>
      </c>
      <c r="M478" s="1">
        <f>orders[[#This Row],[Ship Date]]-orders[[#This Row],[Order Date]]</f>
        <v>3</v>
      </c>
      <c r="N478" s="1">
        <f>WEEKNUM(orders[[#This Row],[Order Date]])</f>
        <v>4</v>
      </c>
      <c r="O478" s="1" t="str" cm="1">
        <f t="array" ref="O478">_xlfn.IFS(orders[[#This Row],[Customer Gender]]="M","Male", orders[[#This Row],[Customer Gender]]="F","Female", orders[[#This Row],[Customer Gender]]="O","Other", TRUE,"Unknown")</f>
        <v>Female</v>
      </c>
    </row>
    <row r="479" spans="1:15">
      <c r="A479" s="1" t="s">
        <v>566</v>
      </c>
      <c r="B479" s="1" t="s">
        <v>46</v>
      </c>
      <c r="C479" s="1">
        <v>5</v>
      </c>
      <c r="D479" s="1">
        <v>73.2</v>
      </c>
      <c r="E479" s="11">
        <v>366</v>
      </c>
      <c r="F479" s="3">
        <v>45678</v>
      </c>
      <c r="G479" s="3">
        <v>45679</v>
      </c>
      <c r="H479" s="1" t="s">
        <v>27</v>
      </c>
      <c r="I479" s="1" t="s">
        <v>35</v>
      </c>
      <c r="J479" s="1">
        <v>2</v>
      </c>
      <c r="K479" s="1" t="s">
        <v>19</v>
      </c>
      <c r="L479" s="1" t="s">
        <v>33</v>
      </c>
      <c r="M479" s="1">
        <f>orders[[#This Row],[Ship Date]]-orders[[#This Row],[Order Date]]</f>
        <v>1</v>
      </c>
      <c r="N479" s="1">
        <f>WEEKNUM(orders[[#This Row],[Order Date]])</f>
        <v>4</v>
      </c>
      <c r="O479" s="1" t="str" cm="1">
        <f t="array" ref="O479">_xlfn.IFS(orders[[#This Row],[Customer Gender]]="M","Male", orders[[#This Row],[Customer Gender]]="F","Female", orders[[#This Row],[Customer Gender]]="O","Other", TRUE,"Unknown")</f>
        <v>Female</v>
      </c>
    </row>
    <row r="480" spans="1:15">
      <c r="A480" s="1" t="s">
        <v>567</v>
      </c>
      <c r="B480" s="1" t="s">
        <v>123</v>
      </c>
      <c r="C480" s="1">
        <v>2</v>
      </c>
      <c r="D480" s="1">
        <v>48.6</v>
      </c>
      <c r="E480" s="11">
        <v>97.2</v>
      </c>
      <c r="F480" s="3">
        <v>45678</v>
      </c>
      <c r="G480" s="3">
        <v>45682</v>
      </c>
      <c r="H480" s="1" t="s">
        <v>27</v>
      </c>
      <c r="I480" s="1" t="s">
        <v>51</v>
      </c>
      <c r="J480" s="1">
        <v>4</v>
      </c>
      <c r="K480" s="1" t="s">
        <v>19</v>
      </c>
      <c r="L480" s="1" t="s">
        <v>33</v>
      </c>
      <c r="M480" s="1">
        <f>orders[[#This Row],[Ship Date]]-orders[[#This Row],[Order Date]]</f>
        <v>4</v>
      </c>
      <c r="N480" s="1">
        <f>WEEKNUM(orders[[#This Row],[Order Date]])</f>
        <v>4</v>
      </c>
      <c r="O480" s="1" t="str" cm="1">
        <f t="array" ref="O480">_xlfn.IFS(orders[[#This Row],[Customer Gender]]="M","Male", orders[[#This Row],[Customer Gender]]="F","Female", orders[[#This Row],[Customer Gender]]="O","Other", TRUE,"Unknown")</f>
        <v>Female</v>
      </c>
    </row>
    <row r="481" spans="1:15">
      <c r="A481" s="1" t="s">
        <v>568</v>
      </c>
      <c r="B481" s="1" t="s">
        <v>16</v>
      </c>
      <c r="C481" s="1">
        <v>6</v>
      </c>
      <c r="D481" s="1">
        <v>48.7</v>
      </c>
      <c r="E481" s="11">
        <v>292.20000000000005</v>
      </c>
      <c r="F481" s="3">
        <v>45678</v>
      </c>
      <c r="G481" s="3">
        <v>45679</v>
      </c>
      <c r="H481" s="1" t="s">
        <v>23</v>
      </c>
      <c r="I481" s="1" t="s">
        <v>18</v>
      </c>
      <c r="J481" s="1">
        <v>4</v>
      </c>
      <c r="K481" s="1" t="s">
        <v>19</v>
      </c>
      <c r="L481" s="1" t="s">
        <v>33</v>
      </c>
      <c r="M481" s="1">
        <f>orders[[#This Row],[Ship Date]]-orders[[#This Row],[Order Date]]</f>
        <v>1</v>
      </c>
      <c r="N481" s="1">
        <f>WEEKNUM(orders[[#This Row],[Order Date]])</f>
        <v>4</v>
      </c>
      <c r="O481" s="1" t="str" cm="1">
        <f t="array" ref="O481">_xlfn.IFS(orders[[#This Row],[Customer Gender]]="M","Male", orders[[#This Row],[Customer Gender]]="F","Female", orders[[#This Row],[Customer Gender]]="O","Other", TRUE,"Unknown")</f>
        <v>Male</v>
      </c>
    </row>
    <row r="482" spans="1:15">
      <c r="A482" s="1" t="s">
        <v>569</v>
      </c>
      <c r="B482" s="1" t="s">
        <v>32</v>
      </c>
      <c r="C482" s="1">
        <v>2</v>
      </c>
      <c r="D482" s="1">
        <v>32.200000000000003</v>
      </c>
      <c r="E482" s="11">
        <v>64.400000000000006</v>
      </c>
      <c r="F482" s="3">
        <v>45678</v>
      </c>
      <c r="G482" s="3">
        <v>45681</v>
      </c>
      <c r="H482" s="1" t="s">
        <v>23</v>
      </c>
      <c r="I482" s="1" t="s">
        <v>40</v>
      </c>
      <c r="J482" s="1">
        <v>5</v>
      </c>
      <c r="K482" s="1" t="s">
        <v>19</v>
      </c>
      <c r="L482" s="1" t="s">
        <v>33</v>
      </c>
      <c r="M482" s="1">
        <f>orders[[#This Row],[Ship Date]]-orders[[#This Row],[Order Date]]</f>
        <v>3</v>
      </c>
      <c r="N482" s="1">
        <f>WEEKNUM(orders[[#This Row],[Order Date]])</f>
        <v>4</v>
      </c>
      <c r="O482" s="1" t="str" cm="1">
        <f t="array" ref="O482">_xlfn.IFS(orders[[#This Row],[Customer Gender]]="M","Male", orders[[#This Row],[Customer Gender]]="F","Female", orders[[#This Row],[Customer Gender]]="O","Other", TRUE,"Unknown")</f>
        <v>Male</v>
      </c>
    </row>
    <row r="483" spans="1:15">
      <c r="A483" s="1" t="s">
        <v>570</v>
      </c>
      <c r="B483" s="1" t="s">
        <v>123</v>
      </c>
      <c r="C483" s="1">
        <v>8</v>
      </c>
      <c r="D483" s="1">
        <v>25.8</v>
      </c>
      <c r="E483" s="11">
        <v>206.4</v>
      </c>
      <c r="F483" s="3">
        <v>45678</v>
      </c>
      <c r="G483" s="3">
        <v>45679</v>
      </c>
      <c r="H483" s="1" t="s">
        <v>23</v>
      </c>
      <c r="I483" s="1" t="s">
        <v>18</v>
      </c>
      <c r="J483" s="1">
        <v>4</v>
      </c>
      <c r="K483" s="1" t="s">
        <v>19</v>
      </c>
      <c r="L483" s="1" t="s">
        <v>364</v>
      </c>
      <c r="M483" s="1">
        <f>orders[[#This Row],[Ship Date]]-orders[[#This Row],[Order Date]]</f>
        <v>1</v>
      </c>
      <c r="N483" s="1">
        <f>WEEKNUM(orders[[#This Row],[Order Date]])</f>
        <v>4</v>
      </c>
      <c r="O483" s="1" t="str" cm="1">
        <f t="array" ref="O483">_xlfn.IFS(orders[[#This Row],[Customer Gender]]="M","Male", orders[[#This Row],[Customer Gender]]="F","Female", orders[[#This Row],[Customer Gender]]="O","Other", TRUE,"Unknown")</f>
        <v>Male</v>
      </c>
    </row>
    <row r="484" spans="1:15">
      <c r="A484" s="1" t="s">
        <v>571</v>
      </c>
      <c r="B484" s="1" t="s">
        <v>39</v>
      </c>
      <c r="C484" s="1">
        <v>2</v>
      </c>
      <c r="D484" s="1">
        <v>94.8</v>
      </c>
      <c r="E484" s="11">
        <v>189.6</v>
      </c>
      <c r="F484" s="3">
        <v>45679</v>
      </c>
      <c r="G484" s="3">
        <v>45682</v>
      </c>
      <c r="H484" s="1" t="s">
        <v>27</v>
      </c>
      <c r="I484" s="1" t="s">
        <v>35</v>
      </c>
      <c r="J484" s="1">
        <v>3</v>
      </c>
      <c r="K484" s="1" t="s">
        <v>19</v>
      </c>
      <c r="L484" s="1" t="s">
        <v>188</v>
      </c>
      <c r="M484" s="1">
        <f>orders[[#This Row],[Ship Date]]-orders[[#This Row],[Order Date]]</f>
        <v>3</v>
      </c>
      <c r="N484" s="1">
        <f>WEEKNUM(orders[[#This Row],[Order Date]])</f>
        <v>4</v>
      </c>
      <c r="O484" s="1" t="str" cm="1">
        <f t="array" ref="O484">_xlfn.IFS(orders[[#This Row],[Customer Gender]]="M","Male", orders[[#This Row],[Customer Gender]]="F","Female", orders[[#This Row],[Customer Gender]]="O","Other", TRUE,"Unknown")</f>
        <v>Female</v>
      </c>
    </row>
    <row r="485" spans="1:15">
      <c r="A485" s="1" t="s">
        <v>572</v>
      </c>
      <c r="B485" s="1" t="s">
        <v>123</v>
      </c>
      <c r="C485" s="1">
        <v>25</v>
      </c>
      <c r="D485" s="1">
        <v>56.8</v>
      </c>
      <c r="E485" s="11">
        <v>1420</v>
      </c>
      <c r="F485" s="3">
        <v>45679</v>
      </c>
      <c r="G485" s="3">
        <v>45682</v>
      </c>
      <c r="H485" s="1" t="s">
        <v>23</v>
      </c>
      <c r="I485" s="1" t="s">
        <v>18</v>
      </c>
      <c r="J485" s="1">
        <v>4</v>
      </c>
      <c r="K485" s="1" t="s">
        <v>19</v>
      </c>
      <c r="L485" s="1" t="s">
        <v>188</v>
      </c>
      <c r="M485" s="1">
        <f>orders[[#This Row],[Ship Date]]-orders[[#This Row],[Order Date]]</f>
        <v>3</v>
      </c>
      <c r="N485" s="1">
        <f>WEEKNUM(orders[[#This Row],[Order Date]])</f>
        <v>4</v>
      </c>
      <c r="O485" s="1" t="str" cm="1">
        <f t="array" ref="O485">_xlfn.IFS(orders[[#This Row],[Customer Gender]]="M","Male", orders[[#This Row],[Customer Gender]]="F","Female", orders[[#This Row],[Customer Gender]]="O","Other", TRUE,"Unknown")</f>
        <v>Male</v>
      </c>
    </row>
    <row r="486" spans="1:15">
      <c r="A486" s="1" t="s">
        <v>573</v>
      </c>
      <c r="B486" s="1" t="s">
        <v>44</v>
      </c>
      <c r="C486" s="1">
        <v>16</v>
      </c>
      <c r="D486" s="1">
        <v>18.3</v>
      </c>
      <c r="E486" s="11">
        <v>292.8</v>
      </c>
      <c r="F486" s="3">
        <v>45679</v>
      </c>
      <c r="G486" s="3">
        <v>45686</v>
      </c>
      <c r="H486" s="1" t="s">
        <v>27</v>
      </c>
      <c r="I486" s="1" t="s">
        <v>40</v>
      </c>
      <c r="J486" s="1">
        <v>5</v>
      </c>
      <c r="K486" s="1" t="s">
        <v>19</v>
      </c>
      <c r="L486" s="1" t="s">
        <v>158</v>
      </c>
      <c r="M486" s="1">
        <f>orders[[#This Row],[Ship Date]]-orders[[#This Row],[Order Date]]</f>
        <v>7</v>
      </c>
      <c r="N486" s="1">
        <f>WEEKNUM(orders[[#This Row],[Order Date]])</f>
        <v>4</v>
      </c>
      <c r="O486" s="1" t="str" cm="1">
        <f t="array" ref="O486">_xlfn.IFS(orders[[#This Row],[Customer Gender]]="M","Male", orders[[#This Row],[Customer Gender]]="F","Female", orders[[#This Row],[Customer Gender]]="O","Other", TRUE,"Unknown")</f>
        <v>Female</v>
      </c>
    </row>
    <row r="487" spans="1:15">
      <c r="A487" s="1" t="s">
        <v>574</v>
      </c>
      <c r="B487" s="1" t="s">
        <v>16</v>
      </c>
      <c r="C487" s="1">
        <v>3</v>
      </c>
      <c r="D487" s="1">
        <v>16.8</v>
      </c>
      <c r="E487" s="11">
        <v>50.400000000000006</v>
      </c>
      <c r="F487" s="3">
        <v>45679</v>
      </c>
      <c r="G487" s="3">
        <v>45684</v>
      </c>
      <c r="H487" s="1" t="s">
        <v>27</v>
      </c>
      <c r="I487" s="1" t="s">
        <v>40</v>
      </c>
      <c r="J487" s="1">
        <v>5</v>
      </c>
      <c r="K487" s="1" t="s">
        <v>19</v>
      </c>
      <c r="L487" s="1" t="s">
        <v>62</v>
      </c>
      <c r="M487" s="1">
        <f>orders[[#This Row],[Ship Date]]-orders[[#This Row],[Order Date]]</f>
        <v>5</v>
      </c>
      <c r="N487" s="1">
        <f>WEEKNUM(orders[[#This Row],[Order Date]])</f>
        <v>4</v>
      </c>
      <c r="O487" s="1" t="str" cm="1">
        <f t="array" ref="O487">_xlfn.IFS(orders[[#This Row],[Customer Gender]]="M","Male", orders[[#This Row],[Customer Gender]]="F","Female", orders[[#This Row],[Customer Gender]]="O","Other", TRUE,"Unknown")</f>
        <v>Female</v>
      </c>
    </row>
    <row r="488" spans="1:15">
      <c r="A488" s="1" t="s">
        <v>575</v>
      </c>
      <c r="B488" s="1" t="s">
        <v>37</v>
      </c>
      <c r="C488" s="1">
        <v>11</v>
      </c>
      <c r="D488" s="1">
        <v>35.799999999999997</v>
      </c>
      <c r="E488" s="11">
        <v>393.79999999999995</v>
      </c>
      <c r="F488" s="3">
        <v>45679</v>
      </c>
      <c r="G488" s="3">
        <v>45680</v>
      </c>
      <c r="H488" s="1" t="s">
        <v>23</v>
      </c>
      <c r="I488" s="1" t="s">
        <v>35</v>
      </c>
      <c r="J488" s="1">
        <v>4</v>
      </c>
      <c r="K488" s="1" t="s">
        <v>19</v>
      </c>
      <c r="L488" s="1" t="s">
        <v>103</v>
      </c>
      <c r="M488" s="1">
        <f>orders[[#This Row],[Ship Date]]-orders[[#This Row],[Order Date]]</f>
        <v>1</v>
      </c>
      <c r="N488" s="1">
        <f>WEEKNUM(orders[[#This Row],[Order Date]])</f>
        <v>4</v>
      </c>
      <c r="O488" s="1" t="str" cm="1">
        <f t="array" ref="O488">_xlfn.IFS(orders[[#This Row],[Customer Gender]]="M","Male", orders[[#This Row],[Customer Gender]]="F","Female", orders[[#This Row],[Customer Gender]]="O","Other", TRUE,"Unknown")</f>
        <v>Male</v>
      </c>
    </row>
    <row r="489" spans="1:15">
      <c r="A489" s="1" t="s">
        <v>576</v>
      </c>
      <c r="B489" s="1" t="s">
        <v>146</v>
      </c>
      <c r="C489" s="1">
        <v>1</v>
      </c>
      <c r="D489" s="1">
        <v>64.900000000000006</v>
      </c>
      <c r="E489" s="11">
        <v>64.900000000000006</v>
      </c>
      <c r="F489" s="3">
        <v>45679</v>
      </c>
      <c r="G489" s="3">
        <v>45680</v>
      </c>
      <c r="H489" s="1" t="s">
        <v>23</v>
      </c>
      <c r="I489" s="1" t="s">
        <v>18</v>
      </c>
      <c r="J489" s="1">
        <v>3</v>
      </c>
      <c r="K489" s="1" t="s">
        <v>19</v>
      </c>
      <c r="L489" s="1" t="s">
        <v>103</v>
      </c>
      <c r="M489" s="1">
        <f>orders[[#This Row],[Ship Date]]-orders[[#This Row],[Order Date]]</f>
        <v>1</v>
      </c>
      <c r="N489" s="1">
        <f>WEEKNUM(orders[[#This Row],[Order Date]])</f>
        <v>4</v>
      </c>
      <c r="O489" s="1" t="str" cm="1">
        <f t="array" ref="O489">_xlfn.IFS(orders[[#This Row],[Customer Gender]]="M","Male", orders[[#This Row],[Customer Gender]]="F","Female", orders[[#This Row],[Customer Gender]]="O","Other", TRUE,"Unknown")</f>
        <v>Male</v>
      </c>
    </row>
    <row r="490" spans="1:15">
      <c r="A490" s="1" t="s">
        <v>577</v>
      </c>
      <c r="B490" s="1" t="s">
        <v>146</v>
      </c>
      <c r="C490" s="1">
        <v>1</v>
      </c>
      <c r="D490" s="1">
        <v>28.5</v>
      </c>
      <c r="E490" s="11">
        <v>28.5</v>
      </c>
      <c r="F490" s="3">
        <v>45679</v>
      </c>
      <c r="G490" s="3">
        <v>45681</v>
      </c>
      <c r="H490" s="1" t="s">
        <v>17</v>
      </c>
      <c r="I490" s="1" t="s">
        <v>35</v>
      </c>
      <c r="J490" s="1">
        <v>4</v>
      </c>
      <c r="K490" s="1" t="s">
        <v>19</v>
      </c>
      <c r="L490" s="1" t="s">
        <v>72</v>
      </c>
      <c r="M490" s="1">
        <f>orders[[#This Row],[Ship Date]]-orders[[#This Row],[Order Date]]</f>
        <v>2</v>
      </c>
      <c r="N490" s="1">
        <f>WEEKNUM(orders[[#This Row],[Order Date]])</f>
        <v>4</v>
      </c>
      <c r="O490" s="1" t="str" cm="1">
        <f t="array" ref="O490">_xlfn.IFS(orders[[#This Row],[Customer Gender]]="M","Male", orders[[#This Row],[Customer Gender]]="F","Female", orders[[#This Row],[Customer Gender]]="O","Other", TRUE,"Unknown")</f>
        <v>Unknown</v>
      </c>
    </row>
    <row r="491" spans="1:15">
      <c r="A491" s="1" t="s">
        <v>578</v>
      </c>
      <c r="B491" s="1" t="s">
        <v>146</v>
      </c>
      <c r="C491" s="1">
        <v>2</v>
      </c>
      <c r="D491" s="1">
        <v>103.5</v>
      </c>
      <c r="E491" s="11">
        <v>207</v>
      </c>
      <c r="F491" s="3">
        <v>45679</v>
      </c>
      <c r="G491" s="3">
        <v>45681</v>
      </c>
      <c r="H491" s="1" t="s">
        <v>27</v>
      </c>
      <c r="I491" s="1" t="s">
        <v>35</v>
      </c>
      <c r="J491" s="1">
        <v>4</v>
      </c>
      <c r="K491" s="1" t="s">
        <v>19</v>
      </c>
      <c r="L491" s="1" t="s">
        <v>74</v>
      </c>
      <c r="M491" s="1">
        <f>orders[[#This Row],[Ship Date]]-orders[[#This Row],[Order Date]]</f>
        <v>2</v>
      </c>
      <c r="N491" s="1">
        <f>WEEKNUM(orders[[#This Row],[Order Date]])</f>
        <v>4</v>
      </c>
      <c r="O491" s="1" t="str" cm="1">
        <f t="array" ref="O491">_xlfn.IFS(orders[[#This Row],[Customer Gender]]="M","Male", orders[[#This Row],[Customer Gender]]="F","Female", orders[[#This Row],[Customer Gender]]="O","Other", TRUE,"Unknown")</f>
        <v>Female</v>
      </c>
    </row>
    <row r="492" spans="1:15">
      <c r="A492" s="1" t="s">
        <v>579</v>
      </c>
      <c r="B492" s="1" t="s">
        <v>32</v>
      </c>
      <c r="C492" s="1">
        <v>2</v>
      </c>
      <c r="D492" s="1">
        <v>41.2</v>
      </c>
      <c r="E492" s="11">
        <v>82.4</v>
      </c>
      <c r="F492" s="3">
        <v>45679</v>
      </c>
      <c r="G492" s="3">
        <v>45680</v>
      </c>
      <c r="H492" s="1" t="s">
        <v>27</v>
      </c>
      <c r="I492" s="1" t="s">
        <v>35</v>
      </c>
      <c r="J492" s="1">
        <v>4</v>
      </c>
      <c r="K492" s="1" t="s">
        <v>19</v>
      </c>
      <c r="L492" s="1" t="s">
        <v>74</v>
      </c>
      <c r="M492" s="1">
        <f>orders[[#This Row],[Ship Date]]-orders[[#This Row],[Order Date]]</f>
        <v>1</v>
      </c>
      <c r="N492" s="1">
        <f>WEEKNUM(orders[[#This Row],[Order Date]])</f>
        <v>4</v>
      </c>
      <c r="O492" s="1" t="str" cm="1">
        <f t="array" ref="O492">_xlfn.IFS(orders[[#This Row],[Customer Gender]]="M","Male", orders[[#This Row],[Customer Gender]]="F","Female", orders[[#This Row],[Customer Gender]]="O","Other", TRUE,"Unknown")</f>
        <v>Female</v>
      </c>
    </row>
    <row r="493" spans="1:15">
      <c r="A493" s="1" t="s">
        <v>580</v>
      </c>
      <c r="B493" s="1" t="s">
        <v>46</v>
      </c>
      <c r="C493" s="1">
        <v>1</v>
      </c>
      <c r="D493" s="1">
        <v>37.799999999999997</v>
      </c>
      <c r="E493" s="11">
        <v>37.799999999999997</v>
      </c>
      <c r="F493" s="3">
        <v>45679</v>
      </c>
      <c r="G493" s="3">
        <v>45681</v>
      </c>
      <c r="H493" s="1" t="s">
        <v>27</v>
      </c>
      <c r="I493" s="1" t="s">
        <v>51</v>
      </c>
      <c r="J493" s="1">
        <v>1</v>
      </c>
      <c r="K493" s="1" t="s">
        <v>19</v>
      </c>
      <c r="L493" s="1" t="s">
        <v>77</v>
      </c>
      <c r="M493" s="1">
        <f>orders[[#This Row],[Ship Date]]-orders[[#This Row],[Order Date]]</f>
        <v>2</v>
      </c>
      <c r="N493" s="1">
        <f>WEEKNUM(orders[[#This Row],[Order Date]])</f>
        <v>4</v>
      </c>
      <c r="O493" s="1" t="str" cm="1">
        <f t="array" ref="O493">_xlfn.IFS(orders[[#This Row],[Customer Gender]]="M","Male", orders[[#This Row],[Customer Gender]]="F","Female", orders[[#This Row],[Customer Gender]]="O","Other", TRUE,"Unknown")</f>
        <v>Female</v>
      </c>
    </row>
    <row r="494" spans="1:15">
      <c r="A494" s="1" t="s">
        <v>581</v>
      </c>
      <c r="B494" s="1" t="s">
        <v>44</v>
      </c>
      <c r="C494" s="1">
        <v>2</v>
      </c>
      <c r="D494" s="1">
        <v>42.6</v>
      </c>
      <c r="E494" s="11">
        <v>85.2</v>
      </c>
      <c r="F494" s="3">
        <v>45679</v>
      </c>
      <c r="G494" s="3">
        <v>45681</v>
      </c>
      <c r="H494" s="1" t="s">
        <v>27</v>
      </c>
      <c r="I494" s="1" t="s">
        <v>70</v>
      </c>
      <c r="J494" s="1">
        <v>4</v>
      </c>
      <c r="K494" s="1" t="s">
        <v>19</v>
      </c>
      <c r="L494" s="1" t="s">
        <v>77</v>
      </c>
      <c r="M494" s="1">
        <f>orders[[#This Row],[Ship Date]]-orders[[#This Row],[Order Date]]</f>
        <v>2</v>
      </c>
      <c r="N494" s="1">
        <f>WEEKNUM(orders[[#This Row],[Order Date]])</f>
        <v>4</v>
      </c>
      <c r="O494" s="1" t="str" cm="1">
        <f t="array" ref="O494">_xlfn.IFS(orders[[#This Row],[Customer Gender]]="M","Male", orders[[#This Row],[Customer Gender]]="F","Female", orders[[#This Row],[Customer Gender]]="O","Other", TRUE,"Unknown")</f>
        <v>Female</v>
      </c>
    </row>
    <row r="495" spans="1:15">
      <c r="A495" s="1" t="s">
        <v>582</v>
      </c>
      <c r="B495" s="1" t="s">
        <v>44</v>
      </c>
      <c r="C495" s="1">
        <v>10</v>
      </c>
      <c r="D495" s="1">
        <v>15.2</v>
      </c>
      <c r="E495" s="11">
        <v>152</v>
      </c>
      <c r="F495" s="3">
        <v>45679</v>
      </c>
      <c r="G495" s="3">
        <v>45681</v>
      </c>
      <c r="H495" s="1" t="s">
        <v>27</v>
      </c>
      <c r="I495" s="1" t="s">
        <v>40</v>
      </c>
      <c r="J495" s="1">
        <v>4</v>
      </c>
      <c r="K495" s="1" t="s">
        <v>19</v>
      </c>
      <c r="L495" s="1" t="s">
        <v>77</v>
      </c>
      <c r="M495" s="1">
        <f>orders[[#This Row],[Ship Date]]-orders[[#This Row],[Order Date]]</f>
        <v>2</v>
      </c>
      <c r="N495" s="1">
        <f>WEEKNUM(orders[[#This Row],[Order Date]])</f>
        <v>4</v>
      </c>
      <c r="O495" s="1" t="str" cm="1">
        <f t="array" ref="O495">_xlfn.IFS(orders[[#This Row],[Customer Gender]]="M","Male", orders[[#This Row],[Customer Gender]]="F","Female", orders[[#This Row],[Customer Gender]]="O","Other", TRUE,"Unknown")</f>
        <v>Female</v>
      </c>
    </row>
    <row r="496" spans="1:15">
      <c r="A496" s="1" t="s">
        <v>583</v>
      </c>
      <c r="B496" s="1" t="s">
        <v>42</v>
      </c>
      <c r="C496" s="1">
        <v>4</v>
      </c>
      <c r="D496" s="1">
        <v>83.4</v>
      </c>
      <c r="E496" s="11">
        <v>333.6</v>
      </c>
      <c r="F496" s="3">
        <v>45679</v>
      </c>
      <c r="G496" s="3">
        <v>45680</v>
      </c>
      <c r="H496" s="1" t="s">
        <v>27</v>
      </c>
      <c r="I496" s="1" t="s">
        <v>40</v>
      </c>
      <c r="J496" s="1">
        <v>3</v>
      </c>
      <c r="K496" s="1" t="s">
        <v>19</v>
      </c>
      <c r="L496" s="1" t="s">
        <v>108</v>
      </c>
      <c r="M496" s="1">
        <f>orders[[#This Row],[Ship Date]]-orders[[#This Row],[Order Date]]</f>
        <v>1</v>
      </c>
      <c r="N496" s="1">
        <f>WEEKNUM(orders[[#This Row],[Order Date]])</f>
        <v>4</v>
      </c>
      <c r="O496" s="1" t="str" cm="1">
        <f t="array" ref="O496">_xlfn.IFS(orders[[#This Row],[Customer Gender]]="M","Male", orders[[#This Row],[Customer Gender]]="F","Female", orders[[#This Row],[Customer Gender]]="O","Other", TRUE,"Unknown")</f>
        <v>Female</v>
      </c>
    </row>
    <row r="497" spans="1:15">
      <c r="A497" s="1" t="s">
        <v>584</v>
      </c>
      <c r="B497" s="1" t="s">
        <v>171</v>
      </c>
      <c r="C497" s="1">
        <v>2</v>
      </c>
      <c r="D497" s="1">
        <v>27.7</v>
      </c>
      <c r="E497" s="11">
        <v>55.4</v>
      </c>
      <c r="F497" s="3">
        <v>45679</v>
      </c>
      <c r="G497" s="3">
        <v>45680</v>
      </c>
      <c r="H497" s="1" t="s">
        <v>27</v>
      </c>
      <c r="I497" s="1" t="s">
        <v>18</v>
      </c>
      <c r="J497" s="1">
        <v>3</v>
      </c>
      <c r="K497" s="1" t="s">
        <v>19</v>
      </c>
      <c r="L497" s="1" t="s">
        <v>82</v>
      </c>
      <c r="M497" s="1">
        <f>orders[[#This Row],[Ship Date]]-orders[[#This Row],[Order Date]]</f>
        <v>1</v>
      </c>
      <c r="N497" s="1">
        <f>WEEKNUM(orders[[#This Row],[Order Date]])</f>
        <v>4</v>
      </c>
      <c r="O497" s="1" t="str" cm="1">
        <f t="array" ref="O497">_xlfn.IFS(orders[[#This Row],[Customer Gender]]="M","Male", orders[[#This Row],[Customer Gender]]="F","Female", orders[[#This Row],[Customer Gender]]="O","Other", TRUE,"Unknown")</f>
        <v>Female</v>
      </c>
    </row>
    <row r="498" spans="1:15">
      <c r="A498" s="1" t="s">
        <v>585</v>
      </c>
      <c r="B498" s="1" t="s">
        <v>54</v>
      </c>
      <c r="C498" s="1">
        <v>12</v>
      </c>
      <c r="D498" s="1">
        <v>20.8</v>
      </c>
      <c r="E498" s="11">
        <v>249.60000000000002</v>
      </c>
      <c r="F498" s="3">
        <v>45679</v>
      </c>
      <c r="G498" s="3">
        <v>45680</v>
      </c>
      <c r="H498" s="1" t="s">
        <v>23</v>
      </c>
      <c r="I498" s="1" t="s">
        <v>51</v>
      </c>
      <c r="J498" s="1">
        <v>4</v>
      </c>
      <c r="K498" s="1" t="s">
        <v>19</v>
      </c>
      <c r="L498" s="1" t="s">
        <v>82</v>
      </c>
      <c r="M498" s="1">
        <f>orders[[#This Row],[Ship Date]]-orders[[#This Row],[Order Date]]</f>
        <v>1</v>
      </c>
      <c r="N498" s="1">
        <f>WEEKNUM(orders[[#This Row],[Order Date]])</f>
        <v>4</v>
      </c>
      <c r="O498" s="1" t="str" cm="1">
        <f t="array" ref="O498">_xlfn.IFS(orders[[#This Row],[Customer Gender]]="M","Male", orders[[#This Row],[Customer Gender]]="F","Female", orders[[#This Row],[Customer Gender]]="O","Other", TRUE,"Unknown")</f>
        <v>Male</v>
      </c>
    </row>
    <row r="499" spans="1:15">
      <c r="A499" s="1" t="s">
        <v>586</v>
      </c>
      <c r="B499" s="1" t="s">
        <v>67</v>
      </c>
      <c r="C499" s="1">
        <v>2</v>
      </c>
      <c r="D499" s="1">
        <v>72.7</v>
      </c>
      <c r="E499" s="11">
        <v>145.4</v>
      </c>
      <c r="F499" s="3">
        <v>45679</v>
      </c>
      <c r="G499" s="3">
        <v>45683</v>
      </c>
      <c r="H499" s="1" t="s">
        <v>27</v>
      </c>
      <c r="I499" s="1" t="s">
        <v>70</v>
      </c>
      <c r="J499" s="1">
        <v>5</v>
      </c>
      <c r="K499" s="1" t="s">
        <v>19</v>
      </c>
      <c r="L499" s="1" t="s">
        <v>587</v>
      </c>
      <c r="M499" s="1">
        <f>orders[[#This Row],[Ship Date]]-orders[[#This Row],[Order Date]]</f>
        <v>4</v>
      </c>
      <c r="N499" s="1">
        <f>WEEKNUM(orders[[#This Row],[Order Date]])</f>
        <v>4</v>
      </c>
      <c r="O499" s="1" t="str" cm="1">
        <f t="array" ref="O499">_xlfn.IFS(orders[[#This Row],[Customer Gender]]="M","Male", orders[[#This Row],[Customer Gender]]="F","Female", orders[[#This Row],[Customer Gender]]="O","Other", TRUE,"Unknown")</f>
        <v>Female</v>
      </c>
    </row>
    <row r="500" spans="1:15">
      <c r="A500" s="1" t="s">
        <v>588</v>
      </c>
      <c r="B500" s="1" t="s">
        <v>54</v>
      </c>
      <c r="C500" s="1">
        <v>4</v>
      </c>
      <c r="D500" s="1">
        <v>38.6</v>
      </c>
      <c r="E500" s="11">
        <v>154.4</v>
      </c>
      <c r="F500" s="3">
        <v>45679</v>
      </c>
      <c r="G500" s="3">
        <v>45680</v>
      </c>
      <c r="H500" s="1" t="s">
        <v>23</v>
      </c>
      <c r="I500" s="1" t="s">
        <v>18</v>
      </c>
      <c r="J500" s="1">
        <v>5</v>
      </c>
      <c r="K500" s="1" t="s">
        <v>19</v>
      </c>
      <c r="L500" s="1" t="s">
        <v>147</v>
      </c>
      <c r="M500" s="1">
        <f>orders[[#This Row],[Ship Date]]-orders[[#This Row],[Order Date]]</f>
        <v>1</v>
      </c>
      <c r="N500" s="1">
        <f>WEEKNUM(orders[[#This Row],[Order Date]])</f>
        <v>4</v>
      </c>
      <c r="O500" s="1" t="str" cm="1">
        <f t="array" ref="O500">_xlfn.IFS(orders[[#This Row],[Customer Gender]]="M","Male", orders[[#This Row],[Customer Gender]]="F","Female", orders[[#This Row],[Customer Gender]]="O","Other", TRUE,"Unknown")</f>
        <v>Male</v>
      </c>
    </row>
    <row r="501" spans="1:15">
      <c r="A501" s="1" t="s">
        <v>589</v>
      </c>
      <c r="B501" s="1" t="s">
        <v>44</v>
      </c>
      <c r="C501" s="1">
        <v>7</v>
      </c>
      <c r="D501" s="1">
        <v>33.1</v>
      </c>
      <c r="E501" s="11">
        <v>231.70000000000002</v>
      </c>
      <c r="F501" s="3">
        <v>45679</v>
      </c>
      <c r="G501" s="3">
        <v>45680</v>
      </c>
      <c r="H501" s="1" t="s">
        <v>89</v>
      </c>
      <c r="I501" s="1" t="s">
        <v>70</v>
      </c>
      <c r="J501" s="1">
        <v>1</v>
      </c>
      <c r="K501" s="1" t="s">
        <v>19</v>
      </c>
      <c r="L501" s="1" t="s">
        <v>33</v>
      </c>
      <c r="M501" s="1">
        <f>orders[[#This Row],[Ship Date]]-orders[[#This Row],[Order Date]]</f>
        <v>1</v>
      </c>
      <c r="N501" s="1">
        <f>WEEKNUM(orders[[#This Row],[Order Date]])</f>
        <v>4</v>
      </c>
      <c r="O501" s="1" t="str" cm="1">
        <f t="array" ref="O501">_xlfn.IFS(orders[[#This Row],[Customer Gender]]="M","Male", orders[[#This Row],[Customer Gender]]="F","Female", orders[[#This Row],[Customer Gender]]="O","Other", TRUE,"Unknown")</f>
        <v>Other</v>
      </c>
    </row>
    <row r="502" spans="1:15">
      <c r="A502" s="1" t="s">
        <v>590</v>
      </c>
      <c r="B502" s="1" t="s">
        <v>54</v>
      </c>
      <c r="C502" s="1">
        <v>2</v>
      </c>
      <c r="D502" s="1">
        <v>30.5</v>
      </c>
      <c r="E502" s="11">
        <v>61</v>
      </c>
      <c r="F502" s="3">
        <v>45679</v>
      </c>
      <c r="G502" s="3">
        <v>45679</v>
      </c>
      <c r="H502" s="1" t="s">
        <v>17</v>
      </c>
      <c r="I502" s="1" t="s">
        <v>35</v>
      </c>
      <c r="J502" s="1">
        <v>3</v>
      </c>
      <c r="K502" s="1" t="s">
        <v>19</v>
      </c>
      <c r="L502" s="1" t="s">
        <v>33</v>
      </c>
      <c r="M502" s="1">
        <f>orders[[#This Row],[Ship Date]]-orders[[#This Row],[Order Date]]</f>
        <v>0</v>
      </c>
      <c r="N502" s="1">
        <f>WEEKNUM(orders[[#This Row],[Order Date]])</f>
        <v>4</v>
      </c>
      <c r="O502" s="1" t="str" cm="1">
        <f t="array" ref="O502">_xlfn.IFS(orders[[#This Row],[Customer Gender]]="M","Male", orders[[#This Row],[Customer Gender]]="F","Female", orders[[#This Row],[Customer Gender]]="O","Other", TRUE,"Unknown")</f>
        <v>Unknown</v>
      </c>
    </row>
    <row r="503" spans="1:15">
      <c r="A503" s="1" t="s">
        <v>591</v>
      </c>
      <c r="B503" s="1" t="s">
        <v>46</v>
      </c>
      <c r="C503" s="1">
        <v>2</v>
      </c>
      <c r="D503" s="1">
        <v>69.599999999999994</v>
      </c>
      <c r="E503" s="11">
        <v>139.19999999999999</v>
      </c>
      <c r="F503" s="3">
        <v>45679</v>
      </c>
      <c r="G503" s="3">
        <v>45680</v>
      </c>
      <c r="H503" s="1" t="s">
        <v>23</v>
      </c>
      <c r="I503" s="1" t="s">
        <v>18</v>
      </c>
      <c r="J503" s="1">
        <v>3</v>
      </c>
      <c r="K503" s="1" t="s">
        <v>19</v>
      </c>
      <c r="L503" s="1" t="s">
        <v>33</v>
      </c>
      <c r="M503" s="1">
        <f>orders[[#This Row],[Ship Date]]-orders[[#This Row],[Order Date]]</f>
        <v>1</v>
      </c>
      <c r="N503" s="1">
        <f>WEEKNUM(orders[[#This Row],[Order Date]])</f>
        <v>4</v>
      </c>
      <c r="O503" s="1" t="str" cm="1">
        <f t="array" ref="O503">_xlfn.IFS(orders[[#This Row],[Customer Gender]]="M","Male", orders[[#This Row],[Customer Gender]]="F","Female", orders[[#This Row],[Customer Gender]]="O","Other", TRUE,"Unknown")</f>
        <v>Male</v>
      </c>
    </row>
    <row r="504" spans="1:15">
      <c r="A504" s="1" t="s">
        <v>592</v>
      </c>
      <c r="B504" s="1" t="s">
        <v>67</v>
      </c>
      <c r="C504" s="1">
        <v>1</v>
      </c>
      <c r="D504" s="1">
        <v>42.4</v>
      </c>
      <c r="E504" s="11">
        <v>42.4</v>
      </c>
      <c r="F504" s="3">
        <v>45679</v>
      </c>
      <c r="G504" s="3">
        <v>45683</v>
      </c>
      <c r="H504" s="1" t="s">
        <v>27</v>
      </c>
      <c r="I504" s="1" t="s">
        <v>35</v>
      </c>
      <c r="J504" s="1">
        <v>4</v>
      </c>
      <c r="K504" s="1" t="s">
        <v>19</v>
      </c>
      <c r="L504" s="1" t="s">
        <v>33</v>
      </c>
      <c r="M504" s="1">
        <f>orders[[#This Row],[Ship Date]]-orders[[#This Row],[Order Date]]</f>
        <v>4</v>
      </c>
      <c r="N504" s="1">
        <f>WEEKNUM(orders[[#This Row],[Order Date]])</f>
        <v>4</v>
      </c>
      <c r="O504" s="1" t="str" cm="1">
        <f t="array" ref="O504">_xlfn.IFS(orders[[#This Row],[Customer Gender]]="M","Male", orders[[#This Row],[Customer Gender]]="F","Female", orders[[#This Row],[Customer Gender]]="O","Other", TRUE,"Unknown")</f>
        <v>Female</v>
      </c>
    </row>
    <row r="505" spans="1:15">
      <c r="A505" s="1" t="s">
        <v>593</v>
      </c>
      <c r="B505" s="1" t="s">
        <v>135</v>
      </c>
      <c r="C505" s="1">
        <v>1</v>
      </c>
      <c r="D505" s="1">
        <v>32.200000000000003</v>
      </c>
      <c r="E505" s="11">
        <v>32.200000000000003</v>
      </c>
      <c r="F505" s="3">
        <v>45679</v>
      </c>
      <c r="G505" s="3">
        <v>45682</v>
      </c>
      <c r="H505" s="1" t="s">
        <v>27</v>
      </c>
      <c r="I505" s="1" t="s">
        <v>40</v>
      </c>
      <c r="J505" s="1">
        <v>3</v>
      </c>
      <c r="K505" s="1" t="s">
        <v>19</v>
      </c>
      <c r="L505" s="1" t="s">
        <v>33</v>
      </c>
      <c r="M505" s="1">
        <f>orders[[#This Row],[Ship Date]]-orders[[#This Row],[Order Date]]</f>
        <v>3</v>
      </c>
      <c r="N505" s="1">
        <f>WEEKNUM(orders[[#This Row],[Order Date]])</f>
        <v>4</v>
      </c>
      <c r="O505" s="1" t="str" cm="1">
        <f t="array" ref="O505">_xlfn.IFS(orders[[#This Row],[Customer Gender]]="M","Male", orders[[#This Row],[Customer Gender]]="F","Female", orders[[#This Row],[Customer Gender]]="O","Other", TRUE,"Unknown")</f>
        <v>Female</v>
      </c>
    </row>
    <row r="506" spans="1:15">
      <c r="A506" s="1" t="s">
        <v>594</v>
      </c>
      <c r="B506" s="1" t="s">
        <v>39</v>
      </c>
      <c r="C506" s="1">
        <v>2</v>
      </c>
      <c r="D506" s="1">
        <v>41.5</v>
      </c>
      <c r="E506" s="11">
        <v>83</v>
      </c>
      <c r="F506" s="3">
        <v>45679</v>
      </c>
      <c r="G506" s="3">
        <v>45682</v>
      </c>
      <c r="H506" s="1" t="s">
        <v>27</v>
      </c>
      <c r="I506" s="1" t="s">
        <v>18</v>
      </c>
      <c r="J506" s="1">
        <v>5</v>
      </c>
      <c r="K506" s="1" t="s">
        <v>19</v>
      </c>
      <c r="L506" s="1" t="s">
        <v>33</v>
      </c>
      <c r="M506" s="1">
        <f>orders[[#This Row],[Ship Date]]-orders[[#This Row],[Order Date]]</f>
        <v>3</v>
      </c>
      <c r="N506" s="1">
        <f>WEEKNUM(orders[[#This Row],[Order Date]])</f>
        <v>4</v>
      </c>
      <c r="O506" s="1" t="str" cm="1">
        <f t="array" ref="O506">_xlfn.IFS(orders[[#This Row],[Customer Gender]]="M","Male", orders[[#This Row],[Customer Gender]]="F","Female", orders[[#This Row],[Customer Gender]]="O","Other", TRUE,"Unknown")</f>
        <v>Female</v>
      </c>
    </row>
    <row r="507" spans="1:15">
      <c r="A507" s="1" t="s">
        <v>595</v>
      </c>
      <c r="B507" s="1" t="s">
        <v>128</v>
      </c>
      <c r="C507" s="1">
        <v>9</v>
      </c>
      <c r="D507" s="1">
        <v>58.9</v>
      </c>
      <c r="E507" s="11">
        <v>530.1</v>
      </c>
      <c r="F507" s="3">
        <v>45679</v>
      </c>
      <c r="G507" s="3">
        <v>45683</v>
      </c>
      <c r="H507" s="1" t="s">
        <v>27</v>
      </c>
      <c r="I507" s="1" t="s">
        <v>51</v>
      </c>
      <c r="J507" s="1">
        <v>4</v>
      </c>
      <c r="K507" s="1" t="s">
        <v>19</v>
      </c>
      <c r="L507" s="1" t="s">
        <v>33</v>
      </c>
      <c r="M507" s="1">
        <f>orders[[#This Row],[Ship Date]]-orders[[#This Row],[Order Date]]</f>
        <v>4</v>
      </c>
      <c r="N507" s="1">
        <f>WEEKNUM(orders[[#This Row],[Order Date]])</f>
        <v>4</v>
      </c>
      <c r="O507" s="1" t="str" cm="1">
        <f t="array" ref="O507">_xlfn.IFS(orders[[#This Row],[Customer Gender]]="M","Male", orders[[#This Row],[Customer Gender]]="F","Female", orders[[#This Row],[Customer Gender]]="O","Other", TRUE,"Unknown")</f>
        <v>Female</v>
      </c>
    </row>
    <row r="508" spans="1:15">
      <c r="A508" s="1" t="s">
        <v>596</v>
      </c>
      <c r="B508" s="1" t="s">
        <v>26</v>
      </c>
      <c r="C508" s="1">
        <v>1</v>
      </c>
      <c r="D508" s="1">
        <v>57.1</v>
      </c>
      <c r="E508" s="11">
        <v>57.1</v>
      </c>
      <c r="F508" s="3">
        <v>45679</v>
      </c>
      <c r="G508" s="3">
        <v>45682</v>
      </c>
      <c r="H508" s="1" t="s">
        <v>27</v>
      </c>
      <c r="I508" s="1" t="s">
        <v>35</v>
      </c>
      <c r="J508" s="1">
        <v>4</v>
      </c>
      <c r="K508" s="1" t="s">
        <v>19</v>
      </c>
      <c r="L508" s="1" t="s">
        <v>33</v>
      </c>
      <c r="M508" s="1">
        <f>orders[[#This Row],[Ship Date]]-orders[[#This Row],[Order Date]]</f>
        <v>3</v>
      </c>
      <c r="N508" s="1">
        <f>WEEKNUM(orders[[#This Row],[Order Date]])</f>
        <v>4</v>
      </c>
      <c r="O508" s="1" t="str" cm="1">
        <f t="array" ref="O508">_xlfn.IFS(orders[[#This Row],[Customer Gender]]="M","Male", orders[[#This Row],[Customer Gender]]="F","Female", orders[[#This Row],[Customer Gender]]="O","Other", TRUE,"Unknown")</f>
        <v>Female</v>
      </c>
    </row>
    <row r="509" spans="1:15">
      <c r="A509" s="1" t="s">
        <v>597</v>
      </c>
      <c r="B509" s="1" t="s">
        <v>39</v>
      </c>
      <c r="C509" s="1">
        <v>1</v>
      </c>
      <c r="D509" s="1">
        <v>57.2</v>
      </c>
      <c r="E509" s="11">
        <v>57.2</v>
      </c>
      <c r="F509" s="3">
        <v>45679</v>
      </c>
      <c r="G509" s="3">
        <v>45681</v>
      </c>
      <c r="H509" s="1" t="s">
        <v>23</v>
      </c>
      <c r="I509" s="1" t="s">
        <v>35</v>
      </c>
      <c r="J509" s="1">
        <v>4</v>
      </c>
      <c r="K509" s="1" t="s">
        <v>19</v>
      </c>
      <c r="L509" s="1" t="s">
        <v>33</v>
      </c>
      <c r="M509" s="1">
        <f>orders[[#This Row],[Ship Date]]-orders[[#This Row],[Order Date]]</f>
        <v>2</v>
      </c>
      <c r="N509" s="1">
        <f>WEEKNUM(orders[[#This Row],[Order Date]])</f>
        <v>4</v>
      </c>
      <c r="O509" s="1" t="str" cm="1">
        <f t="array" ref="O509">_xlfn.IFS(orders[[#This Row],[Customer Gender]]="M","Male", orders[[#This Row],[Customer Gender]]="F","Female", orders[[#This Row],[Customer Gender]]="O","Other", TRUE,"Unknown")</f>
        <v>Male</v>
      </c>
    </row>
    <row r="510" spans="1:15">
      <c r="A510" s="1" t="s">
        <v>598</v>
      </c>
      <c r="B510" s="1" t="s">
        <v>44</v>
      </c>
      <c r="C510" s="1">
        <v>2</v>
      </c>
      <c r="D510" s="1">
        <v>35.1</v>
      </c>
      <c r="E510" s="11">
        <v>70.2</v>
      </c>
      <c r="F510" s="3">
        <v>45679</v>
      </c>
      <c r="G510" s="3">
        <v>45680</v>
      </c>
      <c r="H510" s="1" t="s">
        <v>23</v>
      </c>
      <c r="I510" s="1" t="s">
        <v>35</v>
      </c>
      <c r="J510" s="1">
        <v>4</v>
      </c>
      <c r="K510" s="1" t="s">
        <v>19</v>
      </c>
      <c r="L510" s="1" t="s">
        <v>55</v>
      </c>
      <c r="M510" s="1">
        <f>orders[[#This Row],[Ship Date]]-orders[[#This Row],[Order Date]]</f>
        <v>1</v>
      </c>
      <c r="N510" s="1">
        <f>WEEKNUM(orders[[#This Row],[Order Date]])</f>
        <v>4</v>
      </c>
      <c r="O510" s="1" t="str" cm="1">
        <f t="array" ref="O510">_xlfn.IFS(orders[[#This Row],[Customer Gender]]="M","Male", orders[[#This Row],[Customer Gender]]="F","Female", orders[[#This Row],[Customer Gender]]="O","Other", TRUE,"Unknown")</f>
        <v>Male</v>
      </c>
    </row>
    <row r="511" spans="1:15">
      <c r="A511" s="1" t="s">
        <v>599</v>
      </c>
      <c r="B511" s="1" t="s">
        <v>22</v>
      </c>
      <c r="C511" s="1">
        <v>1</v>
      </c>
      <c r="D511" s="1">
        <v>52.1</v>
      </c>
      <c r="E511" s="11">
        <v>52.1</v>
      </c>
      <c r="F511" s="3">
        <v>45679</v>
      </c>
      <c r="G511" s="3">
        <v>45681</v>
      </c>
      <c r="H511" s="1" t="s">
        <v>27</v>
      </c>
      <c r="I511" s="1" t="s">
        <v>70</v>
      </c>
      <c r="J511" s="1">
        <v>3</v>
      </c>
      <c r="K511" s="1" t="s">
        <v>19</v>
      </c>
      <c r="L511" s="1" t="s">
        <v>62</v>
      </c>
      <c r="M511" s="1">
        <f>orders[[#This Row],[Ship Date]]-orders[[#This Row],[Order Date]]</f>
        <v>2</v>
      </c>
      <c r="N511" s="1">
        <f>WEEKNUM(orders[[#This Row],[Order Date]])</f>
        <v>4</v>
      </c>
      <c r="O511" s="1" t="str" cm="1">
        <f t="array" ref="O511">_xlfn.IFS(orders[[#This Row],[Customer Gender]]="M","Male", orders[[#This Row],[Customer Gender]]="F","Female", orders[[#This Row],[Customer Gender]]="O","Other", TRUE,"Unknown")</f>
        <v>Female</v>
      </c>
    </row>
    <row r="512" spans="1:15">
      <c r="A512" s="1" t="s">
        <v>600</v>
      </c>
      <c r="B512" s="1" t="s">
        <v>76</v>
      </c>
      <c r="C512" s="1">
        <v>3</v>
      </c>
      <c r="D512" s="1">
        <v>59.8</v>
      </c>
      <c r="E512" s="11">
        <v>179.39999999999998</v>
      </c>
      <c r="F512" s="3">
        <v>45679</v>
      </c>
      <c r="G512" s="3">
        <v>45681</v>
      </c>
      <c r="H512" s="1" t="s">
        <v>27</v>
      </c>
      <c r="I512" s="1" t="s">
        <v>70</v>
      </c>
      <c r="J512" s="1">
        <v>3</v>
      </c>
      <c r="K512" s="1" t="s">
        <v>19</v>
      </c>
      <c r="L512" s="1" t="s">
        <v>62</v>
      </c>
      <c r="M512" s="1">
        <f>orders[[#This Row],[Ship Date]]-orders[[#This Row],[Order Date]]</f>
        <v>2</v>
      </c>
      <c r="N512" s="1">
        <f>WEEKNUM(orders[[#This Row],[Order Date]])</f>
        <v>4</v>
      </c>
      <c r="O512" s="1" t="str" cm="1">
        <f t="array" ref="O512">_xlfn.IFS(orders[[#This Row],[Customer Gender]]="M","Male", orders[[#This Row],[Customer Gender]]="F","Female", orders[[#This Row],[Customer Gender]]="O","Other", TRUE,"Unknown")</f>
        <v>Female</v>
      </c>
    </row>
    <row r="513" spans="1:15">
      <c r="A513" s="1" t="s">
        <v>601</v>
      </c>
      <c r="B513" s="1" t="s">
        <v>30</v>
      </c>
      <c r="C513" s="1">
        <v>4</v>
      </c>
      <c r="D513" s="1">
        <v>83.3</v>
      </c>
      <c r="E513" s="11">
        <v>333.2</v>
      </c>
      <c r="F513" s="3">
        <v>45679</v>
      </c>
      <c r="G513" s="3">
        <v>45679</v>
      </c>
      <c r="H513" s="1" t="s">
        <v>17</v>
      </c>
      <c r="I513" s="1" t="s">
        <v>40</v>
      </c>
      <c r="J513" s="1">
        <v>4</v>
      </c>
      <c r="K513" s="1" t="s">
        <v>19</v>
      </c>
      <c r="L513" s="1" t="s">
        <v>62</v>
      </c>
      <c r="M513" s="1">
        <f>orders[[#This Row],[Ship Date]]-orders[[#This Row],[Order Date]]</f>
        <v>0</v>
      </c>
      <c r="N513" s="1">
        <f>WEEKNUM(orders[[#This Row],[Order Date]])</f>
        <v>4</v>
      </c>
      <c r="O513" s="1" t="str" cm="1">
        <f t="array" ref="O513">_xlfn.IFS(orders[[#This Row],[Customer Gender]]="M","Male", orders[[#This Row],[Customer Gender]]="F","Female", orders[[#This Row],[Customer Gender]]="O","Other", TRUE,"Unknown")</f>
        <v>Unknown</v>
      </c>
    </row>
    <row r="514" spans="1:15">
      <c r="A514" s="1" t="s">
        <v>602</v>
      </c>
      <c r="B514" s="1" t="s">
        <v>123</v>
      </c>
      <c r="C514" s="1">
        <v>12</v>
      </c>
      <c r="D514" s="1">
        <v>41.3</v>
      </c>
      <c r="E514" s="11">
        <v>495.59999999999997</v>
      </c>
      <c r="F514" s="3">
        <v>45679</v>
      </c>
      <c r="G514" s="3">
        <v>45680</v>
      </c>
      <c r="H514" s="1" t="s">
        <v>27</v>
      </c>
      <c r="I514" s="1" t="s">
        <v>35</v>
      </c>
      <c r="J514" s="1">
        <v>4</v>
      </c>
      <c r="K514" s="1" t="s">
        <v>19</v>
      </c>
      <c r="L514" s="1" t="s">
        <v>62</v>
      </c>
      <c r="M514" s="1">
        <f>orders[[#This Row],[Ship Date]]-orders[[#This Row],[Order Date]]</f>
        <v>1</v>
      </c>
      <c r="N514" s="1">
        <f>WEEKNUM(orders[[#This Row],[Order Date]])</f>
        <v>4</v>
      </c>
      <c r="O514" s="1" t="str" cm="1">
        <f t="array" ref="O514">_xlfn.IFS(orders[[#This Row],[Customer Gender]]="M","Male", orders[[#This Row],[Customer Gender]]="F","Female", orders[[#This Row],[Customer Gender]]="O","Other", TRUE,"Unknown")</f>
        <v>Female</v>
      </c>
    </row>
    <row r="515" spans="1:15">
      <c r="A515" s="1" t="s">
        <v>603</v>
      </c>
      <c r="B515" s="1" t="s">
        <v>44</v>
      </c>
      <c r="C515" s="1">
        <v>5</v>
      </c>
      <c r="D515" s="1">
        <v>16</v>
      </c>
      <c r="E515" s="11">
        <v>80</v>
      </c>
      <c r="F515" s="3">
        <v>45679</v>
      </c>
      <c r="G515" s="3">
        <v>45681</v>
      </c>
      <c r="H515" s="1" t="s">
        <v>23</v>
      </c>
      <c r="I515" s="1" t="s">
        <v>70</v>
      </c>
      <c r="J515" s="1">
        <v>3</v>
      </c>
      <c r="K515" s="1" t="s">
        <v>19</v>
      </c>
      <c r="L515" s="1" t="s">
        <v>72</v>
      </c>
      <c r="M515" s="1">
        <f>orders[[#This Row],[Ship Date]]-orders[[#This Row],[Order Date]]</f>
        <v>2</v>
      </c>
      <c r="N515" s="1">
        <f>WEEKNUM(orders[[#This Row],[Order Date]])</f>
        <v>4</v>
      </c>
      <c r="O515" s="1" t="str" cm="1">
        <f t="array" ref="O515">_xlfn.IFS(orders[[#This Row],[Customer Gender]]="M","Male", orders[[#This Row],[Customer Gender]]="F","Female", orders[[#This Row],[Customer Gender]]="O","Other", TRUE,"Unknown")</f>
        <v>Male</v>
      </c>
    </row>
    <row r="516" spans="1:15">
      <c r="A516" s="1" t="s">
        <v>604</v>
      </c>
      <c r="B516" s="1" t="s">
        <v>54</v>
      </c>
      <c r="C516" s="1">
        <v>2</v>
      </c>
      <c r="D516" s="1">
        <v>20.8</v>
      </c>
      <c r="E516" s="11">
        <v>41.6</v>
      </c>
      <c r="F516" s="3">
        <v>45680</v>
      </c>
      <c r="G516" s="3">
        <v>45682</v>
      </c>
      <c r="H516" s="1" t="s">
        <v>23</v>
      </c>
      <c r="I516" s="1" t="s">
        <v>18</v>
      </c>
      <c r="J516" s="1">
        <v>5</v>
      </c>
      <c r="K516" s="1" t="s">
        <v>19</v>
      </c>
      <c r="L516" s="1" t="s">
        <v>77</v>
      </c>
      <c r="M516" s="1">
        <f>orders[[#This Row],[Ship Date]]-orders[[#This Row],[Order Date]]</f>
        <v>2</v>
      </c>
      <c r="N516" s="1">
        <f>WEEKNUM(orders[[#This Row],[Order Date]])</f>
        <v>4</v>
      </c>
      <c r="O516" s="1" t="str" cm="1">
        <f t="array" ref="O516">_xlfn.IFS(orders[[#This Row],[Customer Gender]]="M","Male", orders[[#This Row],[Customer Gender]]="F","Female", orders[[#This Row],[Customer Gender]]="O","Other", TRUE,"Unknown")</f>
        <v>Male</v>
      </c>
    </row>
    <row r="517" spans="1:15">
      <c r="A517" s="1" t="s">
        <v>605</v>
      </c>
      <c r="B517" s="1" t="s">
        <v>44</v>
      </c>
      <c r="C517" s="1">
        <v>28</v>
      </c>
      <c r="D517" s="1">
        <v>27.1</v>
      </c>
      <c r="E517" s="11">
        <v>758.80000000000007</v>
      </c>
      <c r="F517" s="3">
        <v>45680</v>
      </c>
      <c r="G517" s="3">
        <v>45681</v>
      </c>
      <c r="H517" s="1" t="s">
        <v>17</v>
      </c>
      <c r="I517" s="1" t="s">
        <v>51</v>
      </c>
      <c r="J517" s="1">
        <v>5</v>
      </c>
      <c r="K517" s="1" t="s">
        <v>19</v>
      </c>
      <c r="L517" s="1" t="s">
        <v>77</v>
      </c>
      <c r="M517" s="1">
        <f>orders[[#This Row],[Ship Date]]-orders[[#This Row],[Order Date]]</f>
        <v>1</v>
      </c>
      <c r="N517" s="1">
        <f>WEEKNUM(orders[[#This Row],[Order Date]])</f>
        <v>4</v>
      </c>
      <c r="O517" s="1" t="str" cm="1">
        <f t="array" ref="O517">_xlfn.IFS(orders[[#This Row],[Customer Gender]]="M","Male", orders[[#This Row],[Customer Gender]]="F","Female", orders[[#This Row],[Customer Gender]]="O","Other", TRUE,"Unknown")</f>
        <v>Unknown</v>
      </c>
    </row>
    <row r="518" spans="1:15">
      <c r="A518" s="1" t="s">
        <v>606</v>
      </c>
      <c r="B518" s="1" t="s">
        <v>54</v>
      </c>
      <c r="C518" s="1">
        <v>2</v>
      </c>
      <c r="D518" s="1">
        <v>38.9</v>
      </c>
      <c r="E518" s="11">
        <v>77.8</v>
      </c>
      <c r="F518" s="3">
        <v>45680</v>
      </c>
      <c r="G518" s="3">
        <v>45682</v>
      </c>
      <c r="H518" s="1" t="s">
        <v>27</v>
      </c>
      <c r="I518" s="1" t="s">
        <v>18</v>
      </c>
      <c r="J518" s="1">
        <v>4</v>
      </c>
      <c r="K518" s="1" t="s">
        <v>19</v>
      </c>
      <c r="L518" s="1" t="s">
        <v>108</v>
      </c>
      <c r="M518" s="1">
        <f>orders[[#This Row],[Ship Date]]-orders[[#This Row],[Order Date]]</f>
        <v>2</v>
      </c>
      <c r="N518" s="1">
        <f>WEEKNUM(orders[[#This Row],[Order Date]])</f>
        <v>4</v>
      </c>
      <c r="O518" s="1" t="str" cm="1">
        <f t="array" ref="O518">_xlfn.IFS(orders[[#This Row],[Customer Gender]]="M","Male", orders[[#This Row],[Customer Gender]]="F","Female", orders[[#This Row],[Customer Gender]]="O","Other", TRUE,"Unknown")</f>
        <v>Female</v>
      </c>
    </row>
    <row r="519" spans="1:15">
      <c r="A519" s="1" t="s">
        <v>607</v>
      </c>
      <c r="B519" s="1" t="s">
        <v>16</v>
      </c>
      <c r="C519" s="1">
        <v>2</v>
      </c>
      <c r="D519" s="1">
        <v>10.8</v>
      </c>
      <c r="E519" s="11">
        <v>21.6</v>
      </c>
      <c r="F519" s="3">
        <v>45680</v>
      </c>
      <c r="G519" s="3">
        <v>45683</v>
      </c>
      <c r="H519" s="1" t="s">
        <v>27</v>
      </c>
      <c r="I519" s="1" t="s">
        <v>35</v>
      </c>
      <c r="J519" s="1">
        <v>5</v>
      </c>
      <c r="K519" s="1" t="s">
        <v>19</v>
      </c>
      <c r="L519" s="1" t="s">
        <v>608</v>
      </c>
      <c r="M519" s="1">
        <f>orders[[#This Row],[Ship Date]]-orders[[#This Row],[Order Date]]</f>
        <v>3</v>
      </c>
      <c r="N519" s="1">
        <f>WEEKNUM(orders[[#This Row],[Order Date]])</f>
        <v>4</v>
      </c>
      <c r="O519" s="1" t="str" cm="1">
        <f t="array" ref="O519">_xlfn.IFS(orders[[#This Row],[Customer Gender]]="M","Male", orders[[#This Row],[Customer Gender]]="F","Female", orders[[#This Row],[Customer Gender]]="O","Other", TRUE,"Unknown")</f>
        <v>Female</v>
      </c>
    </row>
    <row r="520" spans="1:15">
      <c r="A520" s="1" t="s">
        <v>609</v>
      </c>
      <c r="B520" s="1" t="s">
        <v>32</v>
      </c>
      <c r="C520" s="1">
        <v>13</v>
      </c>
      <c r="D520" s="1">
        <v>48.4</v>
      </c>
      <c r="E520" s="11">
        <v>629.19999999999993</v>
      </c>
      <c r="F520" s="3">
        <v>45680</v>
      </c>
      <c r="G520" s="3">
        <v>45684</v>
      </c>
      <c r="H520" s="1" t="s">
        <v>27</v>
      </c>
      <c r="I520" s="1" t="s">
        <v>18</v>
      </c>
      <c r="J520" s="1">
        <v>4</v>
      </c>
      <c r="K520" s="1" t="s">
        <v>19</v>
      </c>
      <c r="L520" s="1" t="s">
        <v>115</v>
      </c>
      <c r="M520" s="1">
        <f>orders[[#This Row],[Ship Date]]-orders[[#This Row],[Order Date]]</f>
        <v>4</v>
      </c>
      <c r="N520" s="1">
        <f>WEEKNUM(orders[[#This Row],[Order Date]])</f>
        <v>4</v>
      </c>
      <c r="O520" s="1" t="str" cm="1">
        <f t="array" ref="O520">_xlfn.IFS(orders[[#This Row],[Customer Gender]]="M","Male", orders[[#This Row],[Customer Gender]]="F","Female", orders[[#This Row],[Customer Gender]]="O","Other", TRUE,"Unknown")</f>
        <v>Female</v>
      </c>
    </row>
    <row r="521" spans="1:15">
      <c r="A521" s="1" t="s">
        <v>610</v>
      </c>
      <c r="B521" s="1" t="s">
        <v>32</v>
      </c>
      <c r="C521" s="1">
        <v>3</v>
      </c>
      <c r="D521" s="1">
        <v>29.2</v>
      </c>
      <c r="E521" s="11">
        <v>87.6</v>
      </c>
      <c r="F521" s="3">
        <v>45680</v>
      </c>
      <c r="G521" s="3">
        <v>45683</v>
      </c>
      <c r="H521" s="1" t="s">
        <v>27</v>
      </c>
      <c r="I521" s="1" t="s">
        <v>35</v>
      </c>
      <c r="J521" s="1">
        <v>3</v>
      </c>
      <c r="K521" s="1" t="s">
        <v>19</v>
      </c>
      <c r="L521" s="1" t="s">
        <v>28</v>
      </c>
      <c r="M521" s="1">
        <f>orders[[#This Row],[Ship Date]]-orders[[#This Row],[Order Date]]</f>
        <v>3</v>
      </c>
      <c r="N521" s="1">
        <f>WEEKNUM(orders[[#This Row],[Order Date]])</f>
        <v>4</v>
      </c>
      <c r="O521" s="1" t="str" cm="1">
        <f t="array" ref="O521">_xlfn.IFS(orders[[#This Row],[Customer Gender]]="M","Male", orders[[#This Row],[Customer Gender]]="F","Female", orders[[#This Row],[Customer Gender]]="O","Other", TRUE,"Unknown")</f>
        <v>Female</v>
      </c>
    </row>
    <row r="522" spans="1:15">
      <c r="A522" s="1" t="s">
        <v>611</v>
      </c>
      <c r="B522" s="1" t="s">
        <v>32</v>
      </c>
      <c r="C522" s="1">
        <v>2</v>
      </c>
      <c r="D522" s="1">
        <v>25.1</v>
      </c>
      <c r="E522" s="11">
        <v>50.2</v>
      </c>
      <c r="F522" s="3">
        <v>45680</v>
      </c>
      <c r="G522" s="3">
        <v>45681</v>
      </c>
      <c r="H522" s="1" t="s">
        <v>23</v>
      </c>
      <c r="I522" s="1" t="s">
        <v>18</v>
      </c>
      <c r="J522" s="1">
        <v>3</v>
      </c>
      <c r="K522" s="1" t="s">
        <v>19</v>
      </c>
      <c r="L522" s="1" t="s">
        <v>28</v>
      </c>
      <c r="M522" s="1">
        <f>orders[[#This Row],[Ship Date]]-orders[[#This Row],[Order Date]]</f>
        <v>1</v>
      </c>
      <c r="N522" s="1">
        <f>WEEKNUM(orders[[#This Row],[Order Date]])</f>
        <v>4</v>
      </c>
      <c r="O522" s="1" t="str" cm="1">
        <f t="array" ref="O522">_xlfn.IFS(orders[[#This Row],[Customer Gender]]="M","Male", orders[[#This Row],[Customer Gender]]="F","Female", orders[[#This Row],[Customer Gender]]="O","Other", TRUE,"Unknown")</f>
        <v>Male</v>
      </c>
    </row>
    <row r="523" spans="1:15">
      <c r="A523" s="1" t="s">
        <v>612</v>
      </c>
      <c r="B523" s="1" t="s">
        <v>42</v>
      </c>
      <c r="C523" s="1">
        <v>3</v>
      </c>
      <c r="D523" s="1">
        <v>65.599999999999994</v>
      </c>
      <c r="E523" s="11">
        <v>196.79999999999998</v>
      </c>
      <c r="F523" s="3">
        <v>45680</v>
      </c>
      <c r="G523" s="3">
        <v>45680</v>
      </c>
      <c r="H523" s="1" t="s">
        <v>27</v>
      </c>
      <c r="I523" s="1" t="s">
        <v>40</v>
      </c>
      <c r="J523" s="1">
        <v>3</v>
      </c>
      <c r="K523" s="1" t="s">
        <v>19</v>
      </c>
      <c r="L523" s="1" t="s">
        <v>33</v>
      </c>
      <c r="M523" s="1">
        <f>orders[[#This Row],[Ship Date]]-orders[[#This Row],[Order Date]]</f>
        <v>0</v>
      </c>
      <c r="N523" s="1">
        <f>WEEKNUM(orders[[#This Row],[Order Date]])</f>
        <v>4</v>
      </c>
      <c r="O523" s="1" t="str" cm="1">
        <f t="array" ref="O523">_xlfn.IFS(orders[[#This Row],[Customer Gender]]="M","Male", orders[[#This Row],[Customer Gender]]="F","Female", orders[[#This Row],[Customer Gender]]="O","Other", TRUE,"Unknown")</f>
        <v>Female</v>
      </c>
    </row>
    <row r="524" spans="1:15">
      <c r="A524" s="1" t="s">
        <v>613</v>
      </c>
      <c r="B524" s="1" t="s">
        <v>26</v>
      </c>
      <c r="C524" s="1">
        <v>2</v>
      </c>
      <c r="D524" s="1">
        <v>57.3</v>
      </c>
      <c r="E524" s="11">
        <v>114.6</v>
      </c>
      <c r="F524" s="3">
        <v>45680</v>
      </c>
      <c r="G524" s="3">
        <v>45680</v>
      </c>
      <c r="H524" s="1" t="s">
        <v>17</v>
      </c>
      <c r="I524" s="1" t="s">
        <v>18</v>
      </c>
      <c r="J524" s="1">
        <v>4</v>
      </c>
      <c r="K524" s="1" t="s">
        <v>19</v>
      </c>
      <c r="L524" s="1" t="s">
        <v>33</v>
      </c>
      <c r="M524" s="1">
        <f>orders[[#This Row],[Ship Date]]-orders[[#This Row],[Order Date]]</f>
        <v>0</v>
      </c>
      <c r="N524" s="1">
        <f>WEEKNUM(orders[[#This Row],[Order Date]])</f>
        <v>4</v>
      </c>
      <c r="O524" s="1" t="str" cm="1">
        <f t="array" ref="O524">_xlfn.IFS(orders[[#This Row],[Customer Gender]]="M","Male", orders[[#This Row],[Customer Gender]]="F","Female", orders[[#This Row],[Customer Gender]]="O","Other", TRUE,"Unknown")</f>
        <v>Unknown</v>
      </c>
    </row>
    <row r="525" spans="1:15">
      <c r="A525" s="1" t="s">
        <v>614</v>
      </c>
      <c r="B525" s="1" t="s">
        <v>46</v>
      </c>
      <c r="C525" s="1">
        <v>4</v>
      </c>
      <c r="D525" s="1">
        <v>22.4</v>
      </c>
      <c r="E525" s="11">
        <v>89.6</v>
      </c>
      <c r="F525" s="3">
        <v>45680</v>
      </c>
      <c r="G525" s="3">
        <v>45681</v>
      </c>
      <c r="H525" s="1" t="s">
        <v>27</v>
      </c>
      <c r="I525" s="1" t="s">
        <v>40</v>
      </c>
      <c r="J525" s="1">
        <v>5</v>
      </c>
      <c r="K525" s="1" t="s">
        <v>19</v>
      </c>
      <c r="L525" s="1" t="s">
        <v>33</v>
      </c>
      <c r="M525" s="1">
        <f>orders[[#This Row],[Ship Date]]-orders[[#This Row],[Order Date]]</f>
        <v>1</v>
      </c>
      <c r="N525" s="1">
        <f>WEEKNUM(orders[[#This Row],[Order Date]])</f>
        <v>4</v>
      </c>
      <c r="O525" s="1" t="str" cm="1">
        <f t="array" ref="O525">_xlfn.IFS(orders[[#This Row],[Customer Gender]]="M","Male", orders[[#This Row],[Customer Gender]]="F","Female", orders[[#This Row],[Customer Gender]]="O","Other", TRUE,"Unknown")</f>
        <v>Female</v>
      </c>
    </row>
    <row r="526" spans="1:15">
      <c r="A526" s="1" t="s">
        <v>615</v>
      </c>
      <c r="B526" s="1" t="s">
        <v>69</v>
      </c>
      <c r="C526" s="1">
        <v>9</v>
      </c>
      <c r="D526" s="1">
        <v>45.7</v>
      </c>
      <c r="E526" s="11">
        <v>411.3</v>
      </c>
      <c r="F526" s="3">
        <v>45680</v>
      </c>
      <c r="G526" s="3">
        <v>45681</v>
      </c>
      <c r="H526" s="1" t="s">
        <v>27</v>
      </c>
      <c r="I526" s="1" t="s">
        <v>18</v>
      </c>
      <c r="J526" s="1">
        <v>4</v>
      </c>
      <c r="K526" s="1" t="s">
        <v>19</v>
      </c>
      <c r="L526" s="1" t="s">
        <v>33</v>
      </c>
      <c r="M526" s="1">
        <f>orders[[#This Row],[Ship Date]]-orders[[#This Row],[Order Date]]</f>
        <v>1</v>
      </c>
      <c r="N526" s="1">
        <f>WEEKNUM(orders[[#This Row],[Order Date]])</f>
        <v>4</v>
      </c>
      <c r="O526" s="1" t="str" cm="1">
        <f t="array" ref="O526">_xlfn.IFS(orders[[#This Row],[Customer Gender]]="M","Male", orders[[#This Row],[Customer Gender]]="F","Female", orders[[#This Row],[Customer Gender]]="O","Other", TRUE,"Unknown")</f>
        <v>Female</v>
      </c>
    </row>
    <row r="527" spans="1:15">
      <c r="A527" s="1" t="s">
        <v>616</v>
      </c>
      <c r="B527" s="1" t="s">
        <v>44</v>
      </c>
      <c r="C527" s="1">
        <v>2</v>
      </c>
      <c r="D527" s="1">
        <v>29.3</v>
      </c>
      <c r="E527" s="11">
        <v>58.6</v>
      </c>
      <c r="F527" s="3">
        <v>45680</v>
      </c>
      <c r="G527" s="3">
        <v>45681</v>
      </c>
      <c r="H527" s="1" t="s">
        <v>23</v>
      </c>
      <c r="I527" s="1" t="s">
        <v>35</v>
      </c>
      <c r="J527" s="1">
        <v>4</v>
      </c>
      <c r="K527" s="1" t="s">
        <v>19</v>
      </c>
      <c r="L527" s="1" t="s">
        <v>33</v>
      </c>
      <c r="M527" s="1">
        <f>orders[[#This Row],[Ship Date]]-orders[[#This Row],[Order Date]]</f>
        <v>1</v>
      </c>
      <c r="N527" s="1">
        <f>WEEKNUM(orders[[#This Row],[Order Date]])</f>
        <v>4</v>
      </c>
      <c r="O527" s="1" t="str" cm="1">
        <f t="array" ref="O527">_xlfn.IFS(orders[[#This Row],[Customer Gender]]="M","Male", orders[[#This Row],[Customer Gender]]="F","Female", orders[[#This Row],[Customer Gender]]="O","Other", TRUE,"Unknown")</f>
        <v>Male</v>
      </c>
    </row>
    <row r="528" spans="1:15">
      <c r="A528" s="1" t="s">
        <v>617</v>
      </c>
      <c r="B528" s="1" t="s">
        <v>146</v>
      </c>
      <c r="C528" s="1">
        <v>22</v>
      </c>
      <c r="D528" s="1">
        <v>74</v>
      </c>
      <c r="E528" s="11">
        <v>1628</v>
      </c>
      <c r="F528" s="3">
        <v>45680</v>
      </c>
      <c r="G528" s="3">
        <v>45681</v>
      </c>
      <c r="H528" s="1" t="s">
        <v>23</v>
      </c>
      <c r="I528" s="1" t="s">
        <v>18</v>
      </c>
      <c r="J528" s="1">
        <v>5</v>
      </c>
      <c r="K528" s="1" t="s">
        <v>19</v>
      </c>
      <c r="L528" s="1" t="s">
        <v>33</v>
      </c>
      <c r="M528" s="1">
        <f>orders[[#This Row],[Ship Date]]-orders[[#This Row],[Order Date]]</f>
        <v>1</v>
      </c>
      <c r="N528" s="1">
        <f>WEEKNUM(orders[[#This Row],[Order Date]])</f>
        <v>4</v>
      </c>
      <c r="O528" s="1" t="str" cm="1">
        <f t="array" ref="O528">_xlfn.IFS(orders[[#This Row],[Customer Gender]]="M","Male", orders[[#This Row],[Customer Gender]]="F","Female", orders[[#This Row],[Customer Gender]]="O","Other", TRUE,"Unknown")</f>
        <v>Male</v>
      </c>
    </row>
    <row r="529" spans="1:15">
      <c r="A529" s="1" t="s">
        <v>618</v>
      </c>
      <c r="B529" s="1" t="s">
        <v>81</v>
      </c>
      <c r="C529" s="1">
        <v>2</v>
      </c>
      <c r="D529" s="1">
        <v>39.200000000000003</v>
      </c>
      <c r="E529" s="11">
        <v>78.400000000000006</v>
      </c>
      <c r="F529" s="3">
        <v>45680</v>
      </c>
      <c r="G529" s="3">
        <v>45682</v>
      </c>
      <c r="H529" s="1" t="s">
        <v>27</v>
      </c>
      <c r="I529" s="1" t="s">
        <v>35</v>
      </c>
      <c r="J529" s="1">
        <v>4</v>
      </c>
      <c r="K529" s="1" t="s">
        <v>19</v>
      </c>
      <c r="L529" s="1" t="s">
        <v>33</v>
      </c>
      <c r="M529" s="1">
        <f>orders[[#This Row],[Ship Date]]-orders[[#This Row],[Order Date]]</f>
        <v>2</v>
      </c>
      <c r="N529" s="1">
        <f>WEEKNUM(orders[[#This Row],[Order Date]])</f>
        <v>4</v>
      </c>
      <c r="O529" s="1" t="str" cm="1">
        <f t="array" ref="O529">_xlfn.IFS(orders[[#This Row],[Customer Gender]]="M","Male", orders[[#This Row],[Customer Gender]]="F","Female", orders[[#This Row],[Customer Gender]]="O","Other", TRUE,"Unknown")</f>
        <v>Female</v>
      </c>
    </row>
    <row r="530" spans="1:15">
      <c r="A530" s="1" t="s">
        <v>619</v>
      </c>
      <c r="B530" s="1" t="s">
        <v>32</v>
      </c>
      <c r="C530" s="1">
        <v>17</v>
      </c>
      <c r="D530" s="1">
        <v>62.7</v>
      </c>
      <c r="E530" s="11">
        <v>1065.9000000000001</v>
      </c>
      <c r="F530" s="3">
        <v>45680</v>
      </c>
      <c r="G530" s="3">
        <v>45681</v>
      </c>
      <c r="H530" s="1" t="s">
        <v>27</v>
      </c>
      <c r="I530" s="1" t="s">
        <v>40</v>
      </c>
      <c r="J530" s="1">
        <v>3</v>
      </c>
      <c r="K530" s="1" t="s">
        <v>19</v>
      </c>
      <c r="L530" s="1" t="s">
        <v>33</v>
      </c>
      <c r="M530" s="1">
        <f>orders[[#This Row],[Ship Date]]-orders[[#This Row],[Order Date]]</f>
        <v>1</v>
      </c>
      <c r="N530" s="1">
        <f>WEEKNUM(orders[[#This Row],[Order Date]])</f>
        <v>4</v>
      </c>
      <c r="O530" s="1" t="str" cm="1">
        <f t="array" ref="O530">_xlfn.IFS(orders[[#This Row],[Customer Gender]]="M","Male", orders[[#This Row],[Customer Gender]]="F","Female", orders[[#This Row],[Customer Gender]]="O","Other", TRUE,"Unknown")</f>
        <v>Female</v>
      </c>
    </row>
    <row r="531" spans="1:15">
      <c r="A531" s="1" t="s">
        <v>620</v>
      </c>
      <c r="B531" s="1" t="s">
        <v>54</v>
      </c>
      <c r="C531" s="1">
        <v>2</v>
      </c>
      <c r="D531" s="1">
        <v>60.1</v>
      </c>
      <c r="E531" s="11">
        <v>120.2</v>
      </c>
      <c r="F531" s="3">
        <v>45680</v>
      </c>
      <c r="G531" s="3">
        <v>45681</v>
      </c>
      <c r="H531" s="1" t="s">
        <v>27</v>
      </c>
      <c r="I531" s="1" t="s">
        <v>51</v>
      </c>
      <c r="J531" s="1">
        <v>4</v>
      </c>
      <c r="K531" s="1" t="s">
        <v>19</v>
      </c>
      <c r="L531" s="1" t="s">
        <v>33</v>
      </c>
      <c r="M531" s="1">
        <f>orders[[#This Row],[Ship Date]]-orders[[#This Row],[Order Date]]</f>
        <v>1</v>
      </c>
      <c r="N531" s="1">
        <f>WEEKNUM(orders[[#This Row],[Order Date]])</f>
        <v>4</v>
      </c>
      <c r="O531" s="1" t="str" cm="1">
        <f t="array" ref="O531">_xlfn.IFS(orders[[#This Row],[Customer Gender]]="M","Male", orders[[#This Row],[Customer Gender]]="F","Female", orders[[#This Row],[Customer Gender]]="O","Other", TRUE,"Unknown")</f>
        <v>Female</v>
      </c>
    </row>
    <row r="532" spans="1:15">
      <c r="A532" s="1" t="s">
        <v>621</v>
      </c>
      <c r="B532" s="1" t="s">
        <v>16</v>
      </c>
      <c r="C532" s="1">
        <v>4</v>
      </c>
      <c r="D532" s="1">
        <v>11.2</v>
      </c>
      <c r="E532" s="11">
        <v>44.8</v>
      </c>
      <c r="F532" s="3">
        <v>45680</v>
      </c>
      <c r="G532" s="3">
        <v>45681</v>
      </c>
      <c r="H532" s="1" t="s">
        <v>27</v>
      </c>
      <c r="I532" s="1" t="s">
        <v>51</v>
      </c>
      <c r="J532" s="1">
        <v>3</v>
      </c>
      <c r="K532" s="1" t="s">
        <v>19</v>
      </c>
      <c r="L532" s="1" t="s">
        <v>33</v>
      </c>
      <c r="M532" s="1">
        <f>orders[[#This Row],[Ship Date]]-orders[[#This Row],[Order Date]]</f>
        <v>1</v>
      </c>
      <c r="N532" s="1">
        <f>WEEKNUM(orders[[#This Row],[Order Date]])</f>
        <v>4</v>
      </c>
      <c r="O532" s="1" t="str" cm="1">
        <f t="array" ref="O532">_xlfn.IFS(orders[[#This Row],[Customer Gender]]="M","Male", orders[[#This Row],[Customer Gender]]="F","Female", orders[[#This Row],[Customer Gender]]="O","Other", TRUE,"Unknown")</f>
        <v>Female</v>
      </c>
    </row>
    <row r="533" spans="1:15">
      <c r="A533" s="1" t="s">
        <v>622</v>
      </c>
      <c r="B533" s="1" t="s">
        <v>44</v>
      </c>
      <c r="C533" s="1">
        <v>2</v>
      </c>
      <c r="D533" s="1">
        <v>22.9</v>
      </c>
      <c r="E533" s="11">
        <v>45.8</v>
      </c>
      <c r="F533" s="3">
        <v>45680</v>
      </c>
      <c r="G533" s="3">
        <v>45681</v>
      </c>
      <c r="H533" s="1" t="s">
        <v>27</v>
      </c>
      <c r="I533" s="1" t="s">
        <v>18</v>
      </c>
      <c r="J533" s="1">
        <v>4</v>
      </c>
      <c r="K533" s="1" t="s">
        <v>19</v>
      </c>
      <c r="L533" s="1" t="s">
        <v>55</v>
      </c>
      <c r="M533" s="1">
        <f>orders[[#This Row],[Ship Date]]-orders[[#This Row],[Order Date]]</f>
        <v>1</v>
      </c>
      <c r="N533" s="1">
        <f>WEEKNUM(orders[[#This Row],[Order Date]])</f>
        <v>4</v>
      </c>
      <c r="O533" s="1" t="str" cm="1">
        <f t="array" ref="O533">_xlfn.IFS(orders[[#This Row],[Customer Gender]]="M","Male", orders[[#This Row],[Customer Gender]]="F","Female", orders[[#This Row],[Customer Gender]]="O","Other", TRUE,"Unknown")</f>
        <v>Female</v>
      </c>
    </row>
    <row r="534" spans="1:15">
      <c r="A534" s="1" t="s">
        <v>623</v>
      </c>
      <c r="B534" s="1" t="s">
        <v>22</v>
      </c>
      <c r="C534" s="1">
        <v>2</v>
      </c>
      <c r="D534" s="1">
        <v>37.6</v>
      </c>
      <c r="E534" s="11">
        <v>75.2</v>
      </c>
      <c r="F534" s="3">
        <v>45680</v>
      </c>
      <c r="G534" s="3">
        <v>45683</v>
      </c>
      <c r="H534" s="1" t="s">
        <v>27</v>
      </c>
      <c r="I534" s="1" t="s">
        <v>18</v>
      </c>
      <c r="J534" s="1">
        <v>4</v>
      </c>
      <c r="K534" s="1" t="s">
        <v>19</v>
      </c>
      <c r="L534" s="1" t="s">
        <v>55</v>
      </c>
      <c r="M534" s="1">
        <f>orders[[#This Row],[Ship Date]]-orders[[#This Row],[Order Date]]</f>
        <v>3</v>
      </c>
      <c r="N534" s="1">
        <f>WEEKNUM(orders[[#This Row],[Order Date]])</f>
        <v>4</v>
      </c>
      <c r="O534" s="1" t="str" cm="1">
        <f t="array" ref="O534">_xlfn.IFS(orders[[#This Row],[Customer Gender]]="M","Male", orders[[#This Row],[Customer Gender]]="F","Female", orders[[#This Row],[Customer Gender]]="O","Other", TRUE,"Unknown")</f>
        <v>Female</v>
      </c>
    </row>
    <row r="535" spans="1:15">
      <c r="A535" s="1" t="s">
        <v>624</v>
      </c>
      <c r="B535" s="1" t="s">
        <v>39</v>
      </c>
      <c r="C535" s="1">
        <v>1</v>
      </c>
      <c r="D535" s="1">
        <v>42.4</v>
      </c>
      <c r="E535" s="11">
        <v>42.4</v>
      </c>
      <c r="F535" s="3">
        <v>45680</v>
      </c>
      <c r="G535" s="3">
        <v>45681</v>
      </c>
      <c r="H535" s="1" t="s">
        <v>27</v>
      </c>
      <c r="I535" s="1" t="s">
        <v>51</v>
      </c>
      <c r="J535" s="1">
        <v>5</v>
      </c>
      <c r="K535" s="1" t="s">
        <v>19</v>
      </c>
      <c r="L535" s="1" t="s">
        <v>55</v>
      </c>
      <c r="M535" s="1">
        <f>orders[[#This Row],[Ship Date]]-orders[[#This Row],[Order Date]]</f>
        <v>1</v>
      </c>
      <c r="N535" s="1">
        <f>WEEKNUM(orders[[#This Row],[Order Date]])</f>
        <v>4</v>
      </c>
      <c r="O535" s="1" t="str" cm="1">
        <f t="array" ref="O535">_xlfn.IFS(orders[[#This Row],[Customer Gender]]="M","Male", orders[[#This Row],[Customer Gender]]="F","Female", orders[[#This Row],[Customer Gender]]="O","Other", TRUE,"Unknown")</f>
        <v>Female</v>
      </c>
    </row>
    <row r="536" spans="1:15">
      <c r="A536" s="1" t="s">
        <v>625</v>
      </c>
      <c r="B536" s="1" t="s">
        <v>44</v>
      </c>
      <c r="C536" s="1">
        <v>2</v>
      </c>
      <c r="D536" s="1">
        <v>19.600000000000001</v>
      </c>
      <c r="E536" s="11">
        <v>39.200000000000003</v>
      </c>
      <c r="F536" s="3">
        <v>45680</v>
      </c>
      <c r="G536" s="3">
        <v>45684</v>
      </c>
      <c r="H536" s="1" t="s">
        <v>27</v>
      </c>
      <c r="I536" s="1" t="s">
        <v>40</v>
      </c>
      <c r="J536" s="1">
        <v>4</v>
      </c>
      <c r="K536" s="1" t="s">
        <v>19</v>
      </c>
      <c r="L536" s="1" t="s">
        <v>59</v>
      </c>
      <c r="M536" s="1">
        <f>orders[[#This Row],[Ship Date]]-orders[[#This Row],[Order Date]]</f>
        <v>4</v>
      </c>
      <c r="N536" s="1">
        <f>WEEKNUM(orders[[#This Row],[Order Date]])</f>
        <v>4</v>
      </c>
      <c r="O536" s="1" t="str" cm="1">
        <f t="array" ref="O536">_xlfn.IFS(orders[[#This Row],[Customer Gender]]="M","Male", orders[[#This Row],[Customer Gender]]="F","Female", orders[[#This Row],[Customer Gender]]="O","Other", TRUE,"Unknown")</f>
        <v>Female</v>
      </c>
    </row>
    <row r="537" spans="1:15">
      <c r="A537" s="1" t="s">
        <v>626</v>
      </c>
      <c r="B537" s="1" t="s">
        <v>46</v>
      </c>
      <c r="C537" s="1">
        <v>1</v>
      </c>
      <c r="D537" s="1">
        <v>90.5</v>
      </c>
      <c r="E537" s="11">
        <v>90.5</v>
      </c>
      <c r="F537" s="3">
        <v>45680</v>
      </c>
      <c r="G537" s="3">
        <v>45683</v>
      </c>
      <c r="H537" s="1" t="s">
        <v>27</v>
      </c>
      <c r="I537" s="1" t="s">
        <v>40</v>
      </c>
      <c r="J537" s="1">
        <v>4</v>
      </c>
      <c r="K537" s="1" t="s">
        <v>19</v>
      </c>
      <c r="L537" s="1" t="s">
        <v>59</v>
      </c>
      <c r="M537" s="1">
        <f>orders[[#This Row],[Ship Date]]-orders[[#This Row],[Order Date]]</f>
        <v>3</v>
      </c>
      <c r="N537" s="1">
        <f>WEEKNUM(orders[[#This Row],[Order Date]])</f>
        <v>4</v>
      </c>
      <c r="O537" s="1" t="str" cm="1">
        <f t="array" ref="O537">_xlfn.IFS(orders[[#This Row],[Customer Gender]]="M","Male", orders[[#This Row],[Customer Gender]]="F","Female", orders[[#This Row],[Customer Gender]]="O","Other", TRUE,"Unknown")</f>
        <v>Female</v>
      </c>
    </row>
    <row r="538" spans="1:15">
      <c r="A538" s="1" t="s">
        <v>627</v>
      </c>
      <c r="B538" s="1" t="s">
        <v>128</v>
      </c>
      <c r="C538" s="1">
        <v>11</v>
      </c>
      <c r="D538" s="1">
        <v>33.9</v>
      </c>
      <c r="E538" s="11">
        <v>372.9</v>
      </c>
      <c r="F538" s="3">
        <v>45680</v>
      </c>
      <c r="G538" s="3">
        <v>45681</v>
      </c>
      <c r="H538" s="1" t="s">
        <v>23</v>
      </c>
      <c r="I538" s="1" t="s">
        <v>40</v>
      </c>
      <c r="J538" s="1">
        <v>3</v>
      </c>
      <c r="K538" s="1" t="s">
        <v>19</v>
      </c>
      <c r="L538" s="1" t="s">
        <v>59</v>
      </c>
      <c r="M538" s="1">
        <f>orders[[#This Row],[Ship Date]]-orders[[#This Row],[Order Date]]</f>
        <v>1</v>
      </c>
      <c r="N538" s="1">
        <f>WEEKNUM(orders[[#This Row],[Order Date]])</f>
        <v>4</v>
      </c>
      <c r="O538" s="1" t="str" cm="1">
        <f t="array" ref="O538">_xlfn.IFS(orders[[#This Row],[Customer Gender]]="M","Male", orders[[#This Row],[Customer Gender]]="F","Female", orders[[#This Row],[Customer Gender]]="O","Other", TRUE,"Unknown")</f>
        <v>Male</v>
      </c>
    </row>
    <row r="539" spans="1:15">
      <c r="A539" s="1" t="s">
        <v>628</v>
      </c>
      <c r="B539" s="1" t="s">
        <v>16</v>
      </c>
      <c r="C539" s="1">
        <v>2</v>
      </c>
      <c r="D539" s="1">
        <v>32.799999999999997</v>
      </c>
      <c r="E539" s="11">
        <v>65.599999999999994</v>
      </c>
      <c r="F539" s="3">
        <v>45680</v>
      </c>
      <c r="G539" s="3">
        <v>45682</v>
      </c>
      <c r="H539" s="1" t="s">
        <v>27</v>
      </c>
      <c r="I539" s="1" t="s">
        <v>70</v>
      </c>
      <c r="J539" s="1">
        <v>2</v>
      </c>
      <c r="K539" s="1" t="s">
        <v>19</v>
      </c>
      <c r="L539" s="1" t="s">
        <v>62</v>
      </c>
      <c r="M539" s="1">
        <f>orders[[#This Row],[Ship Date]]-orders[[#This Row],[Order Date]]</f>
        <v>2</v>
      </c>
      <c r="N539" s="1">
        <f>WEEKNUM(orders[[#This Row],[Order Date]])</f>
        <v>4</v>
      </c>
      <c r="O539" s="1" t="str" cm="1">
        <f t="array" ref="O539">_xlfn.IFS(orders[[#This Row],[Customer Gender]]="M","Male", orders[[#This Row],[Customer Gender]]="F","Female", orders[[#This Row],[Customer Gender]]="O","Other", TRUE,"Unknown")</f>
        <v>Female</v>
      </c>
    </row>
    <row r="540" spans="1:15">
      <c r="A540" s="1" t="s">
        <v>629</v>
      </c>
      <c r="B540" s="1" t="s">
        <v>123</v>
      </c>
      <c r="C540" s="1">
        <v>1</v>
      </c>
      <c r="D540" s="1">
        <v>49.9</v>
      </c>
      <c r="E540" s="11">
        <v>49.9</v>
      </c>
      <c r="F540" s="3">
        <v>45680</v>
      </c>
      <c r="G540" s="3">
        <v>45681</v>
      </c>
      <c r="H540" s="1" t="s">
        <v>23</v>
      </c>
      <c r="I540" s="1" t="s">
        <v>51</v>
      </c>
      <c r="J540" s="1">
        <v>3</v>
      </c>
      <c r="K540" s="1" t="s">
        <v>19</v>
      </c>
      <c r="L540" s="1" t="s">
        <v>62</v>
      </c>
      <c r="M540" s="1">
        <f>orders[[#This Row],[Ship Date]]-orders[[#This Row],[Order Date]]</f>
        <v>1</v>
      </c>
      <c r="N540" s="1">
        <f>WEEKNUM(orders[[#This Row],[Order Date]])</f>
        <v>4</v>
      </c>
      <c r="O540" s="1" t="str" cm="1">
        <f t="array" ref="O540">_xlfn.IFS(orders[[#This Row],[Customer Gender]]="M","Male", orders[[#This Row],[Customer Gender]]="F","Female", orders[[#This Row],[Customer Gender]]="O","Other", TRUE,"Unknown")</f>
        <v>Male</v>
      </c>
    </row>
    <row r="541" spans="1:15">
      <c r="A541" s="1" t="s">
        <v>630</v>
      </c>
      <c r="B541" s="1" t="s">
        <v>42</v>
      </c>
      <c r="C541" s="1">
        <v>5</v>
      </c>
      <c r="D541" s="1">
        <v>79.2</v>
      </c>
      <c r="E541" s="11">
        <v>396</v>
      </c>
      <c r="F541" s="3">
        <v>45680</v>
      </c>
      <c r="G541" s="3">
        <v>45681</v>
      </c>
      <c r="H541" s="1" t="s">
        <v>27</v>
      </c>
      <c r="I541" s="1" t="s">
        <v>70</v>
      </c>
      <c r="J541" s="1">
        <v>4</v>
      </c>
      <c r="K541" s="1" t="s">
        <v>19</v>
      </c>
      <c r="L541" s="1" t="s">
        <v>62</v>
      </c>
      <c r="M541" s="1">
        <f>orders[[#This Row],[Ship Date]]-orders[[#This Row],[Order Date]]</f>
        <v>1</v>
      </c>
      <c r="N541" s="1">
        <f>WEEKNUM(orders[[#This Row],[Order Date]])</f>
        <v>4</v>
      </c>
      <c r="O541" s="1" t="str" cm="1">
        <f t="array" ref="O541">_xlfn.IFS(orders[[#This Row],[Customer Gender]]="M","Male", orders[[#This Row],[Customer Gender]]="F","Female", orders[[#This Row],[Customer Gender]]="O","Other", TRUE,"Unknown")</f>
        <v>Female</v>
      </c>
    </row>
    <row r="542" spans="1:15">
      <c r="A542" s="1" t="s">
        <v>631</v>
      </c>
      <c r="B542" s="1" t="s">
        <v>44</v>
      </c>
      <c r="C542" s="1">
        <v>16</v>
      </c>
      <c r="D542" s="1">
        <v>19.5</v>
      </c>
      <c r="E542" s="11">
        <v>312</v>
      </c>
      <c r="F542" s="3">
        <v>45680</v>
      </c>
      <c r="G542" s="3">
        <v>45682</v>
      </c>
      <c r="H542" s="1" t="s">
        <v>23</v>
      </c>
      <c r="I542" s="1" t="s">
        <v>51</v>
      </c>
      <c r="J542" s="1">
        <v>5</v>
      </c>
      <c r="K542" s="1" t="s">
        <v>19</v>
      </c>
      <c r="L542" s="1" t="s">
        <v>62</v>
      </c>
      <c r="M542" s="1">
        <f>orders[[#This Row],[Ship Date]]-orders[[#This Row],[Order Date]]</f>
        <v>2</v>
      </c>
      <c r="N542" s="1">
        <f>WEEKNUM(orders[[#This Row],[Order Date]])</f>
        <v>4</v>
      </c>
      <c r="O542" s="1" t="str" cm="1">
        <f t="array" ref="O542">_xlfn.IFS(orders[[#This Row],[Customer Gender]]="M","Male", orders[[#This Row],[Customer Gender]]="F","Female", orders[[#This Row],[Customer Gender]]="O","Other", TRUE,"Unknown")</f>
        <v>Male</v>
      </c>
    </row>
    <row r="543" spans="1:15">
      <c r="A543" s="1" t="s">
        <v>632</v>
      </c>
      <c r="B543" s="1" t="s">
        <v>44</v>
      </c>
      <c r="C543" s="1">
        <v>4</v>
      </c>
      <c r="D543" s="1">
        <v>18</v>
      </c>
      <c r="E543" s="11">
        <v>72</v>
      </c>
      <c r="F543" s="3">
        <v>45680</v>
      </c>
      <c r="G543" s="3">
        <v>45681</v>
      </c>
      <c r="H543" s="1" t="s">
        <v>23</v>
      </c>
      <c r="I543" s="1" t="s">
        <v>35</v>
      </c>
      <c r="J543" s="1">
        <v>4</v>
      </c>
      <c r="K543" s="1" t="s">
        <v>19</v>
      </c>
      <c r="L543" s="1" t="s">
        <v>74</v>
      </c>
      <c r="M543" s="1">
        <f>orders[[#This Row],[Ship Date]]-orders[[#This Row],[Order Date]]</f>
        <v>1</v>
      </c>
      <c r="N543" s="1">
        <f>WEEKNUM(orders[[#This Row],[Order Date]])</f>
        <v>4</v>
      </c>
      <c r="O543" s="1" t="str" cm="1">
        <f t="array" ref="O543">_xlfn.IFS(orders[[#This Row],[Customer Gender]]="M","Male", orders[[#This Row],[Customer Gender]]="F","Female", orders[[#This Row],[Customer Gender]]="O","Other", TRUE,"Unknown")</f>
        <v>Male</v>
      </c>
    </row>
    <row r="544" spans="1:15">
      <c r="A544" s="1" t="s">
        <v>633</v>
      </c>
      <c r="B544" s="1" t="s">
        <v>46</v>
      </c>
      <c r="C544" s="1">
        <v>3</v>
      </c>
      <c r="D544" s="1">
        <v>45.9</v>
      </c>
      <c r="E544" s="11">
        <v>137.69999999999999</v>
      </c>
      <c r="F544" s="3">
        <v>45680</v>
      </c>
      <c r="G544" s="3">
        <v>45682</v>
      </c>
      <c r="H544" s="1" t="s">
        <v>27</v>
      </c>
      <c r="I544" s="1" t="s">
        <v>35</v>
      </c>
      <c r="J544" s="1">
        <v>3</v>
      </c>
      <c r="K544" s="1" t="s">
        <v>19</v>
      </c>
      <c r="L544" s="1" t="s">
        <v>74</v>
      </c>
      <c r="M544" s="1">
        <f>orders[[#This Row],[Ship Date]]-orders[[#This Row],[Order Date]]</f>
        <v>2</v>
      </c>
      <c r="N544" s="1">
        <f>WEEKNUM(orders[[#This Row],[Order Date]])</f>
        <v>4</v>
      </c>
      <c r="O544" s="1" t="str" cm="1">
        <f t="array" ref="O544">_xlfn.IFS(orders[[#This Row],[Customer Gender]]="M","Male", orders[[#This Row],[Customer Gender]]="F","Female", orders[[#This Row],[Customer Gender]]="O","Other", TRUE,"Unknown")</f>
        <v>Female</v>
      </c>
    </row>
    <row r="545" spans="1:15">
      <c r="A545" s="1" t="s">
        <v>634</v>
      </c>
      <c r="B545" s="1" t="s">
        <v>67</v>
      </c>
      <c r="C545" s="1">
        <v>1</v>
      </c>
      <c r="D545" s="1">
        <v>41.2</v>
      </c>
      <c r="E545" s="11">
        <v>41.2</v>
      </c>
      <c r="F545" s="3">
        <v>45680</v>
      </c>
      <c r="G545" s="3">
        <v>45682</v>
      </c>
      <c r="H545" s="1" t="s">
        <v>27</v>
      </c>
      <c r="I545" s="1" t="s">
        <v>35</v>
      </c>
      <c r="J545" s="1">
        <v>5</v>
      </c>
      <c r="K545" s="1" t="s">
        <v>19</v>
      </c>
      <c r="L545" s="1" t="s">
        <v>77</v>
      </c>
      <c r="M545" s="1">
        <f>orders[[#This Row],[Ship Date]]-orders[[#This Row],[Order Date]]</f>
        <v>2</v>
      </c>
      <c r="N545" s="1">
        <f>WEEKNUM(orders[[#This Row],[Order Date]])</f>
        <v>4</v>
      </c>
      <c r="O545" s="1" t="str" cm="1">
        <f t="array" ref="O545">_xlfn.IFS(orders[[#This Row],[Customer Gender]]="M","Male", orders[[#This Row],[Customer Gender]]="F","Female", orders[[#This Row],[Customer Gender]]="O","Other", TRUE,"Unknown")</f>
        <v>Female</v>
      </c>
    </row>
    <row r="546" spans="1:15">
      <c r="A546" s="1" t="s">
        <v>635</v>
      </c>
      <c r="B546" s="1" t="s">
        <v>26</v>
      </c>
      <c r="C546" s="1">
        <v>10</v>
      </c>
      <c r="D546" s="1">
        <v>167.2</v>
      </c>
      <c r="E546" s="11">
        <v>1672</v>
      </c>
      <c r="F546" s="3">
        <v>45680</v>
      </c>
      <c r="G546" s="3">
        <v>45682</v>
      </c>
      <c r="H546" s="1" t="s">
        <v>27</v>
      </c>
      <c r="I546" s="1" t="s">
        <v>40</v>
      </c>
      <c r="J546" s="1">
        <v>5</v>
      </c>
      <c r="K546" s="1" t="s">
        <v>19</v>
      </c>
      <c r="L546" s="1" t="s">
        <v>309</v>
      </c>
      <c r="M546" s="1">
        <f>orders[[#This Row],[Ship Date]]-orders[[#This Row],[Order Date]]</f>
        <v>2</v>
      </c>
      <c r="N546" s="1">
        <f>WEEKNUM(orders[[#This Row],[Order Date]])</f>
        <v>4</v>
      </c>
      <c r="O546" s="1" t="str" cm="1">
        <f t="array" ref="O546">_xlfn.IFS(orders[[#This Row],[Customer Gender]]="M","Male", orders[[#This Row],[Customer Gender]]="F","Female", orders[[#This Row],[Customer Gender]]="O","Other", TRUE,"Unknown")</f>
        <v>Female</v>
      </c>
    </row>
    <row r="547" spans="1:15">
      <c r="A547" s="1" t="s">
        <v>636</v>
      </c>
      <c r="B547" s="1" t="s">
        <v>39</v>
      </c>
      <c r="C547" s="1">
        <v>30</v>
      </c>
      <c r="D547" s="1">
        <v>74.5</v>
      </c>
      <c r="E547" s="11">
        <v>2235</v>
      </c>
      <c r="F547" s="3">
        <v>45681</v>
      </c>
      <c r="G547" s="3">
        <v>45684</v>
      </c>
      <c r="H547" s="1" t="s">
        <v>27</v>
      </c>
      <c r="I547" s="1" t="s">
        <v>35</v>
      </c>
      <c r="J547" s="1">
        <v>5</v>
      </c>
      <c r="K547" s="1" t="s">
        <v>19</v>
      </c>
      <c r="L547" s="1" t="s">
        <v>377</v>
      </c>
      <c r="M547" s="1">
        <f>orders[[#This Row],[Ship Date]]-orders[[#This Row],[Order Date]]</f>
        <v>3</v>
      </c>
      <c r="N547" s="1">
        <f>WEEKNUM(orders[[#This Row],[Order Date]])</f>
        <v>4</v>
      </c>
      <c r="O547" s="1" t="str" cm="1">
        <f t="array" ref="O547">_xlfn.IFS(orders[[#This Row],[Customer Gender]]="M","Male", orders[[#This Row],[Customer Gender]]="F","Female", orders[[#This Row],[Customer Gender]]="O","Other", TRUE,"Unknown")</f>
        <v>Female</v>
      </c>
    </row>
    <row r="548" spans="1:15">
      <c r="A548" s="1" t="s">
        <v>637</v>
      </c>
      <c r="B548" s="1" t="s">
        <v>42</v>
      </c>
      <c r="C548" s="1">
        <v>4</v>
      </c>
      <c r="D548" s="1">
        <v>39.299999999999997</v>
      </c>
      <c r="E548" s="11">
        <v>157.19999999999999</v>
      </c>
      <c r="F548" s="3">
        <v>45681</v>
      </c>
      <c r="G548" s="3">
        <v>45682</v>
      </c>
      <c r="H548" s="1" t="s">
        <v>17</v>
      </c>
      <c r="I548" s="1" t="s">
        <v>40</v>
      </c>
      <c r="J548" s="1">
        <v>4</v>
      </c>
      <c r="K548" s="1" t="s">
        <v>19</v>
      </c>
      <c r="L548" s="1" t="s">
        <v>110</v>
      </c>
      <c r="M548" s="1">
        <f>orders[[#This Row],[Ship Date]]-orders[[#This Row],[Order Date]]</f>
        <v>1</v>
      </c>
      <c r="N548" s="1">
        <f>WEEKNUM(orders[[#This Row],[Order Date]])</f>
        <v>4</v>
      </c>
      <c r="O548" s="1" t="str" cm="1">
        <f t="array" ref="O548">_xlfn.IFS(orders[[#This Row],[Customer Gender]]="M","Male", orders[[#This Row],[Customer Gender]]="F","Female", orders[[#This Row],[Customer Gender]]="O","Other", TRUE,"Unknown")</f>
        <v>Unknown</v>
      </c>
    </row>
    <row r="549" spans="1:15">
      <c r="A549" s="1" t="s">
        <v>638</v>
      </c>
      <c r="B549" s="1" t="s">
        <v>46</v>
      </c>
      <c r="C549" s="1">
        <v>1</v>
      </c>
      <c r="D549" s="1">
        <v>68.5</v>
      </c>
      <c r="E549" s="11">
        <v>68.5</v>
      </c>
      <c r="F549" s="3">
        <v>45681</v>
      </c>
      <c r="G549" s="3">
        <v>45684</v>
      </c>
      <c r="H549" s="1" t="s">
        <v>23</v>
      </c>
      <c r="I549" s="1" t="s">
        <v>35</v>
      </c>
      <c r="J549" s="1">
        <v>5</v>
      </c>
      <c r="K549" s="1" t="s">
        <v>19</v>
      </c>
      <c r="L549" s="1" t="s">
        <v>79</v>
      </c>
      <c r="M549" s="1">
        <f>orders[[#This Row],[Ship Date]]-orders[[#This Row],[Order Date]]</f>
        <v>3</v>
      </c>
      <c r="N549" s="1">
        <f>WEEKNUM(orders[[#This Row],[Order Date]])</f>
        <v>4</v>
      </c>
      <c r="O549" s="1" t="str" cm="1">
        <f t="array" ref="O549">_xlfn.IFS(orders[[#This Row],[Customer Gender]]="M","Male", orders[[#This Row],[Customer Gender]]="F","Female", orders[[#This Row],[Customer Gender]]="O","Other", TRUE,"Unknown")</f>
        <v>Male</v>
      </c>
    </row>
    <row r="550" spans="1:15">
      <c r="A550" s="1" t="s">
        <v>639</v>
      </c>
      <c r="B550" s="1" t="s">
        <v>16</v>
      </c>
      <c r="C550" s="1">
        <v>3</v>
      </c>
      <c r="D550" s="1">
        <v>22.5</v>
      </c>
      <c r="E550" s="11">
        <v>67.5</v>
      </c>
      <c r="F550" s="3">
        <v>45681</v>
      </c>
      <c r="G550" s="3">
        <v>45681</v>
      </c>
      <c r="H550" s="1" t="s">
        <v>27</v>
      </c>
      <c r="I550" s="1" t="s">
        <v>70</v>
      </c>
      <c r="J550" s="1">
        <v>4</v>
      </c>
      <c r="K550" s="1" t="s">
        <v>19</v>
      </c>
      <c r="L550" s="1" t="s">
        <v>82</v>
      </c>
      <c r="M550" s="1">
        <f>orders[[#This Row],[Ship Date]]-orders[[#This Row],[Order Date]]</f>
        <v>0</v>
      </c>
      <c r="N550" s="1">
        <f>WEEKNUM(orders[[#This Row],[Order Date]])</f>
        <v>4</v>
      </c>
      <c r="O550" s="1" t="str" cm="1">
        <f t="array" ref="O550">_xlfn.IFS(orders[[#This Row],[Customer Gender]]="M","Male", orders[[#This Row],[Customer Gender]]="F","Female", orders[[#This Row],[Customer Gender]]="O","Other", TRUE,"Unknown")</f>
        <v>Female</v>
      </c>
    </row>
    <row r="551" spans="1:15">
      <c r="A551" s="1" t="s">
        <v>640</v>
      </c>
      <c r="B551" s="1" t="s">
        <v>22</v>
      </c>
      <c r="C551" s="1">
        <v>1</v>
      </c>
      <c r="D551" s="1">
        <v>48</v>
      </c>
      <c r="E551" s="11">
        <v>48</v>
      </c>
      <c r="F551" s="3">
        <v>45681</v>
      </c>
      <c r="G551" s="3">
        <v>45682</v>
      </c>
      <c r="H551" s="1" t="s">
        <v>89</v>
      </c>
      <c r="I551" s="1" t="s">
        <v>70</v>
      </c>
      <c r="J551" s="1">
        <v>3</v>
      </c>
      <c r="K551" s="1" t="s">
        <v>19</v>
      </c>
      <c r="L551" s="1" t="s">
        <v>641</v>
      </c>
      <c r="M551" s="1">
        <f>orders[[#This Row],[Ship Date]]-orders[[#This Row],[Order Date]]</f>
        <v>1</v>
      </c>
      <c r="N551" s="1">
        <f>WEEKNUM(orders[[#This Row],[Order Date]])</f>
        <v>4</v>
      </c>
      <c r="O551" s="1" t="str" cm="1">
        <f t="array" ref="O551">_xlfn.IFS(orders[[#This Row],[Customer Gender]]="M","Male", orders[[#This Row],[Customer Gender]]="F","Female", orders[[#This Row],[Customer Gender]]="O","Other", TRUE,"Unknown")</f>
        <v>Other</v>
      </c>
    </row>
    <row r="552" spans="1:15">
      <c r="A552" s="1" t="s">
        <v>642</v>
      </c>
      <c r="B552" s="1" t="s">
        <v>39</v>
      </c>
      <c r="C552" s="1">
        <v>1</v>
      </c>
      <c r="D552" s="1">
        <v>94</v>
      </c>
      <c r="E552" s="11">
        <v>94</v>
      </c>
      <c r="F552" s="3">
        <v>45681</v>
      </c>
      <c r="G552" s="3">
        <v>45682</v>
      </c>
      <c r="H552" s="1" t="s">
        <v>23</v>
      </c>
      <c r="I552" s="1" t="s">
        <v>51</v>
      </c>
      <c r="J552" s="1">
        <v>3</v>
      </c>
      <c r="K552" s="1" t="s">
        <v>19</v>
      </c>
      <c r="L552" s="1" t="s">
        <v>24</v>
      </c>
      <c r="M552" s="1">
        <f>orders[[#This Row],[Ship Date]]-orders[[#This Row],[Order Date]]</f>
        <v>1</v>
      </c>
      <c r="N552" s="1">
        <f>WEEKNUM(orders[[#This Row],[Order Date]])</f>
        <v>4</v>
      </c>
      <c r="O552" s="1" t="str" cm="1">
        <f t="array" ref="O552">_xlfn.IFS(orders[[#This Row],[Customer Gender]]="M","Male", orders[[#This Row],[Customer Gender]]="F","Female", orders[[#This Row],[Customer Gender]]="O","Other", TRUE,"Unknown")</f>
        <v>Male</v>
      </c>
    </row>
    <row r="553" spans="1:15">
      <c r="A553" s="1" t="s">
        <v>643</v>
      </c>
      <c r="B553" s="1" t="s">
        <v>44</v>
      </c>
      <c r="C553" s="1">
        <v>3</v>
      </c>
      <c r="D553" s="1">
        <v>21.9</v>
      </c>
      <c r="E553" s="11">
        <v>65.699999999999989</v>
      </c>
      <c r="F553" s="3">
        <v>45681</v>
      </c>
      <c r="G553" s="3">
        <v>45682</v>
      </c>
      <c r="H553" s="1" t="s">
        <v>27</v>
      </c>
      <c r="I553" s="1" t="s">
        <v>18</v>
      </c>
      <c r="J553" s="1">
        <v>4</v>
      </c>
      <c r="K553" s="1" t="s">
        <v>19</v>
      </c>
      <c r="L553" s="1" t="s">
        <v>587</v>
      </c>
      <c r="M553" s="1">
        <f>orders[[#This Row],[Ship Date]]-orders[[#This Row],[Order Date]]</f>
        <v>1</v>
      </c>
      <c r="N553" s="1">
        <f>WEEKNUM(orders[[#This Row],[Order Date]])</f>
        <v>4</v>
      </c>
      <c r="O553" s="1" t="str" cm="1">
        <f t="array" ref="O553">_xlfn.IFS(orders[[#This Row],[Customer Gender]]="M","Male", orders[[#This Row],[Customer Gender]]="F","Female", orders[[#This Row],[Customer Gender]]="O","Other", TRUE,"Unknown")</f>
        <v>Female</v>
      </c>
    </row>
    <row r="554" spans="1:15">
      <c r="A554" s="1" t="s">
        <v>644</v>
      </c>
      <c r="B554" s="1" t="s">
        <v>39</v>
      </c>
      <c r="C554" s="1">
        <v>7</v>
      </c>
      <c r="D554" s="1">
        <v>64.900000000000006</v>
      </c>
      <c r="E554" s="11">
        <v>454.30000000000007</v>
      </c>
      <c r="F554" s="3">
        <v>45681</v>
      </c>
      <c r="G554" s="3">
        <v>45682</v>
      </c>
      <c r="H554" s="1" t="s">
        <v>27</v>
      </c>
      <c r="I554" s="1" t="s">
        <v>18</v>
      </c>
      <c r="J554" s="1">
        <v>4</v>
      </c>
      <c r="K554" s="1" t="s">
        <v>19</v>
      </c>
      <c r="L554" s="1" t="s">
        <v>33</v>
      </c>
      <c r="M554" s="1">
        <f>orders[[#This Row],[Ship Date]]-orders[[#This Row],[Order Date]]</f>
        <v>1</v>
      </c>
      <c r="N554" s="1">
        <f>WEEKNUM(orders[[#This Row],[Order Date]])</f>
        <v>4</v>
      </c>
      <c r="O554" s="1" t="str" cm="1">
        <f t="array" ref="O554">_xlfn.IFS(orders[[#This Row],[Customer Gender]]="M","Male", orders[[#This Row],[Customer Gender]]="F","Female", orders[[#This Row],[Customer Gender]]="O","Other", TRUE,"Unknown")</f>
        <v>Female</v>
      </c>
    </row>
    <row r="555" spans="1:15">
      <c r="A555" s="1" t="s">
        <v>645</v>
      </c>
      <c r="B555" s="1" t="s">
        <v>69</v>
      </c>
      <c r="C555" s="1">
        <v>1</v>
      </c>
      <c r="D555" s="1">
        <v>52.9</v>
      </c>
      <c r="E555" s="11">
        <v>52.9</v>
      </c>
      <c r="F555" s="3">
        <v>45681</v>
      </c>
      <c r="G555" s="3">
        <v>45681</v>
      </c>
      <c r="H555" s="1" t="s">
        <v>27</v>
      </c>
      <c r="I555" s="1" t="s">
        <v>35</v>
      </c>
      <c r="J555" s="1">
        <v>3</v>
      </c>
      <c r="K555" s="1" t="s">
        <v>19</v>
      </c>
      <c r="L555" s="1" t="s">
        <v>33</v>
      </c>
      <c r="M555" s="1">
        <f>orders[[#This Row],[Ship Date]]-orders[[#This Row],[Order Date]]</f>
        <v>0</v>
      </c>
      <c r="N555" s="1">
        <f>WEEKNUM(orders[[#This Row],[Order Date]])</f>
        <v>4</v>
      </c>
      <c r="O555" s="1" t="str" cm="1">
        <f t="array" ref="O555">_xlfn.IFS(orders[[#This Row],[Customer Gender]]="M","Male", orders[[#This Row],[Customer Gender]]="F","Female", orders[[#This Row],[Customer Gender]]="O","Other", TRUE,"Unknown")</f>
        <v>Female</v>
      </c>
    </row>
    <row r="556" spans="1:15">
      <c r="A556" s="1" t="s">
        <v>646</v>
      </c>
      <c r="B556" s="1" t="s">
        <v>44</v>
      </c>
      <c r="C556" s="1">
        <v>3</v>
      </c>
      <c r="D556" s="1">
        <v>25.5</v>
      </c>
      <c r="E556" s="11">
        <v>76.5</v>
      </c>
      <c r="F556" s="3">
        <v>45681</v>
      </c>
      <c r="G556" s="3">
        <v>45682</v>
      </c>
      <c r="H556" s="1" t="s">
        <v>27</v>
      </c>
      <c r="I556" s="1" t="s">
        <v>35</v>
      </c>
      <c r="J556" s="1">
        <v>5</v>
      </c>
      <c r="K556" s="1" t="s">
        <v>19</v>
      </c>
      <c r="L556" s="1" t="s">
        <v>33</v>
      </c>
      <c r="M556" s="1">
        <f>orders[[#This Row],[Ship Date]]-orders[[#This Row],[Order Date]]</f>
        <v>1</v>
      </c>
      <c r="N556" s="1">
        <f>WEEKNUM(orders[[#This Row],[Order Date]])</f>
        <v>4</v>
      </c>
      <c r="O556" s="1" t="str" cm="1">
        <f t="array" ref="O556">_xlfn.IFS(orders[[#This Row],[Customer Gender]]="M","Male", orders[[#This Row],[Customer Gender]]="F","Female", orders[[#This Row],[Customer Gender]]="O","Other", TRUE,"Unknown")</f>
        <v>Female</v>
      </c>
    </row>
    <row r="557" spans="1:15">
      <c r="A557" s="1" t="s">
        <v>647</v>
      </c>
      <c r="B557" s="1" t="s">
        <v>39</v>
      </c>
      <c r="C557" s="1">
        <v>3</v>
      </c>
      <c r="D557" s="1">
        <v>51.9</v>
      </c>
      <c r="E557" s="11">
        <v>155.69999999999999</v>
      </c>
      <c r="F557" s="3">
        <v>45681</v>
      </c>
      <c r="G557" s="3">
        <v>45682</v>
      </c>
      <c r="H557" s="1" t="s">
        <v>27</v>
      </c>
      <c r="I557" s="1" t="s">
        <v>51</v>
      </c>
      <c r="J557" s="1">
        <v>4</v>
      </c>
      <c r="K557" s="1" t="s">
        <v>19</v>
      </c>
      <c r="L557" s="1" t="s">
        <v>33</v>
      </c>
      <c r="M557" s="1">
        <f>orders[[#This Row],[Ship Date]]-orders[[#This Row],[Order Date]]</f>
        <v>1</v>
      </c>
      <c r="N557" s="1">
        <f>WEEKNUM(orders[[#This Row],[Order Date]])</f>
        <v>4</v>
      </c>
      <c r="O557" s="1" t="str" cm="1">
        <f t="array" ref="O557">_xlfn.IFS(orders[[#This Row],[Customer Gender]]="M","Male", orders[[#This Row],[Customer Gender]]="F","Female", orders[[#This Row],[Customer Gender]]="O","Other", TRUE,"Unknown")</f>
        <v>Female</v>
      </c>
    </row>
    <row r="558" spans="1:15">
      <c r="A558" s="1" t="s">
        <v>648</v>
      </c>
      <c r="B558" s="1" t="s">
        <v>37</v>
      </c>
      <c r="C558" s="1">
        <v>1</v>
      </c>
      <c r="D558" s="1">
        <v>46.3</v>
      </c>
      <c r="E558" s="11">
        <v>46.3</v>
      </c>
      <c r="F558" s="3">
        <v>45681</v>
      </c>
      <c r="G558" s="3">
        <v>45684</v>
      </c>
      <c r="H558" s="1" t="s">
        <v>27</v>
      </c>
      <c r="I558" s="1" t="s">
        <v>70</v>
      </c>
      <c r="J558" s="1">
        <v>4</v>
      </c>
      <c r="K558" s="1" t="s">
        <v>19</v>
      </c>
      <c r="L558" s="1" t="s">
        <v>33</v>
      </c>
      <c r="M558" s="1">
        <f>orders[[#This Row],[Ship Date]]-orders[[#This Row],[Order Date]]</f>
        <v>3</v>
      </c>
      <c r="N558" s="1">
        <f>WEEKNUM(orders[[#This Row],[Order Date]])</f>
        <v>4</v>
      </c>
      <c r="O558" s="1" t="str" cm="1">
        <f t="array" ref="O558">_xlfn.IFS(orders[[#This Row],[Customer Gender]]="M","Male", orders[[#This Row],[Customer Gender]]="F","Female", orders[[#This Row],[Customer Gender]]="O","Other", TRUE,"Unknown")</f>
        <v>Female</v>
      </c>
    </row>
    <row r="559" spans="1:15">
      <c r="A559" s="1" t="s">
        <v>649</v>
      </c>
      <c r="B559" s="1" t="s">
        <v>39</v>
      </c>
      <c r="C559" s="1">
        <v>2</v>
      </c>
      <c r="D559" s="1">
        <v>68.2</v>
      </c>
      <c r="E559" s="11">
        <v>136.4</v>
      </c>
      <c r="F559" s="3">
        <v>45681</v>
      </c>
      <c r="G559" s="3">
        <v>45683</v>
      </c>
      <c r="H559" s="1" t="s">
        <v>27</v>
      </c>
      <c r="I559" s="1" t="s">
        <v>51</v>
      </c>
      <c r="J559" s="1">
        <v>4</v>
      </c>
      <c r="K559" s="1" t="s">
        <v>19</v>
      </c>
      <c r="L559" s="1" t="s">
        <v>33</v>
      </c>
      <c r="M559" s="1">
        <f>orders[[#This Row],[Ship Date]]-orders[[#This Row],[Order Date]]</f>
        <v>2</v>
      </c>
      <c r="N559" s="1">
        <f>WEEKNUM(orders[[#This Row],[Order Date]])</f>
        <v>4</v>
      </c>
      <c r="O559" s="1" t="str" cm="1">
        <f t="array" ref="O559">_xlfn.IFS(orders[[#This Row],[Customer Gender]]="M","Male", orders[[#This Row],[Customer Gender]]="F","Female", orders[[#This Row],[Customer Gender]]="O","Other", TRUE,"Unknown")</f>
        <v>Female</v>
      </c>
    </row>
    <row r="560" spans="1:15">
      <c r="A560" s="1" t="s">
        <v>650</v>
      </c>
      <c r="B560" s="1" t="s">
        <v>22</v>
      </c>
      <c r="C560" s="1">
        <v>1</v>
      </c>
      <c r="D560" s="1">
        <v>40.299999999999997</v>
      </c>
      <c r="E560" s="11">
        <v>40.299999999999997</v>
      </c>
      <c r="F560" s="3">
        <v>45681</v>
      </c>
      <c r="G560" s="3">
        <v>45682</v>
      </c>
      <c r="H560" s="1" t="s">
        <v>23</v>
      </c>
      <c r="I560" s="1" t="s">
        <v>18</v>
      </c>
      <c r="J560" s="1">
        <v>3</v>
      </c>
      <c r="K560" s="1" t="s">
        <v>19</v>
      </c>
      <c r="L560" s="1" t="s">
        <v>33</v>
      </c>
      <c r="M560" s="1">
        <f>orders[[#This Row],[Ship Date]]-orders[[#This Row],[Order Date]]</f>
        <v>1</v>
      </c>
      <c r="N560" s="1">
        <f>WEEKNUM(orders[[#This Row],[Order Date]])</f>
        <v>4</v>
      </c>
      <c r="O560" s="1" t="str" cm="1">
        <f t="array" ref="O560">_xlfn.IFS(orders[[#This Row],[Customer Gender]]="M","Male", orders[[#This Row],[Customer Gender]]="F","Female", orders[[#This Row],[Customer Gender]]="O","Other", TRUE,"Unknown")</f>
        <v>Male</v>
      </c>
    </row>
    <row r="561" spans="1:15">
      <c r="A561" s="1" t="s">
        <v>651</v>
      </c>
      <c r="B561" s="1" t="s">
        <v>26</v>
      </c>
      <c r="C561" s="1">
        <v>3</v>
      </c>
      <c r="D561" s="1">
        <v>91.3</v>
      </c>
      <c r="E561" s="11">
        <v>273.89999999999998</v>
      </c>
      <c r="F561" s="3">
        <v>45681</v>
      </c>
      <c r="G561" s="3">
        <v>45686</v>
      </c>
      <c r="H561" s="1" t="s">
        <v>23</v>
      </c>
      <c r="I561" s="1" t="s">
        <v>18</v>
      </c>
      <c r="J561" s="1">
        <v>5</v>
      </c>
      <c r="K561" s="1" t="s">
        <v>19</v>
      </c>
      <c r="L561" s="1" t="s">
        <v>55</v>
      </c>
      <c r="M561" s="1">
        <f>orders[[#This Row],[Ship Date]]-orders[[#This Row],[Order Date]]</f>
        <v>5</v>
      </c>
      <c r="N561" s="1">
        <f>WEEKNUM(orders[[#This Row],[Order Date]])</f>
        <v>4</v>
      </c>
      <c r="O561" s="1" t="str" cm="1">
        <f t="array" ref="O561">_xlfn.IFS(orders[[#This Row],[Customer Gender]]="M","Male", orders[[#This Row],[Customer Gender]]="F","Female", orders[[#This Row],[Customer Gender]]="O","Other", TRUE,"Unknown")</f>
        <v>Male</v>
      </c>
    </row>
    <row r="562" spans="1:15">
      <c r="A562" s="1" t="s">
        <v>652</v>
      </c>
      <c r="B562" s="1" t="s">
        <v>16</v>
      </c>
      <c r="C562" s="1">
        <v>3</v>
      </c>
      <c r="D562" s="1">
        <v>11.9</v>
      </c>
      <c r="E562" s="11">
        <v>35.700000000000003</v>
      </c>
      <c r="F562" s="3">
        <v>45681</v>
      </c>
      <c r="G562" s="3">
        <v>45682</v>
      </c>
      <c r="H562" s="1" t="s">
        <v>27</v>
      </c>
      <c r="I562" s="1" t="s">
        <v>18</v>
      </c>
      <c r="J562" s="1">
        <v>3</v>
      </c>
      <c r="K562" s="1" t="s">
        <v>19</v>
      </c>
      <c r="L562" s="1" t="s">
        <v>55</v>
      </c>
      <c r="M562" s="1">
        <f>orders[[#This Row],[Ship Date]]-orders[[#This Row],[Order Date]]</f>
        <v>1</v>
      </c>
      <c r="N562" s="1">
        <f>WEEKNUM(orders[[#This Row],[Order Date]])</f>
        <v>4</v>
      </c>
      <c r="O562" s="1" t="str" cm="1">
        <f t="array" ref="O562">_xlfn.IFS(orders[[#This Row],[Customer Gender]]="M","Male", orders[[#This Row],[Customer Gender]]="F","Female", orders[[#This Row],[Customer Gender]]="O","Other", TRUE,"Unknown")</f>
        <v>Female</v>
      </c>
    </row>
    <row r="563" spans="1:15">
      <c r="A563" s="1" t="s">
        <v>653</v>
      </c>
      <c r="B563" s="1" t="s">
        <v>26</v>
      </c>
      <c r="C563" s="1">
        <v>2</v>
      </c>
      <c r="D563" s="1">
        <v>63.5</v>
      </c>
      <c r="E563" s="11">
        <v>127</v>
      </c>
      <c r="F563" s="3">
        <v>45681</v>
      </c>
      <c r="G563" s="3">
        <v>45683</v>
      </c>
      <c r="H563" s="1" t="s">
        <v>23</v>
      </c>
      <c r="I563" s="1" t="s">
        <v>35</v>
      </c>
      <c r="J563" s="1">
        <v>4</v>
      </c>
      <c r="K563" s="1" t="s">
        <v>19</v>
      </c>
      <c r="L563" s="1" t="s">
        <v>55</v>
      </c>
      <c r="M563" s="1">
        <f>orders[[#This Row],[Ship Date]]-orders[[#This Row],[Order Date]]</f>
        <v>2</v>
      </c>
      <c r="N563" s="1">
        <f>WEEKNUM(orders[[#This Row],[Order Date]])</f>
        <v>4</v>
      </c>
      <c r="O563" s="1" t="str" cm="1">
        <f t="array" ref="O563">_xlfn.IFS(orders[[#This Row],[Customer Gender]]="M","Male", orders[[#This Row],[Customer Gender]]="F","Female", orders[[#This Row],[Customer Gender]]="O","Other", TRUE,"Unknown")</f>
        <v>Male</v>
      </c>
    </row>
    <row r="564" spans="1:15">
      <c r="A564" s="1" t="s">
        <v>654</v>
      </c>
      <c r="B564" s="1" t="s">
        <v>32</v>
      </c>
      <c r="C564" s="1">
        <v>2</v>
      </c>
      <c r="D564" s="1">
        <v>27.1</v>
      </c>
      <c r="E564" s="11">
        <v>54.2</v>
      </c>
      <c r="F564" s="3">
        <v>45681</v>
      </c>
      <c r="G564" s="3">
        <v>45684</v>
      </c>
      <c r="H564" s="1" t="s">
        <v>23</v>
      </c>
      <c r="I564" s="1" t="s">
        <v>40</v>
      </c>
      <c r="J564" s="1">
        <v>5</v>
      </c>
      <c r="K564" s="1" t="s">
        <v>19</v>
      </c>
      <c r="L564" s="1" t="s">
        <v>55</v>
      </c>
      <c r="M564" s="1">
        <f>orders[[#This Row],[Ship Date]]-orders[[#This Row],[Order Date]]</f>
        <v>3</v>
      </c>
      <c r="N564" s="1">
        <f>WEEKNUM(orders[[#This Row],[Order Date]])</f>
        <v>4</v>
      </c>
      <c r="O564" s="1" t="str" cm="1">
        <f t="array" ref="O564">_xlfn.IFS(orders[[#This Row],[Customer Gender]]="M","Male", orders[[#This Row],[Customer Gender]]="F","Female", orders[[#This Row],[Customer Gender]]="O","Other", TRUE,"Unknown")</f>
        <v>Male</v>
      </c>
    </row>
    <row r="565" spans="1:15">
      <c r="A565" s="1" t="s">
        <v>655</v>
      </c>
      <c r="B565" s="1" t="s">
        <v>22</v>
      </c>
      <c r="C565" s="1">
        <v>2</v>
      </c>
      <c r="D565" s="1">
        <v>82.1</v>
      </c>
      <c r="E565" s="11">
        <v>164.2</v>
      </c>
      <c r="F565" s="3">
        <v>45682</v>
      </c>
      <c r="G565" s="3">
        <v>45685</v>
      </c>
      <c r="H565" s="1" t="s">
        <v>23</v>
      </c>
      <c r="I565" s="1" t="s">
        <v>35</v>
      </c>
      <c r="J565" s="1">
        <v>3</v>
      </c>
      <c r="K565" s="1" t="s">
        <v>19</v>
      </c>
      <c r="L565" s="1" t="s">
        <v>59</v>
      </c>
      <c r="M565" s="1">
        <f>orders[[#This Row],[Ship Date]]-orders[[#This Row],[Order Date]]</f>
        <v>3</v>
      </c>
      <c r="N565" s="1">
        <f>WEEKNUM(orders[[#This Row],[Order Date]])</f>
        <v>4</v>
      </c>
      <c r="O565" s="1" t="str" cm="1">
        <f t="array" ref="O565">_xlfn.IFS(orders[[#This Row],[Customer Gender]]="M","Male", orders[[#This Row],[Customer Gender]]="F","Female", orders[[#This Row],[Customer Gender]]="O","Other", TRUE,"Unknown")</f>
        <v>Male</v>
      </c>
    </row>
    <row r="566" spans="1:15">
      <c r="A566" s="1" t="s">
        <v>656</v>
      </c>
      <c r="B566" s="1" t="s">
        <v>30</v>
      </c>
      <c r="C566" s="1">
        <v>5</v>
      </c>
      <c r="D566" s="1">
        <v>42.9</v>
      </c>
      <c r="E566" s="11">
        <v>214.5</v>
      </c>
      <c r="F566" s="3">
        <v>45682</v>
      </c>
      <c r="G566" s="3">
        <v>45684</v>
      </c>
      <c r="H566" s="1" t="s">
        <v>27</v>
      </c>
      <c r="I566" s="1" t="s">
        <v>35</v>
      </c>
      <c r="J566" s="1">
        <v>4</v>
      </c>
      <c r="K566" s="1" t="s">
        <v>19</v>
      </c>
      <c r="L566" s="1" t="s">
        <v>62</v>
      </c>
      <c r="M566" s="1">
        <f>orders[[#This Row],[Ship Date]]-orders[[#This Row],[Order Date]]</f>
        <v>2</v>
      </c>
      <c r="N566" s="1">
        <f>WEEKNUM(orders[[#This Row],[Order Date]])</f>
        <v>4</v>
      </c>
      <c r="O566" s="1" t="str" cm="1">
        <f t="array" ref="O566">_xlfn.IFS(orders[[#This Row],[Customer Gender]]="M","Male", orders[[#This Row],[Customer Gender]]="F","Female", orders[[#This Row],[Customer Gender]]="O","Other", TRUE,"Unknown")</f>
        <v>Female</v>
      </c>
    </row>
    <row r="567" spans="1:15">
      <c r="A567" s="1" t="s">
        <v>657</v>
      </c>
      <c r="B567" s="1" t="s">
        <v>44</v>
      </c>
      <c r="C567" s="1">
        <v>11</v>
      </c>
      <c r="D567" s="1">
        <v>37.9</v>
      </c>
      <c r="E567" s="11">
        <v>416.9</v>
      </c>
      <c r="F567" s="3">
        <v>45682</v>
      </c>
      <c r="G567" s="3">
        <v>45689</v>
      </c>
      <c r="H567" s="1" t="s">
        <v>23</v>
      </c>
      <c r="I567" s="1" t="s">
        <v>18</v>
      </c>
      <c r="J567" s="1">
        <v>4</v>
      </c>
      <c r="K567" s="1" t="s">
        <v>19</v>
      </c>
      <c r="L567" s="1" t="s">
        <v>62</v>
      </c>
      <c r="M567" s="1">
        <f>orders[[#This Row],[Ship Date]]-orders[[#This Row],[Order Date]]</f>
        <v>7</v>
      </c>
      <c r="N567" s="1">
        <f>WEEKNUM(orders[[#This Row],[Order Date]])</f>
        <v>4</v>
      </c>
      <c r="O567" s="1" t="str" cm="1">
        <f t="array" ref="O567">_xlfn.IFS(orders[[#This Row],[Customer Gender]]="M","Male", orders[[#This Row],[Customer Gender]]="F","Female", orders[[#This Row],[Customer Gender]]="O","Other", TRUE,"Unknown")</f>
        <v>Male</v>
      </c>
    </row>
    <row r="568" spans="1:15">
      <c r="A568" s="1" t="s">
        <v>658</v>
      </c>
      <c r="B568" s="1" t="s">
        <v>16</v>
      </c>
      <c r="C568" s="1">
        <v>1</v>
      </c>
      <c r="D568" s="1">
        <v>22.4</v>
      </c>
      <c r="E568" s="11">
        <v>22.4</v>
      </c>
      <c r="F568" s="3">
        <v>45682</v>
      </c>
      <c r="G568" s="3">
        <v>45683</v>
      </c>
      <c r="H568" s="1" t="s">
        <v>27</v>
      </c>
      <c r="I568" s="1" t="s">
        <v>18</v>
      </c>
      <c r="J568" s="1">
        <v>3</v>
      </c>
      <c r="K568" s="1" t="s">
        <v>19</v>
      </c>
      <c r="L568" s="1" t="s">
        <v>103</v>
      </c>
      <c r="M568" s="1">
        <f>orders[[#This Row],[Ship Date]]-orders[[#This Row],[Order Date]]</f>
        <v>1</v>
      </c>
      <c r="N568" s="1">
        <f>WEEKNUM(orders[[#This Row],[Order Date]])</f>
        <v>4</v>
      </c>
      <c r="O568" s="1" t="str" cm="1">
        <f t="array" ref="O568">_xlfn.IFS(orders[[#This Row],[Customer Gender]]="M","Male", orders[[#This Row],[Customer Gender]]="F","Female", orders[[#This Row],[Customer Gender]]="O","Other", TRUE,"Unknown")</f>
        <v>Female</v>
      </c>
    </row>
    <row r="569" spans="1:15">
      <c r="A569" s="1" t="s">
        <v>659</v>
      </c>
      <c r="B569" s="1" t="s">
        <v>26</v>
      </c>
      <c r="C569" s="1">
        <v>13</v>
      </c>
      <c r="D569" s="1">
        <v>79.900000000000006</v>
      </c>
      <c r="E569" s="11">
        <v>1038.7</v>
      </c>
      <c r="F569" s="3">
        <v>45682</v>
      </c>
      <c r="G569" s="3">
        <v>45695</v>
      </c>
      <c r="H569" s="1" t="s">
        <v>27</v>
      </c>
      <c r="I569" s="1" t="s">
        <v>51</v>
      </c>
      <c r="J569" s="1">
        <v>3</v>
      </c>
      <c r="K569" s="1" t="s">
        <v>19</v>
      </c>
      <c r="L569" s="1" t="s">
        <v>77</v>
      </c>
      <c r="M569" s="1">
        <f>orders[[#This Row],[Ship Date]]-orders[[#This Row],[Order Date]]</f>
        <v>13</v>
      </c>
      <c r="N569" s="1">
        <f>WEEKNUM(orders[[#This Row],[Order Date]])</f>
        <v>4</v>
      </c>
      <c r="O569" s="1" t="str" cm="1">
        <f t="array" ref="O569">_xlfn.IFS(orders[[#This Row],[Customer Gender]]="M","Male", orders[[#This Row],[Customer Gender]]="F","Female", orders[[#This Row],[Customer Gender]]="O","Other", TRUE,"Unknown")</f>
        <v>Female</v>
      </c>
    </row>
    <row r="570" spans="1:15">
      <c r="A570" s="1" t="s">
        <v>660</v>
      </c>
      <c r="B570" s="1" t="s">
        <v>22</v>
      </c>
      <c r="C570" s="1">
        <v>1</v>
      </c>
      <c r="D570" s="1">
        <v>70.599999999999994</v>
      </c>
      <c r="E570" s="11">
        <v>70.599999999999994</v>
      </c>
      <c r="F570" s="3">
        <v>45682</v>
      </c>
      <c r="G570" s="3">
        <v>45685</v>
      </c>
      <c r="H570" s="1" t="s">
        <v>27</v>
      </c>
      <c r="I570" s="1" t="s">
        <v>18</v>
      </c>
      <c r="J570" s="1">
        <v>3</v>
      </c>
      <c r="K570" s="1" t="s">
        <v>19</v>
      </c>
      <c r="L570" s="1" t="s">
        <v>77</v>
      </c>
      <c r="M570" s="1">
        <f>orders[[#This Row],[Ship Date]]-orders[[#This Row],[Order Date]]</f>
        <v>3</v>
      </c>
      <c r="N570" s="1">
        <f>WEEKNUM(orders[[#This Row],[Order Date]])</f>
        <v>4</v>
      </c>
      <c r="O570" s="1" t="str" cm="1">
        <f t="array" ref="O570">_xlfn.IFS(orders[[#This Row],[Customer Gender]]="M","Male", orders[[#This Row],[Customer Gender]]="F","Female", orders[[#This Row],[Customer Gender]]="O","Other", TRUE,"Unknown")</f>
        <v>Female</v>
      </c>
    </row>
    <row r="571" spans="1:15">
      <c r="A571" s="1" t="s">
        <v>661</v>
      </c>
      <c r="B571" s="1" t="s">
        <v>39</v>
      </c>
      <c r="C571" s="1">
        <v>1</v>
      </c>
      <c r="D571" s="1">
        <v>49.5</v>
      </c>
      <c r="E571" s="11">
        <v>49.5</v>
      </c>
      <c r="F571" s="3">
        <v>45682</v>
      </c>
      <c r="G571" s="3">
        <v>45684</v>
      </c>
      <c r="H571" s="1" t="s">
        <v>23</v>
      </c>
      <c r="I571" s="1" t="s">
        <v>18</v>
      </c>
      <c r="J571" s="1">
        <v>4</v>
      </c>
      <c r="K571" s="1" t="s">
        <v>19</v>
      </c>
      <c r="L571" s="1" t="s">
        <v>82</v>
      </c>
      <c r="M571" s="1">
        <f>orders[[#This Row],[Ship Date]]-orders[[#This Row],[Order Date]]</f>
        <v>2</v>
      </c>
      <c r="N571" s="1">
        <f>WEEKNUM(orders[[#This Row],[Order Date]])</f>
        <v>4</v>
      </c>
      <c r="O571" s="1" t="str" cm="1">
        <f t="array" ref="O571">_xlfn.IFS(orders[[#This Row],[Customer Gender]]="M","Male", orders[[#This Row],[Customer Gender]]="F","Female", orders[[#This Row],[Customer Gender]]="O","Other", TRUE,"Unknown")</f>
        <v>Male</v>
      </c>
    </row>
    <row r="572" spans="1:15">
      <c r="A572" s="1" t="s">
        <v>662</v>
      </c>
      <c r="B572" s="1" t="s">
        <v>26</v>
      </c>
      <c r="C572" s="1">
        <v>2</v>
      </c>
      <c r="D572" s="1">
        <v>96.6</v>
      </c>
      <c r="E572" s="11">
        <v>193.2</v>
      </c>
      <c r="F572" s="3">
        <v>45682</v>
      </c>
      <c r="G572" s="3">
        <v>45684</v>
      </c>
      <c r="H572" s="1" t="s">
        <v>23</v>
      </c>
      <c r="I572" s="1" t="s">
        <v>18</v>
      </c>
      <c r="J572" s="1">
        <v>4</v>
      </c>
      <c r="K572" s="1" t="s">
        <v>19</v>
      </c>
      <c r="L572" s="1" t="s">
        <v>115</v>
      </c>
      <c r="M572" s="1">
        <f>orders[[#This Row],[Ship Date]]-orders[[#This Row],[Order Date]]</f>
        <v>2</v>
      </c>
      <c r="N572" s="1">
        <f>WEEKNUM(orders[[#This Row],[Order Date]])</f>
        <v>4</v>
      </c>
      <c r="O572" s="1" t="str" cm="1">
        <f t="array" ref="O572">_xlfn.IFS(orders[[#This Row],[Customer Gender]]="M","Male", orders[[#This Row],[Customer Gender]]="F","Female", orders[[#This Row],[Customer Gender]]="O","Other", TRUE,"Unknown")</f>
        <v>Male</v>
      </c>
    </row>
    <row r="573" spans="1:15">
      <c r="A573" s="1" t="s">
        <v>663</v>
      </c>
      <c r="B573" s="1" t="s">
        <v>39</v>
      </c>
      <c r="C573" s="1">
        <v>2</v>
      </c>
      <c r="D573" s="1">
        <v>52.8</v>
      </c>
      <c r="E573" s="11">
        <v>105.6</v>
      </c>
      <c r="F573" s="3">
        <v>45682</v>
      </c>
      <c r="G573" s="3">
        <v>45683</v>
      </c>
      <c r="H573" s="1" t="s">
        <v>27</v>
      </c>
      <c r="I573" s="1" t="s">
        <v>35</v>
      </c>
      <c r="J573" s="1">
        <v>3</v>
      </c>
      <c r="K573" s="1" t="s">
        <v>19</v>
      </c>
      <c r="L573" s="1" t="s">
        <v>115</v>
      </c>
      <c r="M573" s="1">
        <f>orders[[#This Row],[Ship Date]]-orders[[#This Row],[Order Date]]</f>
        <v>1</v>
      </c>
      <c r="N573" s="1">
        <f>WEEKNUM(orders[[#This Row],[Order Date]])</f>
        <v>4</v>
      </c>
      <c r="O573" s="1" t="str" cm="1">
        <f t="array" ref="O573">_xlfn.IFS(orders[[#This Row],[Customer Gender]]="M","Male", orders[[#This Row],[Customer Gender]]="F","Female", orders[[#This Row],[Customer Gender]]="O","Other", TRUE,"Unknown")</f>
        <v>Female</v>
      </c>
    </row>
    <row r="574" spans="1:15">
      <c r="A574" s="1" t="s">
        <v>664</v>
      </c>
      <c r="B574" s="1" t="s">
        <v>26</v>
      </c>
      <c r="C574" s="1">
        <v>1</v>
      </c>
      <c r="D574" s="1">
        <v>101.7</v>
      </c>
      <c r="E574" s="11">
        <v>101.7</v>
      </c>
      <c r="F574" s="3">
        <v>45682</v>
      </c>
      <c r="G574" s="3">
        <v>45683</v>
      </c>
      <c r="H574" s="1" t="s">
        <v>23</v>
      </c>
      <c r="I574" s="1" t="s">
        <v>18</v>
      </c>
      <c r="J574" s="1">
        <v>4</v>
      </c>
      <c r="K574" s="1" t="s">
        <v>19</v>
      </c>
      <c r="L574" s="1" t="s">
        <v>24</v>
      </c>
      <c r="M574" s="1">
        <f>orders[[#This Row],[Ship Date]]-orders[[#This Row],[Order Date]]</f>
        <v>1</v>
      </c>
      <c r="N574" s="1">
        <f>WEEKNUM(orders[[#This Row],[Order Date]])</f>
        <v>4</v>
      </c>
      <c r="O574" s="1" t="str" cm="1">
        <f t="array" ref="O574">_xlfn.IFS(orders[[#This Row],[Customer Gender]]="M","Male", orders[[#This Row],[Customer Gender]]="F","Female", orders[[#This Row],[Customer Gender]]="O","Other", TRUE,"Unknown")</f>
        <v>Male</v>
      </c>
    </row>
    <row r="575" spans="1:15">
      <c r="A575" s="1" t="s">
        <v>665</v>
      </c>
      <c r="B575" s="1" t="s">
        <v>32</v>
      </c>
      <c r="C575" s="1">
        <v>5</v>
      </c>
      <c r="D575" s="1">
        <v>26.9</v>
      </c>
      <c r="E575" s="11">
        <v>134.5</v>
      </c>
      <c r="F575" s="3">
        <v>45682</v>
      </c>
      <c r="G575" s="3">
        <v>45687</v>
      </c>
      <c r="H575" s="1" t="s">
        <v>27</v>
      </c>
      <c r="I575" s="1" t="s">
        <v>35</v>
      </c>
      <c r="J575" s="1">
        <v>3</v>
      </c>
      <c r="K575" s="1" t="s">
        <v>19</v>
      </c>
      <c r="L575" s="1" t="s">
        <v>147</v>
      </c>
      <c r="M575" s="1">
        <f>orders[[#This Row],[Ship Date]]-orders[[#This Row],[Order Date]]</f>
        <v>5</v>
      </c>
      <c r="N575" s="1">
        <f>WEEKNUM(orders[[#This Row],[Order Date]])</f>
        <v>4</v>
      </c>
      <c r="O575" s="1" t="str" cm="1">
        <f t="array" ref="O575">_xlfn.IFS(orders[[#This Row],[Customer Gender]]="M","Male", orders[[#This Row],[Customer Gender]]="F","Female", orders[[#This Row],[Customer Gender]]="O","Other", TRUE,"Unknown")</f>
        <v>Female</v>
      </c>
    </row>
    <row r="576" spans="1:15">
      <c r="A576" s="1" t="s">
        <v>666</v>
      </c>
      <c r="B576" s="1" t="s">
        <v>26</v>
      </c>
      <c r="C576" s="1">
        <v>4</v>
      </c>
      <c r="D576" s="1">
        <v>211</v>
      </c>
      <c r="E576" s="11">
        <v>844</v>
      </c>
      <c r="F576" s="3">
        <v>45682</v>
      </c>
      <c r="G576" s="3">
        <v>45682</v>
      </c>
      <c r="H576" s="1" t="s">
        <v>27</v>
      </c>
      <c r="I576" s="1" t="s">
        <v>35</v>
      </c>
      <c r="J576" s="1">
        <v>3</v>
      </c>
      <c r="K576" s="1" t="s">
        <v>19</v>
      </c>
      <c r="L576" s="1" t="s">
        <v>33</v>
      </c>
      <c r="M576" s="1">
        <f>orders[[#This Row],[Ship Date]]-orders[[#This Row],[Order Date]]</f>
        <v>0</v>
      </c>
      <c r="N576" s="1">
        <f>WEEKNUM(orders[[#This Row],[Order Date]])</f>
        <v>4</v>
      </c>
      <c r="O576" s="1" t="str" cm="1">
        <f t="array" ref="O576">_xlfn.IFS(orders[[#This Row],[Customer Gender]]="M","Male", orders[[#This Row],[Customer Gender]]="F","Female", orders[[#This Row],[Customer Gender]]="O","Other", TRUE,"Unknown")</f>
        <v>Female</v>
      </c>
    </row>
    <row r="577" spans="1:15">
      <c r="A577" s="1" t="s">
        <v>667</v>
      </c>
      <c r="B577" s="1" t="s">
        <v>16</v>
      </c>
      <c r="C577" s="1">
        <v>4</v>
      </c>
      <c r="D577" s="1">
        <v>21.1</v>
      </c>
      <c r="E577" s="11">
        <v>84.4</v>
      </c>
      <c r="F577" s="3">
        <v>45682</v>
      </c>
      <c r="G577" s="3">
        <v>45685</v>
      </c>
      <c r="H577" s="1" t="s">
        <v>23</v>
      </c>
      <c r="I577" s="1" t="s">
        <v>70</v>
      </c>
      <c r="J577" s="1">
        <v>4</v>
      </c>
      <c r="K577" s="1" t="s">
        <v>19</v>
      </c>
      <c r="L577" s="1" t="s">
        <v>33</v>
      </c>
      <c r="M577" s="1">
        <f>orders[[#This Row],[Ship Date]]-orders[[#This Row],[Order Date]]</f>
        <v>3</v>
      </c>
      <c r="N577" s="1">
        <f>WEEKNUM(orders[[#This Row],[Order Date]])</f>
        <v>4</v>
      </c>
      <c r="O577" s="1" t="str" cm="1">
        <f t="array" ref="O577">_xlfn.IFS(orders[[#This Row],[Customer Gender]]="M","Male", orders[[#This Row],[Customer Gender]]="F","Female", orders[[#This Row],[Customer Gender]]="O","Other", TRUE,"Unknown")</f>
        <v>Male</v>
      </c>
    </row>
    <row r="578" spans="1:15">
      <c r="A578" s="1" t="s">
        <v>668</v>
      </c>
      <c r="B578" s="1" t="s">
        <v>54</v>
      </c>
      <c r="C578" s="1">
        <v>1</v>
      </c>
      <c r="D578" s="1">
        <v>26.6</v>
      </c>
      <c r="E578" s="11">
        <v>26.6</v>
      </c>
      <c r="F578" s="3">
        <v>45682</v>
      </c>
      <c r="G578" s="3">
        <v>45684</v>
      </c>
      <c r="H578" s="1" t="s">
        <v>23</v>
      </c>
      <c r="I578" s="1" t="s">
        <v>18</v>
      </c>
      <c r="J578" s="1">
        <v>2</v>
      </c>
      <c r="K578" s="1" t="s">
        <v>19</v>
      </c>
      <c r="L578" s="1" t="s">
        <v>33</v>
      </c>
      <c r="M578" s="1">
        <f>orders[[#This Row],[Ship Date]]-orders[[#This Row],[Order Date]]</f>
        <v>2</v>
      </c>
      <c r="N578" s="1">
        <f>WEEKNUM(orders[[#This Row],[Order Date]])</f>
        <v>4</v>
      </c>
      <c r="O578" s="1" t="str" cm="1">
        <f t="array" ref="O578">_xlfn.IFS(orders[[#This Row],[Customer Gender]]="M","Male", orders[[#This Row],[Customer Gender]]="F","Female", orders[[#This Row],[Customer Gender]]="O","Other", TRUE,"Unknown")</f>
        <v>Male</v>
      </c>
    </row>
    <row r="579" spans="1:15">
      <c r="A579" s="1" t="s">
        <v>669</v>
      </c>
      <c r="B579" s="1" t="s">
        <v>69</v>
      </c>
      <c r="C579" s="1">
        <v>4</v>
      </c>
      <c r="D579" s="1">
        <v>51.2</v>
      </c>
      <c r="E579" s="11">
        <v>204.8</v>
      </c>
      <c r="F579" s="3">
        <v>45682</v>
      </c>
      <c r="G579" s="3">
        <v>45683</v>
      </c>
      <c r="H579" s="1" t="s">
        <v>27</v>
      </c>
      <c r="I579" s="1" t="s">
        <v>51</v>
      </c>
      <c r="J579" s="1">
        <v>4</v>
      </c>
      <c r="K579" s="1" t="s">
        <v>19</v>
      </c>
      <c r="L579" s="1" t="s">
        <v>670</v>
      </c>
      <c r="M579" s="1">
        <f>orders[[#This Row],[Ship Date]]-orders[[#This Row],[Order Date]]</f>
        <v>1</v>
      </c>
      <c r="N579" s="1">
        <f>WEEKNUM(orders[[#This Row],[Order Date]])</f>
        <v>4</v>
      </c>
      <c r="O579" s="1" t="str" cm="1">
        <f t="array" ref="O579">_xlfn.IFS(orders[[#This Row],[Customer Gender]]="M","Male", orders[[#This Row],[Customer Gender]]="F","Female", orders[[#This Row],[Customer Gender]]="O","Other", TRUE,"Unknown")</f>
        <v>Female</v>
      </c>
    </row>
    <row r="580" spans="1:15">
      <c r="A580" s="1" t="s">
        <v>671</v>
      </c>
      <c r="B580" s="1" t="s">
        <v>16</v>
      </c>
      <c r="C580" s="1">
        <v>5</v>
      </c>
      <c r="D580" s="1">
        <v>10.6</v>
      </c>
      <c r="E580" s="11">
        <v>53</v>
      </c>
      <c r="F580" s="3">
        <v>45682</v>
      </c>
      <c r="G580" s="3">
        <v>45686</v>
      </c>
      <c r="H580" s="1" t="s">
        <v>27</v>
      </c>
      <c r="I580" s="1" t="s">
        <v>18</v>
      </c>
      <c r="J580" s="1">
        <v>4</v>
      </c>
      <c r="K580" s="1" t="s">
        <v>19</v>
      </c>
      <c r="L580" s="1" t="s">
        <v>62</v>
      </c>
      <c r="M580" s="1">
        <f>orders[[#This Row],[Ship Date]]-orders[[#This Row],[Order Date]]</f>
        <v>4</v>
      </c>
      <c r="N580" s="1">
        <f>WEEKNUM(orders[[#This Row],[Order Date]])</f>
        <v>4</v>
      </c>
      <c r="O580" s="1" t="str" cm="1">
        <f t="array" ref="O580">_xlfn.IFS(orders[[#This Row],[Customer Gender]]="M","Male", orders[[#This Row],[Customer Gender]]="F","Female", orders[[#This Row],[Customer Gender]]="O","Other", TRUE,"Unknown")</f>
        <v>Female</v>
      </c>
    </row>
    <row r="581" spans="1:15">
      <c r="A581" s="1" t="s">
        <v>672</v>
      </c>
      <c r="B581" s="1" t="s">
        <v>39</v>
      </c>
      <c r="C581" s="1">
        <v>3</v>
      </c>
      <c r="D581" s="1">
        <v>43.4</v>
      </c>
      <c r="E581" s="11">
        <v>130.19999999999999</v>
      </c>
      <c r="F581" s="3">
        <v>45682</v>
      </c>
      <c r="G581" s="3">
        <v>45685</v>
      </c>
      <c r="H581" s="1" t="s">
        <v>27</v>
      </c>
      <c r="I581" s="1" t="s">
        <v>70</v>
      </c>
      <c r="J581" s="1">
        <v>4</v>
      </c>
      <c r="K581" s="1" t="s">
        <v>19</v>
      </c>
      <c r="L581" s="1" t="s">
        <v>62</v>
      </c>
      <c r="M581" s="1">
        <f>orders[[#This Row],[Ship Date]]-orders[[#This Row],[Order Date]]</f>
        <v>3</v>
      </c>
      <c r="N581" s="1">
        <f>WEEKNUM(orders[[#This Row],[Order Date]])</f>
        <v>4</v>
      </c>
      <c r="O581" s="1" t="str" cm="1">
        <f t="array" ref="O581">_xlfn.IFS(orders[[#This Row],[Customer Gender]]="M","Male", orders[[#This Row],[Customer Gender]]="F","Female", orders[[#This Row],[Customer Gender]]="O","Other", TRUE,"Unknown")</f>
        <v>Female</v>
      </c>
    </row>
    <row r="582" spans="1:15">
      <c r="A582" s="1" t="s">
        <v>673</v>
      </c>
      <c r="B582" s="1" t="s">
        <v>69</v>
      </c>
      <c r="C582" s="1">
        <v>1</v>
      </c>
      <c r="D582" s="1">
        <v>80</v>
      </c>
      <c r="E582" s="11">
        <v>80</v>
      </c>
      <c r="F582" s="3">
        <v>45682</v>
      </c>
      <c r="G582" s="3">
        <v>45682</v>
      </c>
      <c r="H582" s="1" t="s">
        <v>27</v>
      </c>
      <c r="I582" s="1" t="s">
        <v>18</v>
      </c>
      <c r="J582" s="1">
        <v>5</v>
      </c>
      <c r="K582" s="1" t="s">
        <v>19</v>
      </c>
      <c r="L582" s="1" t="s">
        <v>62</v>
      </c>
      <c r="M582" s="1">
        <f>orders[[#This Row],[Ship Date]]-orders[[#This Row],[Order Date]]</f>
        <v>0</v>
      </c>
      <c r="N582" s="1">
        <f>WEEKNUM(orders[[#This Row],[Order Date]])</f>
        <v>4</v>
      </c>
      <c r="O582" s="1" t="str" cm="1">
        <f t="array" ref="O582">_xlfn.IFS(orders[[#This Row],[Customer Gender]]="M","Male", orders[[#This Row],[Customer Gender]]="F","Female", orders[[#This Row],[Customer Gender]]="O","Other", TRUE,"Unknown")</f>
        <v>Female</v>
      </c>
    </row>
    <row r="583" spans="1:15">
      <c r="A583" s="1" t="s">
        <v>674</v>
      </c>
      <c r="B583" s="1" t="s">
        <v>54</v>
      </c>
      <c r="C583" s="1">
        <v>4</v>
      </c>
      <c r="D583" s="1">
        <v>64.7</v>
      </c>
      <c r="E583" s="11">
        <v>258.8</v>
      </c>
      <c r="F583" s="3">
        <v>45682</v>
      </c>
      <c r="G583" s="3">
        <v>45684</v>
      </c>
      <c r="H583" s="1" t="s">
        <v>27</v>
      </c>
      <c r="I583" s="1" t="s">
        <v>35</v>
      </c>
      <c r="J583" s="1">
        <v>2</v>
      </c>
      <c r="K583" s="1" t="s">
        <v>19</v>
      </c>
      <c r="L583" s="1" t="s">
        <v>62</v>
      </c>
      <c r="M583" s="1">
        <f>orders[[#This Row],[Ship Date]]-orders[[#This Row],[Order Date]]</f>
        <v>2</v>
      </c>
      <c r="N583" s="1">
        <f>WEEKNUM(orders[[#This Row],[Order Date]])</f>
        <v>4</v>
      </c>
      <c r="O583" s="1" t="str" cm="1">
        <f t="array" ref="O583">_xlfn.IFS(orders[[#This Row],[Customer Gender]]="M","Male", orders[[#This Row],[Customer Gender]]="F","Female", orders[[#This Row],[Customer Gender]]="O","Other", TRUE,"Unknown")</f>
        <v>Female</v>
      </c>
    </row>
    <row r="584" spans="1:15">
      <c r="A584" s="1" t="s">
        <v>675</v>
      </c>
      <c r="B584" s="1" t="s">
        <v>44</v>
      </c>
      <c r="C584" s="1">
        <v>11</v>
      </c>
      <c r="D584" s="1">
        <v>26.3</v>
      </c>
      <c r="E584" s="11">
        <v>289.3</v>
      </c>
      <c r="F584" s="3">
        <v>45683</v>
      </c>
      <c r="G584" s="3">
        <v>45683</v>
      </c>
      <c r="H584" s="1" t="s">
        <v>27</v>
      </c>
      <c r="I584" s="1" t="s">
        <v>70</v>
      </c>
      <c r="J584" s="1">
        <v>3</v>
      </c>
      <c r="K584" s="1" t="s">
        <v>19</v>
      </c>
      <c r="L584" s="1" t="s">
        <v>201</v>
      </c>
      <c r="M584" s="1">
        <f>orders[[#This Row],[Ship Date]]-orders[[#This Row],[Order Date]]</f>
        <v>0</v>
      </c>
      <c r="N584" s="1">
        <f>WEEKNUM(orders[[#This Row],[Order Date]])</f>
        <v>5</v>
      </c>
      <c r="O584" s="1" t="str" cm="1">
        <f t="array" ref="O584">_xlfn.IFS(orders[[#This Row],[Customer Gender]]="M","Male", orders[[#This Row],[Customer Gender]]="F","Female", orders[[#This Row],[Customer Gender]]="O","Other", TRUE,"Unknown")</f>
        <v>Female</v>
      </c>
    </row>
    <row r="585" spans="1:15">
      <c r="A585" s="1" t="s">
        <v>676</v>
      </c>
      <c r="B585" s="1" t="s">
        <v>54</v>
      </c>
      <c r="C585" s="1">
        <v>1</v>
      </c>
      <c r="D585" s="1">
        <v>28.5</v>
      </c>
      <c r="E585" s="11">
        <v>28.5</v>
      </c>
      <c r="F585" s="3">
        <v>45683</v>
      </c>
      <c r="G585" s="3">
        <v>45683</v>
      </c>
      <c r="H585" s="1" t="s">
        <v>23</v>
      </c>
      <c r="I585" s="1" t="s">
        <v>18</v>
      </c>
      <c r="J585" s="1">
        <v>3</v>
      </c>
      <c r="K585" s="1" t="s">
        <v>19</v>
      </c>
      <c r="L585" s="1" t="s">
        <v>72</v>
      </c>
      <c r="M585" s="1">
        <f>orders[[#This Row],[Ship Date]]-orders[[#This Row],[Order Date]]</f>
        <v>0</v>
      </c>
      <c r="N585" s="1">
        <f>WEEKNUM(orders[[#This Row],[Order Date]])</f>
        <v>5</v>
      </c>
      <c r="O585" s="1" t="str" cm="1">
        <f t="array" ref="O585">_xlfn.IFS(orders[[#This Row],[Customer Gender]]="M","Male", orders[[#This Row],[Customer Gender]]="F","Female", orders[[#This Row],[Customer Gender]]="O","Other", TRUE,"Unknown")</f>
        <v>Male</v>
      </c>
    </row>
    <row r="586" spans="1:15">
      <c r="A586" s="1" t="s">
        <v>677</v>
      </c>
      <c r="B586" s="1" t="s">
        <v>135</v>
      </c>
      <c r="C586" s="1">
        <v>1</v>
      </c>
      <c r="D586" s="1">
        <v>47.8</v>
      </c>
      <c r="E586" s="11">
        <v>47.8</v>
      </c>
      <c r="F586" s="3">
        <v>45683</v>
      </c>
      <c r="G586" s="3">
        <v>45685</v>
      </c>
      <c r="H586" s="1" t="s">
        <v>27</v>
      </c>
      <c r="I586" s="1" t="s">
        <v>18</v>
      </c>
      <c r="J586" s="1">
        <v>3</v>
      </c>
      <c r="K586" s="1" t="s">
        <v>19</v>
      </c>
      <c r="L586" s="1" t="s">
        <v>72</v>
      </c>
      <c r="M586" s="1">
        <f>orders[[#This Row],[Ship Date]]-orders[[#This Row],[Order Date]]</f>
        <v>2</v>
      </c>
      <c r="N586" s="1">
        <f>WEEKNUM(orders[[#This Row],[Order Date]])</f>
        <v>5</v>
      </c>
      <c r="O586" s="1" t="str" cm="1">
        <f t="array" ref="O586">_xlfn.IFS(orders[[#This Row],[Customer Gender]]="M","Male", orders[[#This Row],[Customer Gender]]="F","Female", orders[[#This Row],[Customer Gender]]="O","Other", TRUE,"Unknown")</f>
        <v>Female</v>
      </c>
    </row>
    <row r="587" spans="1:15">
      <c r="A587" s="1" t="s">
        <v>678</v>
      </c>
      <c r="B587" s="1" t="s">
        <v>54</v>
      </c>
      <c r="C587" s="1">
        <v>3</v>
      </c>
      <c r="D587" s="1">
        <v>42.8</v>
      </c>
      <c r="E587" s="11">
        <v>128.39999999999998</v>
      </c>
      <c r="F587" s="3">
        <v>45683</v>
      </c>
      <c r="G587" s="3">
        <v>45686</v>
      </c>
      <c r="H587" s="1" t="s">
        <v>27</v>
      </c>
      <c r="I587" s="1" t="s">
        <v>70</v>
      </c>
      <c r="J587" s="1">
        <v>3</v>
      </c>
      <c r="K587" s="1" t="s">
        <v>19</v>
      </c>
      <c r="L587" s="1" t="s">
        <v>77</v>
      </c>
      <c r="M587" s="1">
        <f>orders[[#This Row],[Ship Date]]-orders[[#This Row],[Order Date]]</f>
        <v>3</v>
      </c>
      <c r="N587" s="1">
        <f>WEEKNUM(orders[[#This Row],[Order Date]])</f>
        <v>5</v>
      </c>
      <c r="O587" s="1" t="str" cm="1">
        <f t="array" ref="O587">_xlfn.IFS(orders[[#This Row],[Customer Gender]]="M","Male", orders[[#This Row],[Customer Gender]]="F","Female", orders[[#This Row],[Customer Gender]]="O","Other", TRUE,"Unknown")</f>
        <v>Female</v>
      </c>
    </row>
    <row r="588" spans="1:15">
      <c r="A588" s="1" t="s">
        <v>679</v>
      </c>
      <c r="B588" s="1" t="s">
        <v>39</v>
      </c>
      <c r="C588" s="1">
        <v>5</v>
      </c>
      <c r="D588" s="1">
        <v>46.8</v>
      </c>
      <c r="E588" s="11">
        <v>234</v>
      </c>
      <c r="F588" s="3">
        <v>45683</v>
      </c>
      <c r="G588" s="3">
        <v>45688</v>
      </c>
      <c r="H588" s="1" t="s">
        <v>27</v>
      </c>
      <c r="I588" s="1" t="s">
        <v>35</v>
      </c>
      <c r="J588" s="1">
        <v>5</v>
      </c>
      <c r="K588" s="1" t="s">
        <v>19</v>
      </c>
      <c r="L588" s="1" t="s">
        <v>77</v>
      </c>
      <c r="M588" s="1">
        <f>orders[[#This Row],[Ship Date]]-orders[[#This Row],[Order Date]]</f>
        <v>5</v>
      </c>
      <c r="N588" s="1">
        <f>WEEKNUM(orders[[#This Row],[Order Date]])</f>
        <v>5</v>
      </c>
      <c r="O588" s="1" t="str" cm="1">
        <f t="array" ref="O588">_xlfn.IFS(orders[[#This Row],[Customer Gender]]="M","Male", orders[[#This Row],[Customer Gender]]="F","Female", orders[[#This Row],[Customer Gender]]="O","Other", TRUE,"Unknown")</f>
        <v>Female</v>
      </c>
    </row>
    <row r="589" spans="1:15">
      <c r="A589" s="1" t="s">
        <v>680</v>
      </c>
      <c r="B589" s="1" t="s">
        <v>22</v>
      </c>
      <c r="C589" s="1">
        <v>10</v>
      </c>
      <c r="D589" s="1">
        <v>64.099999999999994</v>
      </c>
      <c r="E589" s="11">
        <v>641</v>
      </c>
      <c r="F589" s="3">
        <v>45683</v>
      </c>
      <c r="G589" s="3">
        <v>45684</v>
      </c>
      <c r="H589" s="1" t="s">
        <v>23</v>
      </c>
      <c r="I589" s="1" t="s">
        <v>35</v>
      </c>
      <c r="J589" s="1">
        <v>4</v>
      </c>
      <c r="K589" s="1" t="s">
        <v>19</v>
      </c>
      <c r="L589" s="1" t="s">
        <v>77</v>
      </c>
      <c r="M589" s="1">
        <f>orders[[#This Row],[Ship Date]]-orders[[#This Row],[Order Date]]</f>
        <v>1</v>
      </c>
      <c r="N589" s="1">
        <f>WEEKNUM(orders[[#This Row],[Order Date]])</f>
        <v>5</v>
      </c>
      <c r="O589" s="1" t="str" cm="1">
        <f t="array" ref="O589">_xlfn.IFS(orders[[#This Row],[Customer Gender]]="M","Male", orders[[#This Row],[Customer Gender]]="F","Female", orders[[#This Row],[Customer Gender]]="O","Other", TRUE,"Unknown")</f>
        <v>Male</v>
      </c>
    </row>
    <row r="590" spans="1:15">
      <c r="A590" s="1" t="s">
        <v>681</v>
      </c>
      <c r="B590" s="1" t="s">
        <v>26</v>
      </c>
      <c r="C590" s="1">
        <v>1</v>
      </c>
      <c r="D590" s="1">
        <v>89.1</v>
      </c>
      <c r="E590" s="11">
        <v>89.1</v>
      </c>
      <c r="F590" s="3">
        <v>45683</v>
      </c>
      <c r="G590" s="3">
        <v>45684</v>
      </c>
      <c r="H590" s="1" t="s">
        <v>27</v>
      </c>
      <c r="I590" s="1" t="s">
        <v>18</v>
      </c>
      <c r="J590" s="1">
        <v>3</v>
      </c>
      <c r="K590" s="1" t="s">
        <v>19</v>
      </c>
      <c r="L590" s="1" t="s">
        <v>113</v>
      </c>
      <c r="M590" s="1">
        <f>orders[[#This Row],[Ship Date]]-orders[[#This Row],[Order Date]]</f>
        <v>1</v>
      </c>
      <c r="N590" s="1">
        <f>WEEKNUM(orders[[#This Row],[Order Date]])</f>
        <v>5</v>
      </c>
      <c r="O590" s="1" t="str" cm="1">
        <f t="array" ref="O590">_xlfn.IFS(orders[[#This Row],[Customer Gender]]="M","Male", orders[[#This Row],[Customer Gender]]="F","Female", orders[[#This Row],[Customer Gender]]="O","Other", TRUE,"Unknown")</f>
        <v>Female</v>
      </c>
    </row>
    <row r="591" spans="1:15">
      <c r="A591" s="1" t="s">
        <v>682</v>
      </c>
      <c r="B591" s="1" t="s">
        <v>26</v>
      </c>
      <c r="C591" s="1">
        <v>3</v>
      </c>
      <c r="D591" s="1">
        <v>83.1</v>
      </c>
      <c r="E591" s="11">
        <v>249.29999999999998</v>
      </c>
      <c r="F591" s="3">
        <v>45683</v>
      </c>
      <c r="G591" s="3">
        <v>45684</v>
      </c>
      <c r="H591" s="1" t="s">
        <v>27</v>
      </c>
      <c r="I591" s="1" t="s">
        <v>40</v>
      </c>
      <c r="J591" s="1">
        <v>3</v>
      </c>
      <c r="K591" s="1" t="s">
        <v>19</v>
      </c>
      <c r="L591" s="1" t="s">
        <v>82</v>
      </c>
      <c r="M591" s="1">
        <f>orders[[#This Row],[Ship Date]]-orders[[#This Row],[Order Date]]</f>
        <v>1</v>
      </c>
      <c r="N591" s="1">
        <f>WEEKNUM(orders[[#This Row],[Order Date]])</f>
        <v>5</v>
      </c>
      <c r="O591" s="1" t="str" cm="1">
        <f t="array" ref="O591">_xlfn.IFS(orders[[#This Row],[Customer Gender]]="M","Male", orders[[#This Row],[Customer Gender]]="F","Female", orders[[#This Row],[Customer Gender]]="O","Other", TRUE,"Unknown")</f>
        <v>Female</v>
      </c>
    </row>
    <row r="592" spans="1:15">
      <c r="A592" s="1" t="s">
        <v>683</v>
      </c>
      <c r="B592" s="1" t="s">
        <v>44</v>
      </c>
      <c r="C592" s="1">
        <v>3</v>
      </c>
      <c r="D592" s="1">
        <v>40.9</v>
      </c>
      <c r="E592" s="11">
        <v>122.69999999999999</v>
      </c>
      <c r="F592" s="3">
        <v>45683</v>
      </c>
      <c r="G592" s="3">
        <v>45684</v>
      </c>
      <c r="H592" s="1" t="s">
        <v>23</v>
      </c>
      <c r="I592" s="1" t="s">
        <v>18</v>
      </c>
      <c r="J592" s="1">
        <v>4</v>
      </c>
      <c r="K592" s="1" t="s">
        <v>19</v>
      </c>
      <c r="L592" s="1" t="s">
        <v>24</v>
      </c>
      <c r="M592" s="1">
        <f>orders[[#This Row],[Ship Date]]-orders[[#This Row],[Order Date]]</f>
        <v>1</v>
      </c>
      <c r="N592" s="1">
        <f>WEEKNUM(orders[[#This Row],[Order Date]])</f>
        <v>5</v>
      </c>
      <c r="O592" s="1" t="str" cm="1">
        <f t="array" ref="O592">_xlfn.IFS(orders[[#This Row],[Customer Gender]]="M","Male", orders[[#This Row],[Customer Gender]]="F","Female", orders[[#This Row],[Customer Gender]]="O","Other", TRUE,"Unknown")</f>
        <v>Male</v>
      </c>
    </row>
    <row r="593" spans="1:15">
      <c r="A593" s="1" t="s">
        <v>684</v>
      </c>
      <c r="B593" s="1" t="s">
        <v>26</v>
      </c>
      <c r="C593" s="1">
        <v>2</v>
      </c>
      <c r="D593" s="1">
        <v>125.7</v>
      </c>
      <c r="E593" s="11">
        <v>251.4</v>
      </c>
      <c r="F593" s="3">
        <v>45683</v>
      </c>
      <c r="G593" s="3">
        <v>45684</v>
      </c>
      <c r="H593" s="1" t="s">
        <v>27</v>
      </c>
      <c r="I593" s="1" t="s">
        <v>51</v>
      </c>
      <c r="J593" s="1">
        <v>4</v>
      </c>
      <c r="K593" s="1" t="s">
        <v>19</v>
      </c>
      <c r="L593" s="1" t="s">
        <v>28</v>
      </c>
      <c r="M593" s="1">
        <f>orders[[#This Row],[Ship Date]]-orders[[#This Row],[Order Date]]</f>
        <v>1</v>
      </c>
      <c r="N593" s="1">
        <f>WEEKNUM(orders[[#This Row],[Order Date]])</f>
        <v>5</v>
      </c>
      <c r="O593" s="1" t="str" cm="1">
        <f t="array" ref="O593">_xlfn.IFS(orders[[#This Row],[Customer Gender]]="M","Male", orders[[#This Row],[Customer Gender]]="F","Female", orders[[#This Row],[Customer Gender]]="O","Other", TRUE,"Unknown")</f>
        <v>Female</v>
      </c>
    </row>
    <row r="594" spans="1:15">
      <c r="A594" s="1" t="s">
        <v>685</v>
      </c>
      <c r="B594" s="1" t="s">
        <v>30</v>
      </c>
      <c r="C594" s="1">
        <v>2</v>
      </c>
      <c r="D594" s="1">
        <v>30.9</v>
      </c>
      <c r="E594" s="11">
        <v>61.8</v>
      </c>
      <c r="F594" s="3">
        <v>45683</v>
      </c>
      <c r="G594" s="3">
        <v>45683</v>
      </c>
      <c r="H594" s="1" t="s">
        <v>27</v>
      </c>
      <c r="I594" s="1" t="s">
        <v>40</v>
      </c>
      <c r="J594" s="1">
        <v>5</v>
      </c>
      <c r="K594" s="1" t="s">
        <v>19</v>
      </c>
      <c r="L594" s="1" t="s">
        <v>147</v>
      </c>
      <c r="M594" s="1">
        <f>orders[[#This Row],[Ship Date]]-orders[[#This Row],[Order Date]]</f>
        <v>0</v>
      </c>
      <c r="N594" s="1">
        <f>WEEKNUM(orders[[#This Row],[Order Date]])</f>
        <v>5</v>
      </c>
      <c r="O594" s="1" t="str" cm="1">
        <f t="array" ref="O594">_xlfn.IFS(orders[[#This Row],[Customer Gender]]="M","Male", orders[[#This Row],[Customer Gender]]="F","Female", orders[[#This Row],[Customer Gender]]="O","Other", TRUE,"Unknown")</f>
        <v>Female</v>
      </c>
    </row>
    <row r="595" spans="1:15">
      <c r="A595" s="1" t="s">
        <v>686</v>
      </c>
      <c r="B595" s="1" t="s">
        <v>44</v>
      </c>
      <c r="C595" s="1">
        <v>2</v>
      </c>
      <c r="D595" s="1">
        <v>18.3</v>
      </c>
      <c r="E595" s="11">
        <v>36.6</v>
      </c>
      <c r="F595" s="3">
        <v>45683</v>
      </c>
      <c r="G595" s="3">
        <v>45684</v>
      </c>
      <c r="H595" s="1" t="s">
        <v>27</v>
      </c>
      <c r="I595" s="1" t="s">
        <v>35</v>
      </c>
      <c r="J595" s="1">
        <v>4</v>
      </c>
      <c r="K595" s="1" t="s">
        <v>19</v>
      </c>
      <c r="L595" s="1" t="s">
        <v>33</v>
      </c>
      <c r="M595" s="1">
        <f>orders[[#This Row],[Ship Date]]-orders[[#This Row],[Order Date]]</f>
        <v>1</v>
      </c>
      <c r="N595" s="1">
        <f>WEEKNUM(orders[[#This Row],[Order Date]])</f>
        <v>5</v>
      </c>
      <c r="O595" s="1" t="str" cm="1">
        <f t="array" ref="O595">_xlfn.IFS(orders[[#This Row],[Customer Gender]]="M","Male", orders[[#This Row],[Customer Gender]]="F","Female", orders[[#This Row],[Customer Gender]]="O","Other", TRUE,"Unknown")</f>
        <v>Female</v>
      </c>
    </row>
    <row r="596" spans="1:15">
      <c r="A596" s="1" t="s">
        <v>687</v>
      </c>
      <c r="B596" s="1" t="s">
        <v>32</v>
      </c>
      <c r="C596" s="1">
        <v>2</v>
      </c>
      <c r="D596" s="1">
        <v>56.5</v>
      </c>
      <c r="E596" s="11">
        <v>113</v>
      </c>
      <c r="F596" s="3">
        <v>45683</v>
      </c>
      <c r="G596" s="3">
        <v>45687</v>
      </c>
      <c r="H596" s="1" t="s">
        <v>23</v>
      </c>
      <c r="I596" s="1" t="s">
        <v>40</v>
      </c>
      <c r="J596" s="1">
        <v>5</v>
      </c>
      <c r="K596" s="1" t="s">
        <v>19</v>
      </c>
      <c r="L596" s="1" t="s">
        <v>33</v>
      </c>
      <c r="M596" s="1">
        <f>orders[[#This Row],[Ship Date]]-orders[[#This Row],[Order Date]]</f>
        <v>4</v>
      </c>
      <c r="N596" s="1">
        <f>WEEKNUM(orders[[#This Row],[Order Date]])</f>
        <v>5</v>
      </c>
      <c r="O596" s="1" t="str" cm="1">
        <f t="array" ref="O596">_xlfn.IFS(orders[[#This Row],[Customer Gender]]="M","Male", orders[[#This Row],[Customer Gender]]="F","Female", orders[[#This Row],[Customer Gender]]="O","Other", TRUE,"Unknown")</f>
        <v>Male</v>
      </c>
    </row>
    <row r="597" spans="1:15">
      <c r="A597" s="1" t="s">
        <v>688</v>
      </c>
      <c r="B597" s="1" t="s">
        <v>54</v>
      </c>
      <c r="C597" s="1">
        <v>7</v>
      </c>
      <c r="D597" s="1">
        <v>29.9</v>
      </c>
      <c r="E597" s="11">
        <v>209.29999999999998</v>
      </c>
      <c r="F597" s="3">
        <v>45683</v>
      </c>
      <c r="G597" s="3">
        <v>45685</v>
      </c>
      <c r="H597" s="1" t="s">
        <v>23</v>
      </c>
      <c r="I597" s="1" t="s">
        <v>70</v>
      </c>
      <c r="J597" s="1">
        <v>5</v>
      </c>
      <c r="K597" s="1" t="s">
        <v>19</v>
      </c>
      <c r="L597" s="1" t="s">
        <v>33</v>
      </c>
      <c r="M597" s="1">
        <f>orders[[#This Row],[Ship Date]]-orders[[#This Row],[Order Date]]</f>
        <v>2</v>
      </c>
      <c r="N597" s="1">
        <f>WEEKNUM(orders[[#This Row],[Order Date]])</f>
        <v>5</v>
      </c>
      <c r="O597" s="1" t="str" cm="1">
        <f t="array" ref="O597">_xlfn.IFS(orders[[#This Row],[Customer Gender]]="M","Male", orders[[#This Row],[Customer Gender]]="F","Female", orders[[#This Row],[Customer Gender]]="O","Other", TRUE,"Unknown")</f>
        <v>Male</v>
      </c>
    </row>
    <row r="598" spans="1:15">
      <c r="A598" s="1" t="s">
        <v>689</v>
      </c>
      <c r="B598" s="1" t="s">
        <v>37</v>
      </c>
      <c r="C598" s="1">
        <v>2</v>
      </c>
      <c r="D598" s="1">
        <v>50.4</v>
      </c>
      <c r="E598" s="11">
        <v>100.8</v>
      </c>
      <c r="F598" s="3">
        <v>45683</v>
      </c>
      <c r="G598" s="3">
        <v>45684</v>
      </c>
      <c r="H598" s="1" t="s">
        <v>27</v>
      </c>
      <c r="I598" s="1" t="s">
        <v>40</v>
      </c>
      <c r="J598" s="1">
        <v>4</v>
      </c>
      <c r="K598" s="1" t="s">
        <v>19</v>
      </c>
      <c r="L598" s="1" t="s">
        <v>33</v>
      </c>
      <c r="M598" s="1">
        <f>orders[[#This Row],[Ship Date]]-orders[[#This Row],[Order Date]]</f>
        <v>1</v>
      </c>
      <c r="N598" s="1">
        <f>WEEKNUM(orders[[#This Row],[Order Date]])</f>
        <v>5</v>
      </c>
      <c r="O598" s="1" t="str" cm="1">
        <f t="array" ref="O598">_xlfn.IFS(orders[[#This Row],[Customer Gender]]="M","Male", orders[[#This Row],[Customer Gender]]="F","Female", orders[[#This Row],[Customer Gender]]="O","Other", TRUE,"Unknown")</f>
        <v>Female</v>
      </c>
    </row>
    <row r="599" spans="1:15">
      <c r="A599" s="1" t="s">
        <v>690</v>
      </c>
      <c r="B599" s="1" t="s">
        <v>26</v>
      </c>
      <c r="C599" s="1">
        <v>1</v>
      </c>
      <c r="D599" s="1">
        <v>85.8</v>
      </c>
      <c r="E599" s="11">
        <v>85.8</v>
      </c>
      <c r="F599" s="3">
        <v>45683</v>
      </c>
      <c r="G599" s="3">
        <v>45683</v>
      </c>
      <c r="H599" s="1" t="s">
        <v>27</v>
      </c>
      <c r="I599" s="1" t="s">
        <v>40</v>
      </c>
      <c r="J599" s="1">
        <v>5</v>
      </c>
      <c r="K599" s="1" t="s">
        <v>19</v>
      </c>
      <c r="L599" s="1" t="s">
        <v>33</v>
      </c>
      <c r="M599" s="1">
        <f>orders[[#This Row],[Ship Date]]-orders[[#This Row],[Order Date]]</f>
        <v>0</v>
      </c>
      <c r="N599" s="1">
        <f>WEEKNUM(orders[[#This Row],[Order Date]])</f>
        <v>5</v>
      </c>
      <c r="O599" s="1" t="str" cm="1">
        <f t="array" ref="O599">_xlfn.IFS(orders[[#This Row],[Customer Gender]]="M","Male", orders[[#This Row],[Customer Gender]]="F","Female", orders[[#This Row],[Customer Gender]]="O","Other", TRUE,"Unknown")</f>
        <v>Female</v>
      </c>
    </row>
    <row r="600" spans="1:15">
      <c r="A600" s="1" t="s">
        <v>691</v>
      </c>
      <c r="B600" s="1" t="s">
        <v>32</v>
      </c>
      <c r="C600" s="1">
        <v>16</v>
      </c>
      <c r="D600" s="1">
        <v>66.599999999999994</v>
      </c>
      <c r="E600" s="11">
        <v>1065.5999999999999</v>
      </c>
      <c r="F600" s="3">
        <v>45683</v>
      </c>
      <c r="G600" s="3">
        <v>45685</v>
      </c>
      <c r="H600" s="1" t="s">
        <v>23</v>
      </c>
      <c r="I600" s="1" t="s">
        <v>35</v>
      </c>
      <c r="J600" s="1">
        <v>4</v>
      </c>
      <c r="K600" s="1" t="s">
        <v>19</v>
      </c>
      <c r="L600" s="1" t="s">
        <v>33</v>
      </c>
      <c r="M600" s="1">
        <f>orders[[#This Row],[Ship Date]]-orders[[#This Row],[Order Date]]</f>
        <v>2</v>
      </c>
      <c r="N600" s="1">
        <f>WEEKNUM(orders[[#This Row],[Order Date]])</f>
        <v>5</v>
      </c>
      <c r="O600" s="1" t="str" cm="1">
        <f t="array" ref="O600">_xlfn.IFS(orders[[#This Row],[Customer Gender]]="M","Male", orders[[#This Row],[Customer Gender]]="F","Female", orders[[#This Row],[Customer Gender]]="O","Other", TRUE,"Unknown")</f>
        <v>Male</v>
      </c>
    </row>
    <row r="601" spans="1:15">
      <c r="A601" s="1" t="s">
        <v>692</v>
      </c>
      <c r="B601" s="1" t="s">
        <v>39</v>
      </c>
      <c r="C601" s="1">
        <v>4</v>
      </c>
      <c r="D601" s="1">
        <v>70.3</v>
      </c>
      <c r="E601" s="11">
        <v>281.2</v>
      </c>
      <c r="F601" s="3">
        <v>45683</v>
      </c>
      <c r="G601" s="3">
        <v>45684</v>
      </c>
      <c r="H601" s="1" t="s">
        <v>27</v>
      </c>
      <c r="I601" s="1" t="s">
        <v>18</v>
      </c>
      <c r="J601" s="1">
        <v>3</v>
      </c>
      <c r="K601" s="1" t="s">
        <v>19</v>
      </c>
      <c r="L601" s="1" t="s">
        <v>33</v>
      </c>
      <c r="M601" s="1">
        <f>orders[[#This Row],[Ship Date]]-orders[[#This Row],[Order Date]]</f>
        <v>1</v>
      </c>
      <c r="N601" s="1">
        <f>WEEKNUM(orders[[#This Row],[Order Date]])</f>
        <v>5</v>
      </c>
      <c r="O601" s="1" t="str" cm="1">
        <f t="array" ref="O601">_xlfn.IFS(orders[[#This Row],[Customer Gender]]="M","Male", orders[[#This Row],[Customer Gender]]="F","Female", orders[[#This Row],[Customer Gender]]="O","Other", TRUE,"Unknown")</f>
        <v>Female</v>
      </c>
    </row>
    <row r="602" spans="1:15">
      <c r="A602" s="1" t="s">
        <v>693</v>
      </c>
      <c r="B602" s="1" t="s">
        <v>44</v>
      </c>
      <c r="C602" s="1">
        <v>4</v>
      </c>
      <c r="D602" s="1">
        <v>31</v>
      </c>
      <c r="E602" s="11">
        <v>124</v>
      </c>
      <c r="F602" s="3">
        <v>45683</v>
      </c>
      <c r="G602" s="3">
        <v>45686</v>
      </c>
      <c r="H602" s="1" t="s">
        <v>23</v>
      </c>
      <c r="I602" s="1" t="s">
        <v>18</v>
      </c>
      <c r="J602" s="1">
        <v>5</v>
      </c>
      <c r="K602" s="1" t="s">
        <v>19</v>
      </c>
      <c r="L602" s="1" t="s">
        <v>33</v>
      </c>
      <c r="M602" s="1">
        <f>orders[[#This Row],[Ship Date]]-orders[[#This Row],[Order Date]]</f>
        <v>3</v>
      </c>
      <c r="N602" s="1">
        <f>WEEKNUM(orders[[#This Row],[Order Date]])</f>
        <v>5</v>
      </c>
      <c r="O602" s="1" t="str" cm="1">
        <f t="array" ref="O602">_xlfn.IFS(orders[[#This Row],[Customer Gender]]="M","Male", orders[[#This Row],[Customer Gender]]="F","Female", orders[[#This Row],[Customer Gender]]="O","Other", TRUE,"Unknown")</f>
        <v>Male</v>
      </c>
    </row>
    <row r="603" spans="1:15">
      <c r="A603" s="1" t="s">
        <v>694</v>
      </c>
      <c r="B603" s="1" t="s">
        <v>42</v>
      </c>
      <c r="C603" s="1">
        <v>6</v>
      </c>
      <c r="D603" s="1">
        <v>81.599999999999994</v>
      </c>
      <c r="E603" s="11">
        <v>489.59999999999997</v>
      </c>
      <c r="F603" s="3">
        <v>45683</v>
      </c>
      <c r="G603" s="3">
        <v>45684</v>
      </c>
      <c r="H603" s="1" t="s">
        <v>27</v>
      </c>
      <c r="I603" s="1" t="s">
        <v>35</v>
      </c>
      <c r="J603" s="1">
        <v>3</v>
      </c>
      <c r="K603" s="1" t="s">
        <v>19</v>
      </c>
      <c r="L603" s="1" t="s">
        <v>364</v>
      </c>
      <c r="M603" s="1">
        <f>orders[[#This Row],[Ship Date]]-orders[[#This Row],[Order Date]]</f>
        <v>1</v>
      </c>
      <c r="N603" s="1">
        <f>WEEKNUM(orders[[#This Row],[Order Date]])</f>
        <v>5</v>
      </c>
      <c r="O603" s="1" t="str" cm="1">
        <f t="array" ref="O603">_xlfn.IFS(orders[[#This Row],[Customer Gender]]="M","Male", orders[[#This Row],[Customer Gender]]="F","Female", orders[[#This Row],[Customer Gender]]="O","Other", TRUE,"Unknown")</f>
        <v>Female</v>
      </c>
    </row>
    <row r="604" spans="1:15">
      <c r="A604" s="1" t="s">
        <v>695</v>
      </c>
      <c r="B604" s="1" t="s">
        <v>22</v>
      </c>
      <c r="C604" s="1">
        <v>25</v>
      </c>
      <c r="D604" s="1">
        <v>58.3</v>
      </c>
      <c r="E604" s="11">
        <v>1457.5</v>
      </c>
      <c r="F604" s="3">
        <v>45683</v>
      </c>
      <c r="G604" s="3">
        <v>45684</v>
      </c>
      <c r="H604" s="1" t="s">
        <v>27</v>
      </c>
      <c r="I604" s="1" t="s">
        <v>18</v>
      </c>
      <c r="J604" s="1">
        <v>4</v>
      </c>
      <c r="K604" s="1" t="s">
        <v>19</v>
      </c>
      <c r="L604" s="1" t="s">
        <v>98</v>
      </c>
      <c r="M604" s="1">
        <f>orders[[#This Row],[Ship Date]]-orders[[#This Row],[Order Date]]</f>
        <v>1</v>
      </c>
      <c r="N604" s="1">
        <f>WEEKNUM(orders[[#This Row],[Order Date]])</f>
        <v>5</v>
      </c>
      <c r="O604" s="1" t="str" cm="1">
        <f t="array" ref="O604">_xlfn.IFS(orders[[#This Row],[Customer Gender]]="M","Male", orders[[#This Row],[Customer Gender]]="F","Female", orders[[#This Row],[Customer Gender]]="O","Other", TRUE,"Unknown")</f>
        <v>Female</v>
      </c>
    </row>
    <row r="605" spans="1:15">
      <c r="A605" s="1" t="s">
        <v>696</v>
      </c>
      <c r="B605" s="1" t="s">
        <v>22</v>
      </c>
      <c r="C605" s="1">
        <v>4</v>
      </c>
      <c r="D605" s="1">
        <v>35.1</v>
      </c>
      <c r="E605" s="11">
        <v>140.4</v>
      </c>
      <c r="F605" s="3">
        <v>45683</v>
      </c>
      <c r="G605" s="3">
        <v>45685</v>
      </c>
      <c r="H605" s="1" t="s">
        <v>23</v>
      </c>
      <c r="I605" s="1" t="s">
        <v>18</v>
      </c>
      <c r="J605" s="1">
        <v>5</v>
      </c>
      <c r="K605" s="1" t="s">
        <v>19</v>
      </c>
      <c r="L605" s="1" t="s">
        <v>62</v>
      </c>
      <c r="M605" s="1">
        <f>orders[[#This Row],[Ship Date]]-orders[[#This Row],[Order Date]]</f>
        <v>2</v>
      </c>
      <c r="N605" s="1">
        <f>WEEKNUM(orders[[#This Row],[Order Date]])</f>
        <v>5</v>
      </c>
      <c r="O605" s="1" t="str" cm="1">
        <f t="array" ref="O605">_xlfn.IFS(orders[[#This Row],[Customer Gender]]="M","Male", orders[[#This Row],[Customer Gender]]="F","Female", orders[[#This Row],[Customer Gender]]="O","Other", TRUE,"Unknown")</f>
        <v>Male</v>
      </c>
    </row>
    <row r="606" spans="1:15">
      <c r="A606" s="1" t="s">
        <v>697</v>
      </c>
      <c r="B606" s="1" t="s">
        <v>26</v>
      </c>
      <c r="C606" s="1">
        <v>1</v>
      </c>
      <c r="D606" s="1">
        <v>80.2</v>
      </c>
      <c r="E606" s="11">
        <v>80.2</v>
      </c>
      <c r="F606" s="3">
        <v>45683</v>
      </c>
      <c r="G606" s="3">
        <v>45684</v>
      </c>
      <c r="H606" s="1" t="s">
        <v>23</v>
      </c>
      <c r="I606" s="1" t="s">
        <v>51</v>
      </c>
      <c r="J606" s="1">
        <v>5</v>
      </c>
      <c r="K606" s="1" t="s">
        <v>19</v>
      </c>
      <c r="L606" s="1" t="s">
        <v>62</v>
      </c>
      <c r="M606" s="1">
        <f>orders[[#This Row],[Ship Date]]-orders[[#This Row],[Order Date]]</f>
        <v>1</v>
      </c>
      <c r="N606" s="1">
        <f>WEEKNUM(orders[[#This Row],[Order Date]])</f>
        <v>5</v>
      </c>
      <c r="O606" s="1" t="str" cm="1">
        <f t="array" ref="O606">_xlfn.IFS(orders[[#This Row],[Customer Gender]]="M","Male", orders[[#This Row],[Customer Gender]]="F","Female", orders[[#This Row],[Customer Gender]]="O","Other", TRUE,"Unknown")</f>
        <v>Male</v>
      </c>
    </row>
    <row r="607" spans="1:15">
      <c r="A607" s="1" t="s">
        <v>698</v>
      </c>
      <c r="B607" s="1" t="s">
        <v>81</v>
      </c>
      <c r="C607" s="1">
        <v>3</v>
      </c>
      <c r="D607" s="1">
        <v>39.200000000000003</v>
      </c>
      <c r="E607" s="11">
        <v>117.60000000000001</v>
      </c>
      <c r="F607" s="3">
        <v>45683</v>
      </c>
      <c r="G607" s="3">
        <v>45685</v>
      </c>
      <c r="H607" s="1" t="s">
        <v>27</v>
      </c>
      <c r="I607" s="1" t="s">
        <v>35</v>
      </c>
      <c r="J607" s="1">
        <v>4</v>
      </c>
      <c r="K607" s="1" t="s">
        <v>19</v>
      </c>
      <c r="L607" s="1" t="s">
        <v>72</v>
      </c>
      <c r="M607" s="1">
        <f>orders[[#This Row],[Ship Date]]-orders[[#This Row],[Order Date]]</f>
        <v>2</v>
      </c>
      <c r="N607" s="1">
        <f>WEEKNUM(orders[[#This Row],[Order Date]])</f>
        <v>5</v>
      </c>
      <c r="O607" s="1" t="str" cm="1">
        <f t="array" ref="O607">_xlfn.IFS(orders[[#This Row],[Customer Gender]]="M","Male", orders[[#This Row],[Customer Gender]]="F","Female", orders[[#This Row],[Customer Gender]]="O","Other", TRUE,"Unknown")</f>
        <v>Female</v>
      </c>
    </row>
    <row r="608" spans="1:15">
      <c r="A608" s="1" t="s">
        <v>699</v>
      </c>
      <c r="B608" s="1" t="s">
        <v>16</v>
      </c>
      <c r="C608" s="1">
        <v>2</v>
      </c>
      <c r="D608" s="1">
        <v>15.4</v>
      </c>
      <c r="E608" s="11">
        <v>30.8</v>
      </c>
      <c r="F608" s="3">
        <v>45683</v>
      </c>
      <c r="G608" s="3">
        <v>45683</v>
      </c>
      <c r="H608" s="1" t="s">
        <v>27</v>
      </c>
      <c r="I608" s="1" t="s">
        <v>51</v>
      </c>
      <c r="J608" s="1">
        <v>4</v>
      </c>
      <c r="K608" s="1" t="s">
        <v>19</v>
      </c>
      <c r="L608" s="1" t="s">
        <v>700</v>
      </c>
      <c r="M608" s="1">
        <f>orders[[#This Row],[Ship Date]]-orders[[#This Row],[Order Date]]</f>
        <v>0</v>
      </c>
      <c r="N608" s="1">
        <f>WEEKNUM(orders[[#This Row],[Order Date]])</f>
        <v>5</v>
      </c>
      <c r="O608" s="1" t="str" cm="1">
        <f t="array" ref="O608">_xlfn.IFS(orders[[#This Row],[Customer Gender]]="M","Male", orders[[#This Row],[Customer Gender]]="F","Female", orders[[#This Row],[Customer Gender]]="O","Other", TRUE,"Unknown")</f>
        <v>Female</v>
      </c>
    </row>
    <row r="609" spans="1:15">
      <c r="A609" s="1" t="s">
        <v>701</v>
      </c>
      <c r="B609" s="1" t="s">
        <v>30</v>
      </c>
      <c r="C609" s="1">
        <v>3</v>
      </c>
      <c r="D609" s="1">
        <v>65.400000000000006</v>
      </c>
      <c r="E609" s="11">
        <v>196.20000000000002</v>
      </c>
      <c r="F609" s="3">
        <v>45683</v>
      </c>
      <c r="G609" s="3">
        <v>45686</v>
      </c>
      <c r="H609" s="1" t="s">
        <v>23</v>
      </c>
      <c r="I609" s="1" t="s">
        <v>51</v>
      </c>
      <c r="J609" s="1">
        <v>4</v>
      </c>
      <c r="K609" s="1" t="s">
        <v>19</v>
      </c>
      <c r="L609" s="1" t="s">
        <v>108</v>
      </c>
      <c r="M609" s="1">
        <f>orders[[#This Row],[Ship Date]]-orders[[#This Row],[Order Date]]</f>
        <v>3</v>
      </c>
      <c r="N609" s="1">
        <f>WEEKNUM(orders[[#This Row],[Order Date]])</f>
        <v>5</v>
      </c>
      <c r="O609" s="1" t="str" cm="1">
        <f t="array" ref="O609">_xlfn.IFS(orders[[#This Row],[Customer Gender]]="M","Male", orders[[#This Row],[Customer Gender]]="F","Female", orders[[#This Row],[Customer Gender]]="O","Other", TRUE,"Unknown")</f>
        <v>Male</v>
      </c>
    </row>
    <row r="610" spans="1:15">
      <c r="A610" s="1" t="s">
        <v>702</v>
      </c>
      <c r="B610" s="1" t="s">
        <v>22</v>
      </c>
      <c r="C610" s="1">
        <v>8</v>
      </c>
      <c r="D610" s="1">
        <v>63.2</v>
      </c>
      <c r="E610" s="11">
        <v>505.6</v>
      </c>
      <c r="F610" s="3">
        <v>45683</v>
      </c>
      <c r="G610" s="3">
        <v>45685</v>
      </c>
      <c r="H610" s="1" t="s">
        <v>27</v>
      </c>
      <c r="I610" s="1" t="s">
        <v>35</v>
      </c>
      <c r="J610" s="1">
        <v>4</v>
      </c>
      <c r="K610" s="1" t="s">
        <v>19</v>
      </c>
      <c r="L610" s="1" t="s">
        <v>110</v>
      </c>
      <c r="M610" s="1">
        <f>orders[[#This Row],[Ship Date]]-orders[[#This Row],[Order Date]]</f>
        <v>2</v>
      </c>
      <c r="N610" s="1">
        <f>WEEKNUM(orders[[#This Row],[Order Date]])</f>
        <v>5</v>
      </c>
      <c r="O610" s="1" t="str" cm="1">
        <f t="array" ref="O610">_xlfn.IFS(orders[[#This Row],[Customer Gender]]="M","Male", orders[[#This Row],[Customer Gender]]="F","Female", orders[[#This Row],[Customer Gender]]="O","Other", TRUE,"Unknown")</f>
        <v>Female</v>
      </c>
    </row>
    <row r="611" spans="1:15">
      <c r="A611" s="1" t="s">
        <v>703</v>
      </c>
      <c r="B611" s="1" t="s">
        <v>22</v>
      </c>
      <c r="C611" s="1">
        <v>6</v>
      </c>
      <c r="D611" s="1">
        <v>35.700000000000003</v>
      </c>
      <c r="E611" s="11">
        <v>214.20000000000002</v>
      </c>
      <c r="F611" s="3">
        <v>45683</v>
      </c>
      <c r="G611" s="3">
        <v>45687</v>
      </c>
      <c r="H611" s="1" t="s">
        <v>27</v>
      </c>
      <c r="I611" s="1" t="s">
        <v>70</v>
      </c>
      <c r="J611" s="1">
        <v>3</v>
      </c>
      <c r="K611" s="1" t="s">
        <v>19</v>
      </c>
      <c r="L611" s="1" t="s">
        <v>110</v>
      </c>
      <c r="M611" s="1">
        <f>orders[[#This Row],[Ship Date]]-orders[[#This Row],[Order Date]]</f>
        <v>4</v>
      </c>
      <c r="N611" s="1">
        <f>WEEKNUM(orders[[#This Row],[Order Date]])</f>
        <v>5</v>
      </c>
      <c r="O611" s="1" t="str" cm="1">
        <f t="array" ref="O611">_xlfn.IFS(orders[[#This Row],[Customer Gender]]="M","Male", orders[[#This Row],[Customer Gender]]="F","Female", orders[[#This Row],[Customer Gender]]="O","Other", TRUE,"Unknown")</f>
        <v>Female</v>
      </c>
    </row>
    <row r="612" spans="1:15">
      <c r="A612" s="1" t="s">
        <v>704</v>
      </c>
      <c r="B612" s="1" t="s">
        <v>16</v>
      </c>
      <c r="C612" s="1">
        <v>20</v>
      </c>
      <c r="D612" s="1">
        <v>26.2</v>
      </c>
      <c r="E612" s="11">
        <v>524</v>
      </c>
      <c r="F612" s="3">
        <v>45683</v>
      </c>
      <c r="G612" s="3">
        <v>45684</v>
      </c>
      <c r="H612" s="1" t="s">
        <v>27</v>
      </c>
      <c r="I612" s="1" t="s">
        <v>51</v>
      </c>
      <c r="J612" s="1">
        <v>4</v>
      </c>
      <c r="K612" s="1" t="s">
        <v>19</v>
      </c>
      <c r="L612" s="1" t="s">
        <v>115</v>
      </c>
      <c r="M612" s="1">
        <f>orders[[#This Row],[Ship Date]]-orders[[#This Row],[Order Date]]</f>
        <v>1</v>
      </c>
      <c r="N612" s="1">
        <f>WEEKNUM(orders[[#This Row],[Order Date]])</f>
        <v>5</v>
      </c>
      <c r="O612" s="1" t="str" cm="1">
        <f t="array" ref="O612">_xlfn.IFS(orders[[#This Row],[Customer Gender]]="M","Male", orders[[#This Row],[Customer Gender]]="F","Female", orders[[#This Row],[Customer Gender]]="O","Other", TRUE,"Unknown")</f>
        <v>Female</v>
      </c>
    </row>
    <row r="613" spans="1:15">
      <c r="A613" s="1" t="s">
        <v>705</v>
      </c>
      <c r="B613" s="1" t="s">
        <v>42</v>
      </c>
      <c r="C613" s="1">
        <v>2</v>
      </c>
      <c r="D613" s="1">
        <v>31</v>
      </c>
      <c r="E613" s="11">
        <v>62</v>
      </c>
      <c r="F613" s="3">
        <v>45683</v>
      </c>
      <c r="G613" s="3">
        <v>45684</v>
      </c>
      <c r="H613" s="1" t="s">
        <v>27</v>
      </c>
      <c r="I613" s="1" t="s">
        <v>18</v>
      </c>
      <c r="J613" s="1">
        <v>5</v>
      </c>
      <c r="K613" s="1" t="s">
        <v>19</v>
      </c>
      <c r="L613" s="1" t="s">
        <v>24</v>
      </c>
      <c r="M613" s="1">
        <f>orders[[#This Row],[Ship Date]]-orders[[#This Row],[Order Date]]</f>
        <v>1</v>
      </c>
      <c r="N613" s="1">
        <f>WEEKNUM(orders[[#This Row],[Order Date]])</f>
        <v>5</v>
      </c>
      <c r="O613" s="1" t="str" cm="1">
        <f t="array" ref="O613">_xlfn.IFS(orders[[#This Row],[Customer Gender]]="M","Male", orders[[#This Row],[Customer Gender]]="F","Female", orders[[#This Row],[Customer Gender]]="O","Other", TRUE,"Unknown")</f>
        <v>Female</v>
      </c>
    </row>
    <row r="614" spans="1:15">
      <c r="A614" s="1" t="s">
        <v>706</v>
      </c>
      <c r="B614" s="1" t="s">
        <v>44</v>
      </c>
      <c r="C614" s="1">
        <v>4</v>
      </c>
      <c r="D614" s="1">
        <v>37.700000000000003</v>
      </c>
      <c r="E614" s="11">
        <v>150.80000000000001</v>
      </c>
      <c r="F614" s="3">
        <v>45683</v>
      </c>
      <c r="G614" s="3">
        <v>45684</v>
      </c>
      <c r="H614" s="1" t="s">
        <v>27</v>
      </c>
      <c r="I614" s="1" t="s">
        <v>35</v>
      </c>
      <c r="J614" s="1">
        <v>4</v>
      </c>
      <c r="K614" s="1" t="s">
        <v>19</v>
      </c>
      <c r="L614" s="1" t="s">
        <v>147</v>
      </c>
      <c r="M614" s="1">
        <f>orders[[#This Row],[Ship Date]]-orders[[#This Row],[Order Date]]</f>
        <v>1</v>
      </c>
      <c r="N614" s="1">
        <f>WEEKNUM(orders[[#This Row],[Order Date]])</f>
        <v>5</v>
      </c>
      <c r="O614" s="1" t="str" cm="1">
        <f t="array" ref="O614">_xlfn.IFS(orders[[#This Row],[Customer Gender]]="M","Male", orders[[#This Row],[Customer Gender]]="F","Female", orders[[#This Row],[Customer Gender]]="O","Other", TRUE,"Unknown")</f>
        <v>Female</v>
      </c>
    </row>
    <row r="615" spans="1:15">
      <c r="A615" s="1" t="s">
        <v>707</v>
      </c>
      <c r="B615" s="1" t="s">
        <v>54</v>
      </c>
      <c r="C615" s="1">
        <v>34</v>
      </c>
      <c r="D615" s="1">
        <v>43.6</v>
      </c>
      <c r="E615" s="11">
        <v>1482.4</v>
      </c>
      <c r="F615" s="3">
        <v>45683</v>
      </c>
      <c r="G615" s="3">
        <v>45685</v>
      </c>
      <c r="H615" s="1" t="s">
        <v>27</v>
      </c>
      <c r="I615" s="1" t="s">
        <v>70</v>
      </c>
      <c r="J615" s="1">
        <v>3</v>
      </c>
      <c r="K615" s="1" t="s">
        <v>19</v>
      </c>
      <c r="L615" s="1" t="s">
        <v>33</v>
      </c>
      <c r="M615" s="1">
        <f>orders[[#This Row],[Ship Date]]-orders[[#This Row],[Order Date]]</f>
        <v>2</v>
      </c>
      <c r="N615" s="1">
        <f>WEEKNUM(orders[[#This Row],[Order Date]])</f>
        <v>5</v>
      </c>
      <c r="O615" s="1" t="str" cm="1">
        <f t="array" ref="O615">_xlfn.IFS(orders[[#This Row],[Customer Gender]]="M","Male", orders[[#This Row],[Customer Gender]]="F","Female", orders[[#This Row],[Customer Gender]]="O","Other", TRUE,"Unknown")</f>
        <v>Female</v>
      </c>
    </row>
    <row r="616" spans="1:15">
      <c r="A616" s="1" t="s">
        <v>708</v>
      </c>
      <c r="B616" s="1" t="s">
        <v>46</v>
      </c>
      <c r="C616" s="1">
        <v>4</v>
      </c>
      <c r="D616" s="1">
        <v>26.5</v>
      </c>
      <c r="E616" s="11">
        <v>106</v>
      </c>
      <c r="F616" s="3">
        <v>45683</v>
      </c>
      <c r="G616" s="3">
        <v>45685</v>
      </c>
      <c r="H616" s="1" t="s">
        <v>23</v>
      </c>
      <c r="I616" s="1" t="s">
        <v>18</v>
      </c>
      <c r="J616" s="1">
        <v>2</v>
      </c>
      <c r="K616" s="1" t="s">
        <v>19</v>
      </c>
      <c r="L616" s="1" t="s">
        <v>33</v>
      </c>
      <c r="M616" s="1">
        <f>orders[[#This Row],[Ship Date]]-orders[[#This Row],[Order Date]]</f>
        <v>2</v>
      </c>
      <c r="N616" s="1">
        <f>WEEKNUM(orders[[#This Row],[Order Date]])</f>
        <v>5</v>
      </c>
      <c r="O616" s="1" t="str" cm="1">
        <f t="array" ref="O616">_xlfn.IFS(orders[[#This Row],[Customer Gender]]="M","Male", orders[[#This Row],[Customer Gender]]="F","Female", orders[[#This Row],[Customer Gender]]="O","Other", TRUE,"Unknown")</f>
        <v>Male</v>
      </c>
    </row>
    <row r="617" spans="1:15">
      <c r="A617" s="1" t="s">
        <v>709</v>
      </c>
      <c r="B617" s="1" t="s">
        <v>16</v>
      </c>
      <c r="C617" s="1">
        <v>2</v>
      </c>
      <c r="D617" s="1">
        <v>34.6</v>
      </c>
      <c r="E617" s="11">
        <v>69.2</v>
      </c>
      <c r="F617" s="3">
        <v>45683</v>
      </c>
      <c r="G617" s="3">
        <v>45684</v>
      </c>
      <c r="H617" s="1" t="s">
        <v>23</v>
      </c>
      <c r="I617" s="1" t="s">
        <v>70</v>
      </c>
      <c r="J617" s="1">
        <v>3</v>
      </c>
      <c r="K617" s="1" t="s">
        <v>19</v>
      </c>
      <c r="L617" s="1" t="s">
        <v>33</v>
      </c>
      <c r="M617" s="1">
        <f>orders[[#This Row],[Ship Date]]-orders[[#This Row],[Order Date]]</f>
        <v>1</v>
      </c>
      <c r="N617" s="1">
        <f>WEEKNUM(orders[[#This Row],[Order Date]])</f>
        <v>5</v>
      </c>
      <c r="O617" s="1" t="str" cm="1">
        <f t="array" ref="O617">_xlfn.IFS(orders[[#This Row],[Customer Gender]]="M","Male", orders[[#This Row],[Customer Gender]]="F","Female", orders[[#This Row],[Customer Gender]]="O","Other", TRUE,"Unknown")</f>
        <v>Male</v>
      </c>
    </row>
    <row r="618" spans="1:15">
      <c r="A618" s="1" t="s">
        <v>710</v>
      </c>
      <c r="B618" s="1" t="s">
        <v>44</v>
      </c>
      <c r="C618" s="1">
        <v>2</v>
      </c>
      <c r="D618" s="1">
        <v>58.2</v>
      </c>
      <c r="E618" s="11">
        <v>116.4</v>
      </c>
      <c r="F618" s="3">
        <v>45683</v>
      </c>
      <c r="G618" s="3">
        <v>45684</v>
      </c>
      <c r="H618" s="1" t="s">
        <v>23</v>
      </c>
      <c r="I618" s="1" t="s">
        <v>40</v>
      </c>
      <c r="J618" s="1">
        <v>5</v>
      </c>
      <c r="K618" s="1" t="s">
        <v>19</v>
      </c>
      <c r="L618" s="1" t="s">
        <v>33</v>
      </c>
      <c r="M618" s="1">
        <f>orders[[#This Row],[Ship Date]]-orders[[#This Row],[Order Date]]</f>
        <v>1</v>
      </c>
      <c r="N618" s="1">
        <f>WEEKNUM(orders[[#This Row],[Order Date]])</f>
        <v>5</v>
      </c>
      <c r="O618" s="1" t="str" cm="1">
        <f t="array" ref="O618">_xlfn.IFS(orders[[#This Row],[Customer Gender]]="M","Male", orders[[#This Row],[Customer Gender]]="F","Female", orders[[#This Row],[Customer Gender]]="O","Other", TRUE,"Unknown")</f>
        <v>Male</v>
      </c>
    </row>
    <row r="619" spans="1:15">
      <c r="A619" s="1" t="s">
        <v>711</v>
      </c>
      <c r="B619" s="1" t="s">
        <v>42</v>
      </c>
      <c r="C619" s="1">
        <v>1</v>
      </c>
      <c r="D619" s="1">
        <v>30.2</v>
      </c>
      <c r="E619" s="11">
        <v>30.2</v>
      </c>
      <c r="F619" s="3">
        <v>45684</v>
      </c>
      <c r="G619" s="3">
        <v>45685</v>
      </c>
      <c r="H619" s="1" t="s">
        <v>27</v>
      </c>
      <c r="I619" s="1" t="s">
        <v>40</v>
      </c>
      <c r="J619" s="1">
        <v>3</v>
      </c>
      <c r="K619" s="1" t="s">
        <v>19</v>
      </c>
      <c r="L619" s="1" t="s">
        <v>33</v>
      </c>
      <c r="M619" s="1">
        <f>orders[[#This Row],[Ship Date]]-orders[[#This Row],[Order Date]]</f>
        <v>1</v>
      </c>
      <c r="N619" s="1">
        <f>WEEKNUM(orders[[#This Row],[Order Date]])</f>
        <v>5</v>
      </c>
      <c r="O619" s="1" t="str" cm="1">
        <f t="array" ref="O619">_xlfn.IFS(orders[[#This Row],[Customer Gender]]="M","Male", orders[[#This Row],[Customer Gender]]="F","Female", orders[[#This Row],[Customer Gender]]="O","Other", TRUE,"Unknown")</f>
        <v>Female</v>
      </c>
    </row>
    <row r="620" spans="1:15">
      <c r="A620" s="1" t="s">
        <v>712</v>
      </c>
      <c r="B620" s="1" t="s">
        <v>22</v>
      </c>
      <c r="C620" s="1">
        <v>10</v>
      </c>
      <c r="D620" s="1">
        <v>53.2</v>
      </c>
      <c r="E620" s="11">
        <v>532</v>
      </c>
      <c r="F620" s="3">
        <v>45684</v>
      </c>
      <c r="G620" s="3">
        <v>45685</v>
      </c>
      <c r="H620" s="1" t="s">
        <v>23</v>
      </c>
      <c r="I620" s="1" t="s">
        <v>18</v>
      </c>
      <c r="J620" s="1">
        <v>5</v>
      </c>
      <c r="K620" s="1" t="s">
        <v>19</v>
      </c>
      <c r="L620" s="1" t="s">
        <v>52</v>
      </c>
      <c r="M620" s="1">
        <f>orders[[#This Row],[Ship Date]]-orders[[#This Row],[Order Date]]</f>
        <v>1</v>
      </c>
      <c r="N620" s="1">
        <f>WEEKNUM(orders[[#This Row],[Order Date]])</f>
        <v>5</v>
      </c>
      <c r="O620" s="1" t="str" cm="1">
        <f t="array" ref="O620">_xlfn.IFS(orders[[#This Row],[Customer Gender]]="M","Male", orders[[#This Row],[Customer Gender]]="F","Female", orders[[#This Row],[Customer Gender]]="O","Other", TRUE,"Unknown")</f>
        <v>Male</v>
      </c>
    </row>
    <row r="621" spans="1:15">
      <c r="A621" s="1" t="s">
        <v>713</v>
      </c>
      <c r="B621" s="1" t="s">
        <v>69</v>
      </c>
      <c r="C621" s="1">
        <v>6</v>
      </c>
      <c r="D621" s="1">
        <v>51.1</v>
      </c>
      <c r="E621" s="11">
        <v>306.60000000000002</v>
      </c>
      <c r="F621" s="3">
        <v>45684</v>
      </c>
      <c r="G621" s="3">
        <v>45684</v>
      </c>
      <c r="H621" s="1" t="s">
        <v>23</v>
      </c>
      <c r="I621" s="1" t="s">
        <v>35</v>
      </c>
      <c r="J621" s="1">
        <v>5</v>
      </c>
      <c r="K621" s="1" t="s">
        <v>19</v>
      </c>
      <c r="L621" s="1" t="s">
        <v>52</v>
      </c>
      <c r="M621" s="1">
        <f>orders[[#This Row],[Ship Date]]-orders[[#This Row],[Order Date]]</f>
        <v>0</v>
      </c>
      <c r="N621" s="1">
        <f>WEEKNUM(orders[[#This Row],[Order Date]])</f>
        <v>5</v>
      </c>
      <c r="O621" s="1" t="str" cm="1">
        <f t="array" ref="O621">_xlfn.IFS(orders[[#This Row],[Customer Gender]]="M","Male", orders[[#This Row],[Customer Gender]]="F","Female", orders[[#This Row],[Customer Gender]]="O","Other", TRUE,"Unknown")</f>
        <v>Male</v>
      </c>
    </row>
    <row r="622" spans="1:15">
      <c r="A622" s="1" t="s">
        <v>714</v>
      </c>
      <c r="B622" s="1" t="s">
        <v>22</v>
      </c>
      <c r="C622" s="1">
        <v>1</v>
      </c>
      <c r="D622" s="1">
        <v>105.4</v>
      </c>
      <c r="E622" s="11">
        <v>105.4</v>
      </c>
      <c r="F622" s="3">
        <v>45684</v>
      </c>
      <c r="G622" s="3">
        <v>45688</v>
      </c>
      <c r="H622" s="1" t="s">
        <v>27</v>
      </c>
      <c r="I622" s="1" t="s">
        <v>35</v>
      </c>
      <c r="J622" s="1">
        <v>5</v>
      </c>
      <c r="K622" s="1" t="s">
        <v>19</v>
      </c>
      <c r="L622" s="1" t="s">
        <v>158</v>
      </c>
      <c r="M622" s="1">
        <f>orders[[#This Row],[Ship Date]]-orders[[#This Row],[Order Date]]</f>
        <v>4</v>
      </c>
      <c r="N622" s="1">
        <f>WEEKNUM(orders[[#This Row],[Order Date]])</f>
        <v>5</v>
      </c>
      <c r="O622" s="1" t="str" cm="1">
        <f t="array" ref="O622">_xlfn.IFS(orders[[#This Row],[Customer Gender]]="M","Male", orders[[#This Row],[Customer Gender]]="F","Female", orders[[#This Row],[Customer Gender]]="O","Other", TRUE,"Unknown")</f>
        <v>Female</v>
      </c>
    </row>
    <row r="623" spans="1:15">
      <c r="A623" s="1" t="s">
        <v>715</v>
      </c>
      <c r="B623" s="1" t="s">
        <v>42</v>
      </c>
      <c r="C623" s="1">
        <v>1</v>
      </c>
      <c r="D623" s="1">
        <v>57.7</v>
      </c>
      <c r="E623" s="11">
        <v>57.7</v>
      </c>
      <c r="F623" s="3">
        <v>45684</v>
      </c>
      <c r="G623" s="3">
        <v>45684</v>
      </c>
      <c r="H623" s="1" t="s">
        <v>23</v>
      </c>
      <c r="I623" s="1" t="s">
        <v>18</v>
      </c>
      <c r="J623" s="1">
        <v>2</v>
      </c>
      <c r="K623" s="1" t="s">
        <v>19</v>
      </c>
      <c r="L623" s="1" t="s">
        <v>62</v>
      </c>
      <c r="M623" s="1">
        <f>orders[[#This Row],[Ship Date]]-orders[[#This Row],[Order Date]]</f>
        <v>0</v>
      </c>
      <c r="N623" s="1">
        <f>WEEKNUM(orders[[#This Row],[Order Date]])</f>
        <v>5</v>
      </c>
      <c r="O623" s="1" t="str" cm="1">
        <f t="array" ref="O623">_xlfn.IFS(orders[[#This Row],[Customer Gender]]="M","Male", orders[[#This Row],[Customer Gender]]="F","Female", orders[[#This Row],[Customer Gender]]="O","Other", TRUE,"Unknown")</f>
        <v>Male</v>
      </c>
    </row>
    <row r="624" spans="1:15">
      <c r="A624" s="1" t="s">
        <v>716</v>
      </c>
      <c r="B624" s="1" t="s">
        <v>123</v>
      </c>
      <c r="C624" s="1">
        <v>2</v>
      </c>
      <c r="D624" s="1">
        <v>72.400000000000006</v>
      </c>
      <c r="E624" s="11">
        <v>144.80000000000001</v>
      </c>
      <c r="F624" s="3">
        <v>45684</v>
      </c>
      <c r="G624" s="3">
        <v>45689</v>
      </c>
      <c r="H624" s="1" t="s">
        <v>27</v>
      </c>
      <c r="I624" s="1" t="s">
        <v>18</v>
      </c>
      <c r="J624" s="1">
        <v>4</v>
      </c>
      <c r="K624" s="1" t="s">
        <v>19</v>
      </c>
      <c r="L624" s="1" t="s">
        <v>103</v>
      </c>
      <c r="M624" s="1">
        <f>orders[[#This Row],[Ship Date]]-orders[[#This Row],[Order Date]]</f>
        <v>5</v>
      </c>
      <c r="N624" s="1">
        <f>WEEKNUM(orders[[#This Row],[Order Date]])</f>
        <v>5</v>
      </c>
      <c r="O624" s="1" t="str" cm="1">
        <f t="array" ref="O624">_xlfn.IFS(orders[[#This Row],[Customer Gender]]="M","Male", orders[[#This Row],[Customer Gender]]="F","Female", orders[[#This Row],[Customer Gender]]="O","Other", TRUE,"Unknown")</f>
        <v>Female</v>
      </c>
    </row>
    <row r="625" spans="1:15">
      <c r="A625" s="1" t="s">
        <v>717</v>
      </c>
      <c r="B625" s="1" t="s">
        <v>39</v>
      </c>
      <c r="C625" s="1">
        <v>2</v>
      </c>
      <c r="D625" s="1">
        <v>62.5</v>
      </c>
      <c r="E625" s="11">
        <v>125</v>
      </c>
      <c r="F625" s="3">
        <v>45684</v>
      </c>
      <c r="G625" s="3">
        <v>45685</v>
      </c>
      <c r="H625" s="1" t="s">
        <v>17</v>
      </c>
      <c r="I625" s="1" t="s">
        <v>18</v>
      </c>
      <c r="J625" s="1">
        <v>5</v>
      </c>
      <c r="K625" s="1" t="s">
        <v>19</v>
      </c>
      <c r="L625" s="1" t="s">
        <v>77</v>
      </c>
      <c r="M625" s="1">
        <f>orders[[#This Row],[Ship Date]]-orders[[#This Row],[Order Date]]</f>
        <v>1</v>
      </c>
      <c r="N625" s="1">
        <f>WEEKNUM(orders[[#This Row],[Order Date]])</f>
        <v>5</v>
      </c>
      <c r="O625" s="1" t="str" cm="1">
        <f t="array" ref="O625">_xlfn.IFS(orders[[#This Row],[Customer Gender]]="M","Male", orders[[#This Row],[Customer Gender]]="F","Female", orders[[#This Row],[Customer Gender]]="O","Other", TRUE,"Unknown")</f>
        <v>Unknown</v>
      </c>
    </row>
    <row r="626" spans="1:15">
      <c r="A626" s="1" t="s">
        <v>718</v>
      </c>
      <c r="B626" s="1" t="s">
        <v>16</v>
      </c>
      <c r="C626" s="1">
        <v>22</v>
      </c>
      <c r="D626" s="1">
        <v>11.6</v>
      </c>
      <c r="E626" s="11">
        <v>255.2</v>
      </c>
      <c r="F626" s="3">
        <v>45684</v>
      </c>
      <c r="G626" s="3">
        <v>45686</v>
      </c>
      <c r="H626" s="1" t="s">
        <v>27</v>
      </c>
      <c r="I626" s="1" t="s">
        <v>51</v>
      </c>
      <c r="J626" s="1">
        <v>5</v>
      </c>
      <c r="K626" s="1" t="s">
        <v>19</v>
      </c>
      <c r="L626" s="1" t="s">
        <v>108</v>
      </c>
      <c r="M626" s="1">
        <f>orders[[#This Row],[Ship Date]]-orders[[#This Row],[Order Date]]</f>
        <v>2</v>
      </c>
      <c r="N626" s="1">
        <f>WEEKNUM(orders[[#This Row],[Order Date]])</f>
        <v>5</v>
      </c>
      <c r="O626" s="1" t="str" cm="1">
        <f t="array" ref="O626">_xlfn.IFS(orders[[#This Row],[Customer Gender]]="M","Male", orders[[#This Row],[Customer Gender]]="F","Female", orders[[#This Row],[Customer Gender]]="O","Other", TRUE,"Unknown")</f>
        <v>Female</v>
      </c>
    </row>
    <row r="627" spans="1:15">
      <c r="A627" s="1" t="s">
        <v>719</v>
      </c>
      <c r="B627" s="1" t="s">
        <v>54</v>
      </c>
      <c r="C627" s="1">
        <v>10</v>
      </c>
      <c r="D627" s="1">
        <v>39.6</v>
      </c>
      <c r="E627" s="11">
        <v>396</v>
      </c>
      <c r="F627" s="3">
        <v>45684</v>
      </c>
      <c r="G627" s="3">
        <v>45686</v>
      </c>
      <c r="H627" s="1" t="s">
        <v>27</v>
      </c>
      <c r="I627" s="1" t="s">
        <v>40</v>
      </c>
      <c r="J627" s="1">
        <v>5</v>
      </c>
      <c r="K627" s="1" t="s">
        <v>19</v>
      </c>
      <c r="L627" s="1" t="s">
        <v>108</v>
      </c>
      <c r="M627" s="1">
        <f>orders[[#This Row],[Ship Date]]-orders[[#This Row],[Order Date]]</f>
        <v>2</v>
      </c>
      <c r="N627" s="1">
        <f>WEEKNUM(orders[[#This Row],[Order Date]])</f>
        <v>5</v>
      </c>
      <c r="O627" s="1" t="str" cm="1">
        <f t="array" ref="O627">_xlfn.IFS(orders[[#This Row],[Customer Gender]]="M","Male", orders[[#This Row],[Customer Gender]]="F","Female", orders[[#This Row],[Customer Gender]]="O","Other", TRUE,"Unknown")</f>
        <v>Female</v>
      </c>
    </row>
    <row r="628" spans="1:15">
      <c r="A628" s="1" t="s">
        <v>720</v>
      </c>
      <c r="B628" s="1" t="s">
        <v>44</v>
      </c>
      <c r="C628" s="1">
        <v>2</v>
      </c>
      <c r="D628" s="1">
        <v>40.1</v>
      </c>
      <c r="E628" s="11">
        <v>80.2</v>
      </c>
      <c r="F628" s="3">
        <v>45684</v>
      </c>
      <c r="G628" s="3">
        <v>45685</v>
      </c>
      <c r="H628" s="1" t="s">
        <v>27</v>
      </c>
      <c r="I628" s="1" t="s">
        <v>40</v>
      </c>
      <c r="J628" s="1">
        <v>4</v>
      </c>
      <c r="K628" s="1" t="s">
        <v>19</v>
      </c>
      <c r="L628" s="1" t="s">
        <v>108</v>
      </c>
      <c r="M628" s="1">
        <f>orders[[#This Row],[Ship Date]]-orders[[#This Row],[Order Date]]</f>
        <v>1</v>
      </c>
      <c r="N628" s="1">
        <f>WEEKNUM(orders[[#This Row],[Order Date]])</f>
        <v>5</v>
      </c>
      <c r="O628" s="1" t="str" cm="1">
        <f t="array" ref="O628">_xlfn.IFS(orders[[#This Row],[Customer Gender]]="M","Male", orders[[#This Row],[Customer Gender]]="F","Female", orders[[#This Row],[Customer Gender]]="O","Other", TRUE,"Unknown")</f>
        <v>Female</v>
      </c>
    </row>
    <row r="629" spans="1:15">
      <c r="A629" s="1" t="s">
        <v>721</v>
      </c>
      <c r="B629" s="1" t="s">
        <v>44</v>
      </c>
      <c r="C629" s="1">
        <v>3</v>
      </c>
      <c r="D629" s="1">
        <v>18.600000000000001</v>
      </c>
      <c r="E629" s="11">
        <v>55.800000000000004</v>
      </c>
      <c r="F629" s="3">
        <v>45684</v>
      </c>
      <c r="G629" s="3">
        <v>45685</v>
      </c>
      <c r="H629" s="1" t="s">
        <v>27</v>
      </c>
      <c r="I629" s="1" t="s">
        <v>40</v>
      </c>
      <c r="J629" s="1">
        <v>4</v>
      </c>
      <c r="K629" s="1" t="s">
        <v>19</v>
      </c>
      <c r="L629" s="1" t="s">
        <v>115</v>
      </c>
      <c r="M629" s="1">
        <f>orders[[#This Row],[Ship Date]]-orders[[#This Row],[Order Date]]</f>
        <v>1</v>
      </c>
      <c r="N629" s="1">
        <f>WEEKNUM(orders[[#This Row],[Order Date]])</f>
        <v>5</v>
      </c>
      <c r="O629" s="1" t="str" cm="1">
        <f t="array" ref="O629">_xlfn.IFS(orders[[#This Row],[Customer Gender]]="M","Male", orders[[#This Row],[Customer Gender]]="F","Female", orders[[#This Row],[Customer Gender]]="O","Other", TRUE,"Unknown")</f>
        <v>Female</v>
      </c>
    </row>
    <row r="630" spans="1:15">
      <c r="A630" s="1" t="s">
        <v>722</v>
      </c>
      <c r="B630" s="1" t="s">
        <v>32</v>
      </c>
      <c r="C630" s="1">
        <v>1</v>
      </c>
      <c r="D630" s="1">
        <v>58.8</v>
      </c>
      <c r="E630" s="11">
        <v>58.8</v>
      </c>
      <c r="F630" s="3">
        <v>45684</v>
      </c>
      <c r="G630" s="3">
        <v>45686</v>
      </c>
      <c r="H630" s="1" t="s">
        <v>27</v>
      </c>
      <c r="I630" s="1" t="s">
        <v>18</v>
      </c>
      <c r="J630" s="1">
        <v>3</v>
      </c>
      <c r="K630" s="1" t="s">
        <v>19</v>
      </c>
      <c r="L630" s="1" t="s">
        <v>115</v>
      </c>
      <c r="M630" s="1">
        <f>orders[[#This Row],[Ship Date]]-orders[[#This Row],[Order Date]]</f>
        <v>2</v>
      </c>
      <c r="N630" s="1">
        <f>WEEKNUM(orders[[#This Row],[Order Date]])</f>
        <v>5</v>
      </c>
      <c r="O630" s="1" t="str" cm="1">
        <f t="array" ref="O630">_xlfn.IFS(orders[[#This Row],[Customer Gender]]="M","Male", orders[[#This Row],[Customer Gender]]="F","Female", orders[[#This Row],[Customer Gender]]="O","Other", TRUE,"Unknown")</f>
        <v>Female</v>
      </c>
    </row>
    <row r="631" spans="1:15">
      <c r="A631" s="1" t="s">
        <v>723</v>
      </c>
      <c r="B631" s="1" t="s">
        <v>44</v>
      </c>
      <c r="C631" s="1">
        <v>2</v>
      </c>
      <c r="D631" s="1">
        <v>22.1</v>
      </c>
      <c r="E631" s="11">
        <v>44.2</v>
      </c>
      <c r="F631" s="3">
        <v>45684</v>
      </c>
      <c r="G631" s="3">
        <v>45687</v>
      </c>
      <c r="H631" s="1" t="s">
        <v>23</v>
      </c>
      <c r="I631" s="1" t="s">
        <v>35</v>
      </c>
      <c r="J631" s="1">
        <v>5</v>
      </c>
      <c r="K631" s="1" t="s">
        <v>19</v>
      </c>
      <c r="L631" s="1" t="s">
        <v>115</v>
      </c>
      <c r="M631" s="1">
        <f>orders[[#This Row],[Ship Date]]-orders[[#This Row],[Order Date]]</f>
        <v>3</v>
      </c>
      <c r="N631" s="1">
        <f>WEEKNUM(orders[[#This Row],[Order Date]])</f>
        <v>5</v>
      </c>
      <c r="O631" s="1" t="str" cm="1">
        <f t="array" ref="O631">_xlfn.IFS(orders[[#This Row],[Customer Gender]]="M","Male", orders[[#This Row],[Customer Gender]]="F","Female", orders[[#This Row],[Customer Gender]]="O","Other", TRUE,"Unknown")</f>
        <v>Male</v>
      </c>
    </row>
    <row r="632" spans="1:15">
      <c r="A632" s="1" t="s">
        <v>724</v>
      </c>
      <c r="B632" s="1" t="s">
        <v>26</v>
      </c>
      <c r="C632" s="1">
        <v>1</v>
      </c>
      <c r="D632" s="1">
        <v>114.9</v>
      </c>
      <c r="E632" s="11">
        <v>114.9</v>
      </c>
      <c r="F632" s="3">
        <v>45685</v>
      </c>
      <c r="G632" s="3">
        <v>45686</v>
      </c>
      <c r="H632" s="1" t="s">
        <v>27</v>
      </c>
      <c r="I632" s="1" t="s">
        <v>35</v>
      </c>
      <c r="J632" s="1">
        <v>3</v>
      </c>
      <c r="K632" s="1" t="s">
        <v>19</v>
      </c>
      <c r="L632" s="1" t="s">
        <v>147</v>
      </c>
      <c r="M632" s="1">
        <f>orders[[#This Row],[Ship Date]]-orders[[#This Row],[Order Date]]</f>
        <v>1</v>
      </c>
      <c r="N632" s="1">
        <f>WEEKNUM(orders[[#This Row],[Order Date]])</f>
        <v>5</v>
      </c>
      <c r="O632" s="1" t="str" cm="1">
        <f t="array" ref="O632">_xlfn.IFS(orders[[#This Row],[Customer Gender]]="M","Male", orders[[#This Row],[Customer Gender]]="F","Female", orders[[#This Row],[Customer Gender]]="O","Other", TRUE,"Unknown")</f>
        <v>Female</v>
      </c>
    </row>
    <row r="633" spans="1:15">
      <c r="A633" s="1" t="s">
        <v>725</v>
      </c>
      <c r="B633" s="1" t="s">
        <v>46</v>
      </c>
      <c r="C633" s="1">
        <v>5</v>
      </c>
      <c r="D633" s="1">
        <v>75.8</v>
      </c>
      <c r="E633" s="11">
        <v>379</v>
      </c>
      <c r="F633" s="3">
        <v>45685</v>
      </c>
      <c r="G633" s="3">
        <v>45686</v>
      </c>
      <c r="H633" s="1" t="s">
        <v>23</v>
      </c>
      <c r="I633" s="1" t="s">
        <v>18</v>
      </c>
      <c r="J633" s="1">
        <v>5</v>
      </c>
      <c r="K633" s="1" t="s">
        <v>19</v>
      </c>
      <c r="L633" s="1" t="s">
        <v>33</v>
      </c>
      <c r="M633" s="1">
        <f>orders[[#This Row],[Ship Date]]-orders[[#This Row],[Order Date]]</f>
        <v>1</v>
      </c>
      <c r="N633" s="1">
        <f>WEEKNUM(orders[[#This Row],[Order Date]])</f>
        <v>5</v>
      </c>
      <c r="O633" s="1" t="str" cm="1">
        <f t="array" ref="O633">_xlfn.IFS(orders[[#This Row],[Customer Gender]]="M","Male", orders[[#This Row],[Customer Gender]]="F","Female", orders[[#This Row],[Customer Gender]]="O","Other", TRUE,"Unknown")</f>
        <v>Male</v>
      </c>
    </row>
    <row r="634" spans="1:15">
      <c r="A634" s="1" t="s">
        <v>726</v>
      </c>
      <c r="B634" s="1" t="s">
        <v>81</v>
      </c>
      <c r="C634" s="1">
        <v>5</v>
      </c>
      <c r="D634" s="1">
        <v>20.6</v>
      </c>
      <c r="E634" s="11">
        <v>103</v>
      </c>
      <c r="F634" s="3">
        <v>45685</v>
      </c>
      <c r="G634" s="3">
        <v>45686</v>
      </c>
      <c r="H634" s="1" t="s">
        <v>23</v>
      </c>
      <c r="I634" s="1" t="s">
        <v>40</v>
      </c>
      <c r="J634" s="1">
        <v>5</v>
      </c>
      <c r="K634" s="1" t="s">
        <v>19</v>
      </c>
      <c r="L634" s="1" t="s">
        <v>33</v>
      </c>
      <c r="M634" s="1">
        <f>orders[[#This Row],[Ship Date]]-orders[[#This Row],[Order Date]]</f>
        <v>1</v>
      </c>
      <c r="N634" s="1">
        <f>WEEKNUM(orders[[#This Row],[Order Date]])</f>
        <v>5</v>
      </c>
      <c r="O634" s="1" t="str" cm="1">
        <f t="array" ref="O634">_xlfn.IFS(orders[[#This Row],[Customer Gender]]="M","Male", orders[[#This Row],[Customer Gender]]="F","Female", orders[[#This Row],[Customer Gender]]="O","Other", TRUE,"Unknown")</f>
        <v>Male</v>
      </c>
    </row>
    <row r="635" spans="1:15">
      <c r="A635" s="1" t="s">
        <v>727</v>
      </c>
      <c r="B635" s="1" t="s">
        <v>135</v>
      </c>
      <c r="C635" s="1">
        <v>3</v>
      </c>
      <c r="D635" s="1">
        <v>67.900000000000006</v>
      </c>
      <c r="E635" s="11">
        <v>203.70000000000002</v>
      </c>
      <c r="F635" s="3">
        <v>45685</v>
      </c>
      <c r="G635" s="3">
        <v>45686</v>
      </c>
      <c r="H635" s="1" t="s">
        <v>27</v>
      </c>
      <c r="I635" s="1" t="s">
        <v>35</v>
      </c>
      <c r="J635" s="1">
        <v>3</v>
      </c>
      <c r="K635" s="1" t="s">
        <v>19</v>
      </c>
      <c r="L635" s="1" t="s">
        <v>33</v>
      </c>
      <c r="M635" s="1">
        <f>orders[[#This Row],[Ship Date]]-orders[[#This Row],[Order Date]]</f>
        <v>1</v>
      </c>
      <c r="N635" s="1">
        <f>WEEKNUM(orders[[#This Row],[Order Date]])</f>
        <v>5</v>
      </c>
      <c r="O635" s="1" t="str" cm="1">
        <f t="array" ref="O635">_xlfn.IFS(orders[[#This Row],[Customer Gender]]="M","Male", orders[[#This Row],[Customer Gender]]="F","Female", orders[[#This Row],[Customer Gender]]="O","Other", TRUE,"Unknown")</f>
        <v>Female</v>
      </c>
    </row>
    <row r="636" spans="1:15">
      <c r="A636" s="1" t="s">
        <v>728</v>
      </c>
      <c r="B636" s="1" t="s">
        <v>16</v>
      </c>
      <c r="C636" s="1">
        <v>5</v>
      </c>
      <c r="D636" s="1">
        <v>27</v>
      </c>
      <c r="E636" s="11">
        <v>135</v>
      </c>
      <c r="F636" s="3">
        <v>45685</v>
      </c>
      <c r="G636" s="3">
        <v>45692</v>
      </c>
      <c r="H636" s="1" t="s">
        <v>27</v>
      </c>
      <c r="I636" s="1" t="s">
        <v>18</v>
      </c>
      <c r="J636" s="1">
        <v>5</v>
      </c>
      <c r="K636" s="1" t="s">
        <v>19</v>
      </c>
      <c r="L636" s="1" t="s">
        <v>33</v>
      </c>
      <c r="M636" s="1">
        <f>orders[[#This Row],[Ship Date]]-orders[[#This Row],[Order Date]]</f>
        <v>7</v>
      </c>
      <c r="N636" s="1">
        <f>WEEKNUM(orders[[#This Row],[Order Date]])</f>
        <v>5</v>
      </c>
      <c r="O636" s="1" t="str" cm="1">
        <f t="array" ref="O636">_xlfn.IFS(orders[[#This Row],[Customer Gender]]="M","Male", orders[[#This Row],[Customer Gender]]="F","Female", orders[[#This Row],[Customer Gender]]="O","Other", TRUE,"Unknown")</f>
        <v>Female</v>
      </c>
    </row>
    <row r="637" spans="1:15">
      <c r="A637" s="1" t="s">
        <v>729</v>
      </c>
      <c r="B637" s="1" t="s">
        <v>76</v>
      </c>
      <c r="C637" s="1">
        <v>1</v>
      </c>
      <c r="D637" s="1">
        <v>50.6</v>
      </c>
      <c r="E637" s="11">
        <v>50.6</v>
      </c>
      <c r="F637" s="3">
        <v>45685</v>
      </c>
      <c r="G637" s="3">
        <v>45685</v>
      </c>
      <c r="H637" s="1" t="s">
        <v>23</v>
      </c>
      <c r="I637" s="1" t="s">
        <v>18</v>
      </c>
      <c r="J637" s="1">
        <v>3</v>
      </c>
      <c r="K637" s="1" t="s">
        <v>19</v>
      </c>
      <c r="L637" s="1" t="s">
        <v>33</v>
      </c>
      <c r="M637" s="1">
        <f>orders[[#This Row],[Ship Date]]-orders[[#This Row],[Order Date]]</f>
        <v>0</v>
      </c>
      <c r="N637" s="1">
        <f>WEEKNUM(orders[[#This Row],[Order Date]])</f>
        <v>5</v>
      </c>
      <c r="O637" s="1" t="str" cm="1">
        <f t="array" ref="O637">_xlfn.IFS(orders[[#This Row],[Customer Gender]]="M","Male", orders[[#This Row],[Customer Gender]]="F","Female", orders[[#This Row],[Customer Gender]]="O","Other", TRUE,"Unknown")</f>
        <v>Male</v>
      </c>
    </row>
    <row r="638" spans="1:15">
      <c r="A638" s="1" t="s">
        <v>730</v>
      </c>
      <c r="B638" s="1" t="s">
        <v>32</v>
      </c>
      <c r="C638" s="1">
        <v>5</v>
      </c>
      <c r="D638" s="1">
        <v>22.1</v>
      </c>
      <c r="E638" s="11">
        <v>110.5</v>
      </c>
      <c r="F638" s="3">
        <v>45685</v>
      </c>
      <c r="G638" s="3">
        <v>45690</v>
      </c>
      <c r="H638" s="1" t="s">
        <v>23</v>
      </c>
      <c r="I638" s="1" t="s">
        <v>18</v>
      </c>
      <c r="J638" s="1">
        <v>4</v>
      </c>
      <c r="K638" s="1" t="s">
        <v>19</v>
      </c>
      <c r="L638" s="1" t="s">
        <v>33</v>
      </c>
      <c r="M638" s="1">
        <f>orders[[#This Row],[Ship Date]]-orders[[#This Row],[Order Date]]</f>
        <v>5</v>
      </c>
      <c r="N638" s="1">
        <f>WEEKNUM(orders[[#This Row],[Order Date]])</f>
        <v>5</v>
      </c>
      <c r="O638" s="1" t="str" cm="1">
        <f t="array" ref="O638">_xlfn.IFS(orders[[#This Row],[Customer Gender]]="M","Male", orders[[#This Row],[Customer Gender]]="F","Female", orders[[#This Row],[Customer Gender]]="O","Other", TRUE,"Unknown")</f>
        <v>Male</v>
      </c>
    </row>
    <row r="639" spans="1:15">
      <c r="A639" s="1" t="s">
        <v>731</v>
      </c>
      <c r="B639" s="1" t="s">
        <v>44</v>
      </c>
      <c r="C639" s="1">
        <v>3</v>
      </c>
      <c r="D639" s="1">
        <v>42.9</v>
      </c>
      <c r="E639" s="11">
        <v>128.69999999999999</v>
      </c>
      <c r="F639" s="3">
        <v>45685</v>
      </c>
      <c r="G639" s="3">
        <v>45687</v>
      </c>
      <c r="H639" s="1" t="s">
        <v>27</v>
      </c>
      <c r="I639" s="1" t="s">
        <v>18</v>
      </c>
      <c r="J639" s="1">
        <v>4</v>
      </c>
      <c r="K639" s="1" t="s">
        <v>19</v>
      </c>
      <c r="L639" s="1" t="s">
        <v>33</v>
      </c>
      <c r="M639" s="1">
        <f>orders[[#This Row],[Ship Date]]-orders[[#This Row],[Order Date]]</f>
        <v>2</v>
      </c>
      <c r="N639" s="1">
        <f>WEEKNUM(orders[[#This Row],[Order Date]])</f>
        <v>5</v>
      </c>
      <c r="O639" s="1" t="str" cm="1">
        <f t="array" ref="O639">_xlfn.IFS(orders[[#This Row],[Customer Gender]]="M","Male", orders[[#This Row],[Customer Gender]]="F","Female", orders[[#This Row],[Customer Gender]]="O","Other", TRUE,"Unknown")</f>
        <v>Female</v>
      </c>
    </row>
    <row r="640" spans="1:15">
      <c r="A640" s="1" t="s">
        <v>732</v>
      </c>
      <c r="B640" s="1" t="s">
        <v>22</v>
      </c>
      <c r="C640" s="1">
        <v>11</v>
      </c>
      <c r="D640" s="1">
        <v>62.4</v>
      </c>
      <c r="E640" s="11">
        <v>686.4</v>
      </c>
      <c r="F640" s="3">
        <v>45685</v>
      </c>
      <c r="G640" s="3">
        <v>45687</v>
      </c>
      <c r="H640" s="1" t="s">
        <v>27</v>
      </c>
      <c r="I640" s="1" t="s">
        <v>40</v>
      </c>
      <c r="J640" s="1">
        <v>4</v>
      </c>
      <c r="K640" s="1" t="s">
        <v>19</v>
      </c>
      <c r="L640" s="1" t="s">
        <v>33</v>
      </c>
      <c r="M640" s="1">
        <f>orders[[#This Row],[Ship Date]]-orders[[#This Row],[Order Date]]</f>
        <v>2</v>
      </c>
      <c r="N640" s="1">
        <f>WEEKNUM(orders[[#This Row],[Order Date]])</f>
        <v>5</v>
      </c>
      <c r="O640" s="1" t="str" cm="1">
        <f t="array" ref="O640">_xlfn.IFS(orders[[#This Row],[Customer Gender]]="M","Male", orders[[#This Row],[Customer Gender]]="F","Female", orders[[#This Row],[Customer Gender]]="O","Other", TRUE,"Unknown")</f>
        <v>Female</v>
      </c>
    </row>
    <row r="641" spans="1:15">
      <c r="A641" s="1" t="s">
        <v>733</v>
      </c>
      <c r="B641" s="1" t="s">
        <v>76</v>
      </c>
      <c r="C641" s="1">
        <v>9</v>
      </c>
      <c r="D641" s="1">
        <v>36.4</v>
      </c>
      <c r="E641" s="11">
        <v>327.59999999999997</v>
      </c>
      <c r="F641" s="3">
        <v>45685</v>
      </c>
      <c r="G641" s="3">
        <v>45687</v>
      </c>
      <c r="H641" s="1" t="s">
        <v>27</v>
      </c>
      <c r="I641" s="1" t="s">
        <v>18</v>
      </c>
      <c r="J641" s="1">
        <v>5</v>
      </c>
      <c r="K641" s="1" t="s">
        <v>19</v>
      </c>
      <c r="L641" s="1" t="s">
        <v>33</v>
      </c>
      <c r="M641" s="1">
        <f>orders[[#This Row],[Ship Date]]-orders[[#This Row],[Order Date]]</f>
        <v>2</v>
      </c>
      <c r="N641" s="1">
        <f>WEEKNUM(orders[[#This Row],[Order Date]])</f>
        <v>5</v>
      </c>
      <c r="O641" s="1" t="str" cm="1">
        <f t="array" ref="O641">_xlfn.IFS(orders[[#This Row],[Customer Gender]]="M","Male", orders[[#This Row],[Customer Gender]]="F","Female", orders[[#This Row],[Customer Gender]]="O","Other", TRUE,"Unknown")</f>
        <v>Female</v>
      </c>
    </row>
    <row r="642" spans="1:15">
      <c r="A642" s="1" t="s">
        <v>734</v>
      </c>
      <c r="B642" s="1" t="s">
        <v>16</v>
      </c>
      <c r="C642" s="1">
        <v>2</v>
      </c>
      <c r="D642" s="1">
        <v>22.5</v>
      </c>
      <c r="E642" s="11">
        <v>45</v>
      </c>
      <c r="F642" s="3">
        <v>45685</v>
      </c>
      <c r="G642" s="3">
        <v>45688</v>
      </c>
      <c r="H642" s="1" t="s">
        <v>23</v>
      </c>
      <c r="I642" s="1" t="s">
        <v>18</v>
      </c>
      <c r="J642" s="1">
        <v>4</v>
      </c>
      <c r="K642" s="1" t="s">
        <v>19</v>
      </c>
      <c r="L642" s="1" t="s">
        <v>33</v>
      </c>
      <c r="M642" s="1">
        <f>orders[[#This Row],[Ship Date]]-orders[[#This Row],[Order Date]]</f>
        <v>3</v>
      </c>
      <c r="N642" s="1">
        <f>WEEKNUM(orders[[#This Row],[Order Date]])</f>
        <v>5</v>
      </c>
      <c r="O642" s="1" t="str" cm="1">
        <f t="array" ref="O642">_xlfn.IFS(orders[[#This Row],[Customer Gender]]="M","Male", orders[[#This Row],[Customer Gender]]="F","Female", orders[[#This Row],[Customer Gender]]="O","Other", TRUE,"Unknown")</f>
        <v>Male</v>
      </c>
    </row>
    <row r="643" spans="1:15">
      <c r="A643" s="1" t="s">
        <v>735</v>
      </c>
      <c r="B643" s="1" t="s">
        <v>39</v>
      </c>
      <c r="C643" s="1">
        <v>4</v>
      </c>
      <c r="D643" s="1">
        <v>70.8</v>
      </c>
      <c r="E643" s="11">
        <v>283.2</v>
      </c>
      <c r="F643" s="3">
        <v>45685</v>
      </c>
      <c r="G643" s="3">
        <v>45687</v>
      </c>
      <c r="H643" s="1" t="s">
        <v>27</v>
      </c>
      <c r="I643" s="1" t="s">
        <v>70</v>
      </c>
      <c r="J643" s="1">
        <v>4</v>
      </c>
      <c r="K643" s="1" t="s">
        <v>19</v>
      </c>
      <c r="L643" s="1" t="s">
        <v>33</v>
      </c>
      <c r="M643" s="1">
        <f>orders[[#This Row],[Ship Date]]-orders[[#This Row],[Order Date]]</f>
        <v>2</v>
      </c>
      <c r="N643" s="1">
        <f>WEEKNUM(orders[[#This Row],[Order Date]])</f>
        <v>5</v>
      </c>
      <c r="O643" s="1" t="str" cm="1">
        <f t="array" ref="O643">_xlfn.IFS(orders[[#This Row],[Customer Gender]]="M","Male", orders[[#This Row],[Customer Gender]]="F","Female", orders[[#This Row],[Customer Gender]]="O","Other", TRUE,"Unknown")</f>
        <v>Female</v>
      </c>
    </row>
    <row r="644" spans="1:15">
      <c r="A644" s="1" t="s">
        <v>736</v>
      </c>
      <c r="B644" s="1" t="s">
        <v>39</v>
      </c>
      <c r="C644" s="1">
        <v>5</v>
      </c>
      <c r="D644" s="1">
        <v>56.6</v>
      </c>
      <c r="E644" s="11">
        <v>283</v>
      </c>
      <c r="F644" s="3">
        <v>45685</v>
      </c>
      <c r="G644" s="3">
        <v>45687</v>
      </c>
      <c r="H644" s="1" t="s">
        <v>23</v>
      </c>
      <c r="I644" s="1" t="s">
        <v>18</v>
      </c>
      <c r="J644" s="1">
        <v>3</v>
      </c>
      <c r="K644" s="1" t="s">
        <v>19</v>
      </c>
      <c r="L644" s="1" t="s">
        <v>49</v>
      </c>
      <c r="M644" s="1">
        <f>orders[[#This Row],[Ship Date]]-orders[[#This Row],[Order Date]]</f>
        <v>2</v>
      </c>
      <c r="N644" s="1">
        <f>WEEKNUM(orders[[#This Row],[Order Date]])</f>
        <v>5</v>
      </c>
      <c r="O644" s="1" t="str" cm="1">
        <f t="array" ref="O644">_xlfn.IFS(orders[[#This Row],[Customer Gender]]="M","Male", orders[[#This Row],[Customer Gender]]="F","Female", orders[[#This Row],[Customer Gender]]="O","Other", TRUE,"Unknown")</f>
        <v>Male</v>
      </c>
    </row>
    <row r="645" spans="1:15">
      <c r="A645" s="1" t="s">
        <v>737</v>
      </c>
      <c r="B645" s="1" t="s">
        <v>39</v>
      </c>
      <c r="C645" s="1">
        <v>2</v>
      </c>
      <c r="D645" s="1">
        <v>47.9</v>
      </c>
      <c r="E645" s="11">
        <v>95.8</v>
      </c>
      <c r="F645" s="3">
        <v>45685</v>
      </c>
      <c r="G645" s="3">
        <v>45686</v>
      </c>
      <c r="H645" s="1" t="s">
        <v>27</v>
      </c>
      <c r="I645" s="1" t="s">
        <v>18</v>
      </c>
      <c r="J645" s="1">
        <v>4</v>
      </c>
      <c r="K645" s="1" t="s">
        <v>19</v>
      </c>
      <c r="L645" s="1" t="s">
        <v>55</v>
      </c>
      <c r="M645" s="1">
        <f>orders[[#This Row],[Ship Date]]-orders[[#This Row],[Order Date]]</f>
        <v>1</v>
      </c>
      <c r="N645" s="1">
        <f>WEEKNUM(orders[[#This Row],[Order Date]])</f>
        <v>5</v>
      </c>
      <c r="O645" s="1" t="str" cm="1">
        <f t="array" ref="O645">_xlfn.IFS(orders[[#This Row],[Customer Gender]]="M","Male", orders[[#This Row],[Customer Gender]]="F","Female", orders[[#This Row],[Customer Gender]]="O","Other", TRUE,"Unknown")</f>
        <v>Female</v>
      </c>
    </row>
    <row r="646" spans="1:15">
      <c r="A646" s="1" t="s">
        <v>738</v>
      </c>
      <c r="B646" s="1" t="s">
        <v>39</v>
      </c>
      <c r="C646" s="1">
        <v>8</v>
      </c>
      <c r="D646" s="1">
        <v>78.400000000000006</v>
      </c>
      <c r="E646" s="11">
        <v>627.20000000000005</v>
      </c>
      <c r="F646" s="3">
        <v>45685</v>
      </c>
      <c r="G646" s="3">
        <v>45687</v>
      </c>
      <c r="H646" s="1" t="s">
        <v>27</v>
      </c>
      <c r="I646" s="1" t="s">
        <v>35</v>
      </c>
      <c r="J646" s="1">
        <v>4</v>
      </c>
      <c r="K646" s="1" t="s">
        <v>19</v>
      </c>
      <c r="L646" s="1" t="s">
        <v>55</v>
      </c>
      <c r="M646" s="1">
        <f>orders[[#This Row],[Ship Date]]-orders[[#This Row],[Order Date]]</f>
        <v>2</v>
      </c>
      <c r="N646" s="1">
        <f>WEEKNUM(orders[[#This Row],[Order Date]])</f>
        <v>5</v>
      </c>
      <c r="O646" s="1" t="str" cm="1">
        <f t="array" ref="O646">_xlfn.IFS(orders[[#This Row],[Customer Gender]]="M","Male", orders[[#This Row],[Customer Gender]]="F","Female", orders[[#This Row],[Customer Gender]]="O","Other", TRUE,"Unknown")</f>
        <v>Female</v>
      </c>
    </row>
    <row r="647" spans="1:15">
      <c r="A647" s="1" t="s">
        <v>739</v>
      </c>
      <c r="B647" s="1" t="s">
        <v>26</v>
      </c>
      <c r="C647" s="1">
        <v>14</v>
      </c>
      <c r="D647" s="1">
        <v>122.1</v>
      </c>
      <c r="E647" s="11">
        <v>1709.3999999999999</v>
      </c>
      <c r="F647" s="3">
        <v>45685</v>
      </c>
      <c r="G647" s="3">
        <v>45690</v>
      </c>
      <c r="H647" s="1" t="s">
        <v>27</v>
      </c>
      <c r="I647" s="1" t="s">
        <v>18</v>
      </c>
      <c r="J647" s="1">
        <v>5</v>
      </c>
      <c r="K647" s="1" t="s">
        <v>19</v>
      </c>
      <c r="L647" s="1" t="s">
        <v>55</v>
      </c>
      <c r="M647" s="1">
        <f>orders[[#This Row],[Ship Date]]-orders[[#This Row],[Order Date]]</f>
        <v>5</v>
      </c>
      <c r="N647" s="1">
        <f>WEEKNUM(orders[[#This Row],[Order Date]])</f>
        <v>5</v>
      </c>
      <c r="O647" s="1" t="str" cm="1">
        <f t="array" ref="O647">_xlfn.IFS(orders[[#This Row],[Customer Gender]]="M","Male", orders[[#This Row],[Customer Gender]]="F","Female", orders[[#This Row],[Customer Gender]]="O","Other", TRUE,"Unknown")</f>
        <v>Female</v>
      </c>
    </row>
    <row r="648" spans="1:15">
      <c r="A648" s="1" t="s">
        <v>740</v>
      </c>
      <c r="B648" s="1" t="s">
        <v>26</v>
      </c>
      <c r="C648" s="1">
        <v>2</v>
      </c>
      <c r="D648" s="1">
        <v>83.7</v>
      </c>
      <c r="E648" s="11">
        <v>167.4</v>
      </c>
      <c r="F648" s="3">
        <v>45686</v>
      </c>
      <c r="G648" s="3">
        <v>45686</v>
      </c>
      <c r="H648" s="1" t="s">
        <v>17</v>
      </c>
      <c r="I648" s="1" t="s">
        <v>35</v>
      </c>
      <c r="J648" s="1">
        <v>5</v>
      </c>
      <c r="K648" s="1" t="s">
        <v>19</v>
      </c>
      <c r="L648" s="1" t="s">
        <v>59</v>
      </c>
      <c r="M648" s="1">
        <f>orders[[#This Row],[Ship Date]]-orders[[#This Row],[Order Date]]</f>
        <v>0</v>
      </c>
      <c r="N648" s="1">
        <f>WEEKNUM(orders[[#This Row],[Order Date]])</f>
        <v>5</v>
      </c>
      <c r="O648" s="1" t="str" cm="1">
        <f t="array" ref="O648">_xlfn.IFS(orders[[#This Row],[Customer Gender]]="M","Male", orders[[#This Row],[Customer Gender]]="F","Female", orders[[#This Row],[Customer Gender]]="O","Other", TRUE,"Unknown")</f>
        <v>Unknown</v>
      </c>
    </row>
    <row r="649" spans="1:15">
      <c r="A649" s="1" t="s">
        <v>741</v>
      </c>
      <c r="B649" s="1" t="s">
        <v>30</v>
      </c>
      <c r="C649" s="1">
        <v>4</v>
      </c>
      <c r="D649" s="1">
        <v>97.9</v>
      </c>
      <c r="E649" s="11">
        <v>391.6</v>
      </c>
      <c r="F649" s="3">
        <v>45686</v>
      </c>
      <c r="G649" s="3">
        <v>45690</v>
      </c>
      <c r="H649" s="1" t="s">
        <v>27</v>
      </c>
      <c r="I649" s="1" t="s">
        <v>51</v>
      </c>
      <c r="J649" s="1">
        <v>5</v>
      </c>
      <c r="K649" s="1" t="s">
        <v>19</v>
      </c>
      <c r="L649" s="1" t="s">
        <v>59</v>
      </c>
      <c r="M649" s="1">
        <f>orders[[#This Row],[Ship Date]]-orders[[#This Row],[Order Date]]</f>
        <v>4</v>
      </c>
      <c r="N649" s="1">
        <f>WEEKNUM(orders[[#This Row],[Order Date]])</f>
        <v>5</v>
      </c>
      <c r="O649" s="1" t="str" cm="1">
        <f t="array" ref="O649">_xlfn.IFS(orders[[#This Row],[Customer Gender]]="M","Male", orders[[#This Row],[Customer Gender]]="F","Female", orders[[#This Row],[Customer Gender]]="O","Other", TRUE,"Unknown")</f>
        <v>Female</v>
      </c>
    </row>
    <row r="650" spans="1:15">
      <c r="A650" s="1" t="s">
        <v>742</v>
      </c>
      <c r="B650" s="1" t="s">
        <v>81</v>
      </c>
      <c r="C650" s="1">
        <v>1</v>
      </c>
      <c r="D650" s="1">
        <v>15</v>
      </c>
      <c r="E650" s="11">
        <v>15</v>
      </c>
      <c r="F650" s="3">
        <v>45686</v>
      </c>
      <c r="G650" s="3">
        <v>45691</v>
      </c>
      <c r="H650" s="1" t="s">
        <v>27</v>
      </c>
      <c r="I650" s="1" t="s">
        <v>51</v>
      </c>
      <c r="J650" s="1">
        <v>4</v>
      </c>
      <c r="K650" s="1" t="s">
        <v>19</v>
      </c>
      <c r="L650" s="1" t="s">
        <v>62</v>
      </c>
      <c r="M650" s="1">
        <f>orders[[#This Row],[Ship Date]]-orders[[#This Row],[Order Date]]</f>
        <v>5</v>
      </c>
      <c r="N650" s="1">
        <f>WEEKNUM(orders[[#This Row],[Order Date]])</f>
        <v>5</v>
      </c>
      <c r="O650" s="1" t="str" cm="1">
        <f t="array" ref="O650">_xlfn.IFS(orders[[#This Row],[Customer Gender]]="M","Male", orders[[#This Row],[Customer Gender]]="F","Female", orders[[#This Row],[Customer Gender]]="O","Other", TRUE,"Unknown")</f>
        <v>Female</v>
      </c>
    </row>
    <row r="651" spans="1:15">
      <c r="A651" s="1" t="s">
        <v>743</v>
      </c>
      <c r="B651" s="1" t="s">
        <v>69</v>
      </c>
      <c r="C651" s="1">
        <v>3</v>
      </c>
      <c r="D651" s="1">
        <v>94.6</v>
      </c>
      <c r="E651" s="11">
        <v>283.79999999999995</v>
      </c>
      <c r="F651" s="3">
        <v>45686</v>
      </c>
      <c r="G651" s="3">
        <v>45687</v>
      </c>
      <c r="H651" s="1" t="s">
        <v>23</v>
      </c>
      <c r="I651" s="1" t="s">
        <v>40</v>
      </c>
      <c r="J651" s="1">
        <v>3</v>
      </c>
      <c r="K651" s="1" t="s">
        <v>19</v>
      </c>
      <c r="L651" s="1" t="s">
        <v>62</v>
      </c>
      <c r="M651" s="1">
        <f>orders[[#This Row],[Ship Date]]-orders[[#This Row],[Order Date]]</f>
        <v>1</v>
      </c>
      <c r="N651" s="1">
        <f>WEEKNUM(orders[[#This Row],[Order Date]])</f>
        <v>5</v>
      </c>
      <c r="O651" s="1" t="str" cm="1">
        <f t="array" ref="O651">_xlfn.IFS(orders[[#This Row],[Customer Gender]]="M","Male", orders[[#This Row],[Customer Gender]]="F","Female", orders[[#This Row],[Customer Gender]]="O","Other", TRUE,"Unknown")</f>
        <v>Male</v>
      </c>
    </row>
    <row r="652" spans="1:15">
      <c r="A652" s="1" t="s">
        <v>744</v>
      </c>
      <c r="B652" s="1" t="s">
        <v>16</v>
      </c>
      <c r="C652" s="1">
        <v>6</v>
      </c>
      <c r="D652" s="1">
        <v>19.7</v>
      </c>
      <c r="E652" s="11">
        <v>118.19999999999999</v>
      </c>
      <c r="F652" s="3">
        <v>45686</v>
      </c>
      <c r="G652" s="3">
        <v>45697</v>
      </c>
      <c r="H652" s="1" t="s">
        <v>27</v>
      </c>
      <c r="I652" s="1" t="s">
        <v>18</v>
      </c>
      <c r="J652" s="1">
        <v>5</v>
      </c>
      <c r="K652" s="1" t="s">
        <v>19</v>
      </c>
      <c r="L652" s="1" t="s">
        <v>62</v>
      </c>
      <c r="M652" s="1">
        <f>orders[[#This Row],[Ship Date]]-orders[[#This Row],[Order Date]]</f>
        <v>11</v>
      </c>
      <c r="N652" s="1">
        <f>WEEKNUM(orders[[#This Row],[Order Date]])</f>
        <v>5</v>
      </c>
      <c r="O652" s="1" t="str" cm="1">
        <f t="array" ref="O652">_xlfn.IFS(orders[[#This Row],[Customer Gender]]="M","Male", orders[[#This Row],[Customer Gender]]="F","Female", orders[[#This Row],[Customer Gender]]="O","Other", TRUE,"Unknown")</f>
        <v>Female</v>
      </c>
    </row>
    <row r="653" spans="1:15">
      <c r="A653" s="1" t="s">
        <v>745</v>
      </c>
      <c r="B653" s="1" t="s">
        <v>42</v>
      </c>
      <c r="C653" s="1">
        <v>1</v>
      </c>
      <c r="D653" s="1">
        <v>46.7</v>
      </c>
      <c r="E653" s="11">
        <v>46.7</v>
      </c>
      <c r="F653" s="3">
        <v>45686</v>
      </c>
      <c r="G653" s="3">
        <v>45689</v>
      </c>
      <c r="H653" s="1" t="s">
        <v>27</v>
      </c>
      <c r="I653" s="1" t="s">
        <v>40</v>
      </c>
      <c r="J653" s="1">
        <v>4</v>
      </c>
      <c r="K653" s="1" t="s">
        <v>19</v>
      </c>
      <c r="L653" s="1" t="s">
        <v>103</v>
      </c>
      <c r="M653" s="1">
        <f>orders[[#This Row],[Ship Date]]-orders[[#This Row],[Order Date]]</f>
        <v>3</v>
      </c>
      <c r="N653" s="1">
        <f>WEEKNUM(orders[[#This Row],[Order Date]])</f>
        <v>5</v>
      </c>
      <c r="O653" s="1" t="str" cm="1">
        <f t="array" ref="O653">_xlfn.IFS(orders[[#This Row],[Customer Gender]]="M","Male", orders[[#This Row],[Customer Gender]]="F","Female", orders[[#This Row],[Customer Gender]]="O","Other", TRUE,"Unknown")</f>
        <v>Female</v>
      </c>
    </row>
    <row r="654" spans="1:15">
      <c r="A654" s="1" t="s">
        <v>746</v>
      </c>
      <c r="B654" s="1" t="s">
        <v>22</v>
      </c>
      <c r="C654" s="1">
        <v>4</v>
      </c>
      <c r="D654" s="1">
        <v>43</v>
      </c>
      <c r="E654" s="11">
        <v>172</v>
      </c>
      <c r="F654" s="3">
        <v>45686</v>
      </c>
      <c r="G654" s="3">
        <v>45687</v>
      </c>
      <c r="H654" s="1" t="s">
        <v>23</v>
      </c>
      <c r="I654" s="1" t="s">
        <v>40</v>
      </c>
      <c r="J654" s="1">
        <v>5</v>
      </c>
      <c r="K654" s="1" t="s">
        <v>19</v>
      </c>
      <c r="L654" s="1" t="s">
        <v>103</v>
      </c>
      <c r="M654" s="1">
        <f>orders[[#This Row],[Ship Date]]-orders[[#This Row],[Order Date]]</f>
        <v>1</v>
      </c>
      <c r="N654" s="1">
        <f>WEEKNUM(orders[[#This Row],[Order Date]])</f>
        <v>5</v>
      </c>
      <c r="O654" s="1" t="str" cm="1">
        <f t="array" ref="O654">_xlfn.IFS(orders[[#This Row],[Customer Gender]]="M","Male", orders[[#This Row],[Customer Gender]]="F","Female", orders[[#This Row],[Customer Gender]]="O","Other", TRUE,"Unknown")</f>
        <v>Male</v>
      </c>
    </row>
    <row r="655" spans="1:15">
      <c r="A655" s="1" t="s">
        <v>747</v>
      </c>
      <c r="B655" s="1" t="s">
        <v>39</v>
      </c>
      <c r="C655" s="1">
        <v>3</v>
      </c>
      <c r="D655" s="1">
        <v>68.2</v>
      </c>
      <c r="E655" s="11">
        <v>204.60000000000002</v>
      </c>
      <c r="F655" s="3">
        <v>45686</v>
      </c>
      <c r="G655" s="3">
        <v>45692</v>
      </c>
      <c r="H655" s="1" t="s">
        <v>27</v>
      </c>
      <c r="I655" s="1" t="s">
        <v>18</v>
      </c>
      <c r="J655" s="1">
        <v>4</v>
      </c>
      <c r="K655" s="1" t="s">
        <v>19</v>
      </c>
      <c r="L655" s="1" t="s">
        <v>72</v>
      </c>
      <c r="M655" s="1">
        <f>orders[[#This Row],[Ship Date]]-orders[[#This Row],[Order Date]]</f>
        <v>6</v>
      </c>
      <c r="N655" s="1">
        <f>WEEKNUM(orders[[#This Row],[Order Date]])</f>
        <v>5</v>
      </c>
      <c r="O655" s="1" t="str" cm="1">
        <f t="array" ref="O655">_xlfn.IFS(orders[[#This Row],[Customer Gender]]="M","Male", orders[[#This Row],[Customer Gender]]="F","Female", orders[[#This Row],[Customer Gender]]="O","Other", TRUE,"Unknown")</f>
        <v>Female</v>
      </c>
    </row>
    <row r="656" spans="1:15">
      <c r="A656" s="1" t="s">
        <v>748</v>
      </c>
      <c r="B656" s="1" t="s">
        <v>54</v>
      </c>
      <c r="C656" s="1">
        <v>10</v>
      </c>
      <c r="D656" s="1">
        <v>24.3</v>
      </c>
      <c r="E656" s="11">
        <v>243</v>
      </c>
      <c r="F656" s="3">
        <v>45686</v>
      </c>
      <c r="G656" s="3">
        <v>45687</v>
      </c>
      <c r="H656" s="1" t="s">
        <v>23</v>
      </c>
      <c r="I656" s="1" t="s">
        <v>18</v>
      </c>
      <c r="J656" s="1">
        <v>5</v>
      </c>
      <c r="K656" s="1" t="s">
        <v>19</v>
      </c>
      <c r="L656" s="1" t="s">
        <v>74</v>
      </c>
      <c r="M656" s="1">
        <f>orders[[#This Row],[Ship Date]]-orders[[#This Row],[Order Date]]</f>
        <v>1</v>
      </c>
      <c r="N656" s="1">
        <f>WEEKNUM(orders[[#This Row],[Order Date]])</f>
        <v>5</v>
      </c>
      <c r="O656" s="1" t="str" cm="1">
        <f t="array" ref="O656">_xlfn.IFS(orders[[#This Row],[Customer Gender]]="M","Male", orders[[#This Row],[Customer Gender]]="F","Female", orders[[#This Row],[Customer Gender]]="O","Other", TRUE,"Unknown")</f>
        <v>Male</v>
      </c>
    </row>
    <row r="657" spans="1:15">
      <c r="A657" s="1" t="s">
        <v>749</v>
      </c>
      <c r="B657" s="1" t="s">
        <v>42</v>
      </c>
      <c r="C657" s="1">
        <v>2</v>
      </c>
      <c r="D657" s="1">
        <v>86.8</v>
      </c>
      <c r="E657" s="11">
        <v>173.6</v>
      </c>
      <c r="F657" s="3">
        <v>45686</v>
      </c>
      <c r="G657" s="3">
        <v>45690</v>
      </c>
      <c r="H657" s="1" t="s">
        <v>27</v>
      </c>
      <c r="I657" s="1" t="s">
        <v>70</v>
      </c>
      <c r="J657" s="1">
        <v>5</v>
      </c>
      <c r="K657" s="1" t="s">
        <v>19</v>
      </c>
      <c r="L657" s="1" t="s">
        <v>77</v>
      </c>
      <c r="M657" s="1">
        <f>orders[[#This Row],[Ship Date]]-orders[[#This Row],[Order Date]]</f>
        <v>4</v>
      </c>
      <c r="N657" s="1">
        <f>WEEKNUM(orders[[#This Row],[Order Date]])</f>
        <v>5</v>
      </c>
      <c r="O657" s="1" t="str" cm="1">
        <f t="array" ref="O657">_xlfn.IFS(orders[[#This Row],[Customer Gender]]="M","Male", orders[[#This Row],[Customer Gender]]="F","Female", orders[[#This Row],[Customer Gender]]="O","Other", TRUE,"Unknown")</f>
        <v>Female</v>
      </c>
    </row>
    <row r="658" spans="1:15">
      <c r="A658" s="1" t="s">
        <v>750</v>
      </c>
      <c r="B658" s="1" t="s">
        <v>16</v>
      </c>
      <c r="C658" s="1">
        <v>2</v>
      </c>
      <c r="D658" s="1">
        <v>15.8</v>
      </c>
      <c r="E658" s="11">
        <v>31.6</v>
      </c>
      <c r="F658" s="3">
        <v>45686</v>
      </c>
      <c r="G658" s="3">
        <v>45688</v>
      </c>
      <c r="H658" s="1" t="s">
        <v>23</v>
      </c>
      <c r="I658" s="1" t="s">
        <v>35</v>
      </c>
      <c r="J658" s="1">
        <v>4</v>
      </c>
      <c r="K658" s="1" t="s">
        <v>19</v>
      </c>
      <c r="L658" s="1" t="s">
        <v>77</v>
      </c>
      <c r="M658" s="1">
        <f>orders[[#This Row],[Ship Date]]-orders[[#This Row],[Order Date]]</f>
        <v>2</v>
      </c>
      <c r="N658" s="1">
        <f>WEEKNUM(orders[[#This Row],[Order Date]])</f>
        <v>5</v>
      </c>
      <c r="O658" s="1" t="str" cm="1">
        <f t="array" ref="O658">_xlfn.IFS(orders[[#This Row],[Customer Gender]]="M","Male", orders[[#This Row],[Customer Gender]]="F","Female", orders[[#This Row],[Customer Gender]]="O","Other", TRUE,"Unknown")</f>
        <v>Male</v>
      </c>
    </row>
    <row r="659" spans="1:15">
      <c r="A659" s="1" t="s">
        <v>751</v>
      </c>
      <c r="B659" s="1" t="s">
        <v>26</v>
      </c>
      <c r="C659" s="1">
        <v>4</v>
      </c>
      <c r="D659" s="1">
        <v>61.6</v>
      </c>
      <c r="E659" s="11">
        <v>246.4</v>
      </c>
      <c r="F659" s="3">
        <v>45686</v>
      </c>
      <c r="G659" s="3">
        <v>45687</v>
      </c>
      <c r="H659" s="1" t="s">
        <v>23</v>
      </c>
      <c r="I659" s="1" t="s">
        <v>40</v>
      </c>
      <c r="J659" s="1">
        <v>4</v>
      </c>
      <c r="K659" s="1" t="s">
        <v>19</v>
      </c>
      <c r="L659" s="1" t="s">
        <v>77</v>
      </c>
      <c r="M659" s="1">
        <f>orders[[#This Row],[Ship Date]]-orders[[#This Row],[Order Date]]</f>
        <v>1</v>
      </c>
      <c r="N659" s="1">
        <f>WEEKNUM(orders[[#This Row],[Order Date]])</f>
        <v>5</v>
      </c>
      <c r="O659" s="1" t="str" cm="1">
        <f t="array" ref="O659">_xlfn.IFS(orders[[#This Row],[Customer Gender]]="M","Male", orders[[#This Row],[Customer Gender]]="F","Female", orders[[#This Row],[Customer Gender]]="O","Other", TRUE,"Unknown")</f>
        <v>Male</v>
      </c>
    </row>
    <row r="660" spans="1:15">
      <c r="A660" s="1" t="s">
        <v>752</v>
      </c>
      <c r="B660" s="1" t="s">
        <v>39</v>
      </c>
      <c r="C660" s="1">
        <v>3</v>
      </c>
      <c r="D660" s="1">
        <v>48.7</v>
      </c>
      <c r="E660" s="11">
        <v>146.10000000000002</v>
      </c>
      <c r="F660" s="3">
        <v>45686</v>
      </c>
      <c r="G660" s="3">
        <v>45692</v>
      </c>
      <c r="H660" s="1" t="s">
        <v>27</v>
      </c>
      <c r="I660" s="1" t="s">
        <v>35</v>
      </c>
      <c r="J660" s="1">
        <v>5</v>
      </c>
      <c r="K660" s="1" t="s">
        <v>19</v>
      </c>
      <c r="L660" s="1" t="s">
        <v>608</v>
      </c>
      <c r="M660" s="1">
        <f>orders[[#This Row],[Ship Date]]-orders[[#This Row],[Order Date]]</f>
        <v>6</v>
      </c>
      <c r="N660" s="1">
        <f>WEEKNUM(orders[[#This Row],[Order Date]])</f>
        <v>5</v>
      </c>
      <c r="O660" s="1" t="str" cm="1">
        <f t="array" ref="O660">_xlfn.IFS(orders[[#This Row],[Customer Gender]]="M","Male", orders[[#This Row],[Customer Gender]]="F","Female", orders[[#This Row],[Customer Gender]]="O","Other", TRUE,"Unknown")</f>
        <v>Female</v>
      </c>
    </row>
    <row r="661" spans="1:15">
      <c r="A661" s="1" t="s">
        <v>753</v>
      </c>
      <c r="B661" s="1" t="s">
        <v>44</v>
      </c>
      <c r="C661" s="1">
        <v>4</v>
      </c>
      <c r="D661" s="1">
        <v>24.3</v>
      </c>
      <c r="E661" s="11">
        <v>97.2</v>
      </c>
      <c r="F661" s="3">
        <v>45686</v>
      </c>
      <c r="G661" s="3">
        <v>45688</v>
      </c>
      <c r="H661" s="1" t="s">
        <v>27</v>
      </c>
      <c r="I661" s="1" t="s">
        <v>35</v>
      </c>
      <c r="J661" s="1">
        <v>5</v>
      </c>
      <c r="K661" s="1" t="s">
        <v>19</v>
      </c>
      <c r="L661" s="1" t="s">
        <v>115</v>
      </c>
      <c r="M661" s="1">
        <f>orders[[#This Row],[Ship Date]]-orders[[#This Row],[Order Date]]</f>
        <v>2</v>
      </c>
      <c r="N661" s="1">
        <f>WEEKNUM(orders[[#This Row],[Order Date]])</f>
        <v>5</v>
      </c>
      <c r="O661" s="1" t="str" cm="1">
        <f t="array" ref="O661">_xlfn.IFS(orders[[#This Row],[Customer Gender]]="M","Male", orders[[#This Row],[Customer Gender]]="F","Female", orders[[#This Row],[Customer Gender]]="O","Other", TRUE,"Unknown")</f>
        <v>Female</v>
      </c>
    </row>
    <row r="662" spans="1:15">
      <c r="A662" s="1" t="s">
        <v>754</v>
      </c>
      <c r="B662" s="1" t="s">
        <v>26</v>
      </c>
      <c r="C662" s="1">
        <v>2</v>
      </c>
      <c r="D662" s="1">
        <v>130.69999999999999</v>
      </c>
      <c r="E662" s="11">
        <v>261.39999999999998</v>
      </c>
      <c r="F662" s="3">
        <v>45686</v>
      </c>
      <c r="G662" s="3">
        <v>45687</v>
      </c>
      <c r="H662" s="1" t="s">
        <v>27</v>
      </c>
      <c r="I662" s="1" t="s">
        <v>40</v>
      </c>
      <c r="J662" s="1">
        <v>4</v>
      </c>
      <c r="K662" s="1" t="s">
        <v>19</v>
      </c>
      <c r="L662" s="1" t="s">
        <v>587</v>
      </c>
      <c r="M662" s="1">
        <f>orders[[#This Row],[Ship Date]]-orders[[#This Row],[Order Date]]</f>
        <v>1</v>
      </c>
      <c r="N662" s="1">
        <f>WEEKNUM(orders[[#This Row],[Order Date]])</f>
        <v>5</v>
      </c>
      <c r="O662" s="1" t="str" cm="1">
        <f t="array" ref="O662">_xlfn.IFS(orders[[#This Row],[Customer Gender]]="M","Male", orders[[#This Row],[Customer Gender]]="F","Female", orders[[#This Row],[Customer Gender]]="O","Other", TRUE,"Unknown")</f>
        <v>Female</v>
      </c>
    </row>
    <row r="663" spans="1:15">
      <c r="A663" s="1" t="s">
        <v>755</v>
      </c>
      <c r="B663" s="1" t="s">
        <v>54</v>
      </c>
      <c r="C663" s="1">
        <v>1</v>
      </c>
      <c r="D663" s="1">
        <v>26</v>
      </c>
      <c r="E663" s="11">
        <v>26</v>
      </c>
      <c r="F663" s="3">
        <v>45686</v>
      </c>
      <c r="G663" s="3">
        <v>45688</v>
      </c>
      <c r="H663" s="1" t="s">
        <v>23</v>
      </c>
      <c r="I663" s="1" t="s">
        <v>18</v>
      </c>
      <c r="J663" s="1">
        <v>4</v>
      </c>
      <c r="K663" s="1" t="s">
        <v>19</v>
      </c>
      <c r="L663" s="1" t="s">
        <v>33</v>
      </c>
      <c r="M663" s="1">
        <f>orders[[#This Row],[Ship Date]]-orders[[#This Row],[Order Date]]</f>
        <v>2</v>
      </c>
      <c r="N663" s="1">
        <f>WEEKNUM(orders[[#This Row],[Order Date]])</f>
        <v>5</v>
      </c>
      <c r="O663" s="1" t="str" cm="1">
        <f t="array" ref="O663">_xlfn.IFS(orders[[#This Row],[Customer Gender]]="M","Male", orders[[#This Row],[Customer Gender]]="F","Female", orders[[#This Row],[Customer Gender]]="O","Other", TRUE,"Unknown")</f>
        <v>Male</v>
      </c>
    </row>
    <row r="664" spans="1:15">
      <c r="A664" s="1" t="s">
        <v>756</v>
      </c>
      <c r="B664" s="1" t="s">
        <v>26</v>
      </c>
      <c r="C664" s="1">
        <v>5</v>
      </c>
      <c r="D664" s="1">
        <v>94.4</v>
      </c>
      <c r="E664" s="11">
        <v>472</v>
      </c>
      <c r="F664" s="3">
        <v>45686</v>
      </c>
      <c r="G664" s="3">
        <v>45687</v>
      </c>
      <c r="H664" s="1" t="s">
        <v>27</v>
      </c>
      <c r="I664" s="1" t="s">
        <v>18</v>
      </c>
      <c r="J664" s="1">
        <v>4</v>
      </c>
      <c r="K664" s="1" t="s">
        <v>19</v>
      </c>
      <c r="L664" s="1" t="s">
        <v>33</v>
      </c>
      <c r="M664" s="1">
        <f>orders[[#This Row],[Ship Date]]-orders[[#This Row],[Order Date]]</f>
        <v>1</v>
      </c>
      <c r="N664" s="1">
        <f>WEEKNUM(orders[[#This Row],[Order Date]])</f>
        <v>5</v>
      </c>
      <c r="O664" s="1" t="str" cm="1">
        <f t="array" ref="O664">_xlfn.IFS(orders[[#This Row],[Customer Gender]]="M","Male", orders[[#This Row],[Customer Gender]]="F","Female", orders[[#This Row],[Customer Gender]]="O","Other", TRUE,"Unknown")</f>
        <v>Female</v>
      </c>
    </row>
    <row r="665" spans="1:15">
      <c r="A665" s="1" t="s">
        <v>757</v>
      </c>
      <c r="B665" s="1" t="s">
        <v>16</v>
      </c>
      <c r="C665" s="1">
        <v>6</v>
      </c>
      <c r="D665" s="1">
        <v>23.7</v>
      </c>
      <c r="E665" s="11">
        <v>142.19999999999999</v>
      </c>
      <c r="F665" s="3">
        <v>45686</v>
      </c>
      <c r="G665" s="3">
        <v>45688</v>
      </c>
      <c r="H665" s="1" t="s">
        <v>23</v>
      </c>
      <c r="I665" s="1" t="s">
        <v>40</v>
      </c>
      <c r="J665" s="1">
        <v>5</v>
      </c>
      <c r="K665" s="1" t="s">
        <v>19</v>
      </c>
      <c r="L665" s="1" t="s">
        <v>33</v>
      </c>
      <c r="M665" s="1">
        <f>orders[[#This Row],[Ship Date]]-orders[[#This Row],[Order Date]]</f>
        <v>2</v>
      </c>
      <c r="N665" s="1">
        <f>WEEKNUM(orders[[#This Row],[Order Date]])</f>
        <v>5</v>
      </c>
      <c r="O665" s="1" t="str" cm="1">
        <f t="array" ref="O665">_xlfn.IFS(orders[[#This Row],[Customer Gender]]="M","Male", orders[[#This Row],[Customer Gender]]="F","Female", orders[[#This Row],[Customer Gender]]="O","Other", TRUE,"Unknown")</f>
        <v>Male</v>
      </c>
    </row>
    <row r="666" spans="1:15">
      <c r="A666" s="1" t="s">
        <v>758</v>
      </c>
      <c r="B666" s="1" t="s">
        <v>46</v>
      </c>
      <c r="C666" s="1">
        <v>12</v>
      </c>
      <c r="D666" s="1">
        <v>37.4</v>
      </c>
      <c r="E666" s="11">
        <v>448.79999999999995</v>
      </c>
      <c r="F666" s="3">
        <v>45686</v>
      </c>
      <c r="G666" s="3">
        <v>45688</v>
      </c>
      <c r="H666" s="1" t="s">
        <v>23</v>
      </c>
      <c r="I666" s="1" t="s">
        <v>40</v>
      </c>
      <c r="J666" s="1">
        <v>4</v>
      </c>
      <c r="K666" s="1" t="s">
        <v>19</v>
      </c>
      <c r="L666" s="1" t="s">
        <v>33</v>
      </c>
      <c r="M666" s="1">
        <f>orders[[#This Row],[Ship Date]]-orders[[#This Row],[Order Date]]</f>
        <v>2</v>
      </c>
      <c r="N666" s="1">
        <f>WEEKNUM(orders[[#This Row],[Order Date]])</f>
        <v>5</v>
      </c>
      <c r="O666" s="1" t="str" cm="1">
        <f t="array" ref="O666">_xlfn.IFS(orders[[#This Row],[Customer Gender]]="M","Male", orders[[#This Row],[Customer Gender]]="F","Female", orders[[#This Row],[Customer Gender]]="O","Other", TRUE,"Unknown")</f>
        <v>Male</v>
      </c>
    </row>
    <row r="667" spans="1:15">
      <c r="A667" s="1" t="s">
        <v>759</v>
      </c>
      <c r="B667" s="1" t="s">
        <v>22</v>
      </c>
      <c r="C667" s="1">
        <v>36</v>
      </c>
      <c r="D667" s="1">
        <v>55.2</v>
      </c>
      <c r="E667" s="11">
        <v>1987.2</v>
      </c>
      <c r="F667" s="3">
        <v>45686</v>
      </c>
      <c r="G667" s="3">
        <v>45686</v>
      </c>
      <c r="H667" s="1" t="s">
        <v>27</v>
      </c>
      <c r="I667" s="1" t="s">
        <v>51</v>
      </c>
      <c r="J667" s="1">
        <v>3</v>
      </c>
      <c r="K667" s="1" t="s">
        <v>19</v>
      </c>
      <c r="L667" s="1" t="s">
        <v>33</v>
      </c>
      <c r="M667" s="1">
        <f>orders[[#This Row],[Ship Date]]-orders[[#This Row],[Order Date]]</f>
        <v>0</v>
      </c>
      <c r="N667" s="1">
        <f>WEEKNUM(orders[[#This Row],[Order Date]])</f>
        <v>5</v>
      </c>
      <c r="O667" s="1" t="str" cm="1">
        <f t="array" ref="O667">_xlfn.IFS(orders[[#This Row],[Customer Gender]]="M","Male", orders[[#This Row],[Customer Gender]]="F","Female", orders[[#This Row],[Customer Gender]]="O","Other", TRUE,"Unknown")</f>
        <v>Female</v>
      </c>
    </row>
    <row r="668" spans="1:15">
      <c r="A668" s="1" t="s">
        <v>760</v>
      </c>
      <c r="B668" s="1" t="s">
        <v>26</v>
      </c>
      <c r="C668" s="1">
        <v>9</v>
      </c>
      <c r="D668" s="1">
        <v>57.1</v>
      </c>
      <c r="E668" s="11">
        <v>513.9</v>
      </c>
      <c r="F668" s="3">
        <v>45686</v>
      </c>
      <c r="G668" s="3">
        <v>45688</v>
      </c>
      <c r="H668" s="1" t="s">
        <v>23</v>
      </c>
      <c r="I668" s="1" t="s">
        <v>18</v>
      </c>
      <c r="J668" s="1">
        <v>5</v>
      </c>
      <c r="K668" s="1" t="s">
        <v>19</v>
      </c>
      <c r="L668" s="1" t="s">
        <v>33</v>
      </c>
      <c r="M668" s="1">
        <f>orders[[#This Row],[Ship Date]]-orders[[#This Row],[Order Date]]</f>
        <v>2</v>
      </c>
      <c r="N668" s="1">
        <f>WEEKNUM(orders[[#This Row],[Order Date]])</f>
        <v>5</v>
      </c>
      <c r="O668" s="1" t="str" cm="1">
        <f t="array" ref="O668">_xlfn.IFS(orders[[#This Row],[Customer Gender]]="M","Male", orders[[#This Row],[Customer Gender]]="F","Female", orders[[#This Row],[Customer Gender]]="O","Other", TRUE,"Unknown")</f>
        <v>Male</v>
      </c>
    </row>
    <row r="669" spans="1:15">
      <c r="A669" s="1" t="s">
        <v>761</v>
      </c>
      <c r="B669" s="1" t="s">
        <v>69</v>
      </c>
      <c r="C669" s="1">
        <v>1</v>
      </c>
      <c r="D669" s="1">
        <v>55.3</v>
      </c>
      <c r="E669" s="11">
        <v>55.3</v>
      </c>
      <c r="F669" s="3">
        <v>45686</v>
      </c>
      <c r="G669" s="3">
        <v>45687</v>
      </c>
      <c r="H669" s="1" t="s">
        <v>27</v>
      </c>
      <c r="I669" s="1" t="s">
        <v>40</v>
      </c>
      <c r="J669" s="1">
        <v>5</v>
      </c>
      <c r="K669" s="1" t="s">
        <v>19</v>
      </c>
      <c r="L669" s="1" t="s">
        <v>33</v>
      </c>
      <c r="M669" s="1">
        <f>orders[[#This Row],[Ship Date]]-orders[[#This Row],[Order Date]]</f>
        <v>1</v>
      </c>
      <c r="N669" s="1">
        <f>WEEKNUM(orders[[#This Row],[Order Date]])</f>
        <v>5</v>
      </c>
      <c r="O669" s="1" t="str" cm="1">
        <f t="array" ref="O669">_xlfn.IFS(orders[[#This Row],[Customer Gender]]="M","Male", orders[[#This Row],[Customer Gender]]="F","Female", orders[[#This Row],[Customer Gender]]="O","Other", TRUE,"Unknown")</f>
        <v>Female</v>
      </c>
    </row>
    <row r="670" spans="1:15">
      <c r="A670" s="1" t="s">
        <v>762</v>
      </c>
      <c r="B670" s="1" t="s">
        <v>123</v>
      </c>
      <c r="C670" s="1">
        <v>7</v>
      </c>
      <c r="D670" s="1">
        <v>23.9</v>
      </c>
      <c r="E670" s="11">
        <v>167.29999999999998</v>
      </c>
      <c r="F670" s="3">
        <v>45686</v>
      </c>
      <c r="G670" s="3">
        <v>45687</v>
      </c>
      <c r="H670" s="1" t="s">
        <v>27</v>
      </c>
      <c r="I670" s="1" t="s">
        <v>70</v>
      </c>
      <c r="J670" s="1">
        <v>3</v>
      </c>
      <c r="K670" s="1" t="s">
        <v>19</v>
      </c>
      <c r="L670" s="1" t="s">
        <v>33</v>
      </c>
      <c r="M670" s="1">
        <f>orders[[#This Row],[Ship Date]]-orders[[#This Row],[Order Date]]</f>
        <v>1</v>
      </c>
      <c r="N670" s="1">
        <f>WEEKNUM(orders[[#This Row],[Order Date]])</f>
        <v>5</v>
      </c>
      <c r="O670" s="1" t="str" cm="1">
        <f t="array" ref="O670">_xlfn.IFS(orders[[#This Row],[Customer Gender]]="M","Male", orders[[#This Row],[Customer Gender]]="F","Female", orders[[#This Row],[Customer Gender]]="O","Other", TRUE,"Unknown")</f>
        <v>Female</v>
      </c>
    </row>
    <row r="671" spans="1:15">
      <c r="A671" s="1" t="s">
        <v>763</v>
      </c>
      <c r="B671" s="1" t="s">
        <v>16</v>
      </c>
      <c r="C671" s="1">
        <v>1</v>
      </c>
      <c r="D671" s="1">
        <v>34.1</v>
      </c>
      <c r="E671" s="11">
        <v>34.1</v>
      </c>
      <c r="F671" s="3">
        <v>45686</v>
      </c>
      <c r="G671" s="3">
        <v>45693</v>
      </c>
      <c r="H671" s="1" t="s">
        <v>27</v>
      </c>
      <c r="I671" s="1" t="s">
        <v>40</v>
      </c>
      <c r="J671" s="1">
        <v>4</v>
      </c>
      <c r="K671" s="1" t="s">
        <v>19</v>
      </c>
      <c r="L671" s="1" t="s">
        <v>33</v>
      </c>
      <c r="M671" s="1">
        <f>orders[[#This Row],[Ship Date]]-orders[[#This Row],[Order Date]]</f>
        <v>7</v>
      </c>
      <c r="N671" s="1">
        <f>WEEKNUM(orders[[#This Row],[Order Date]])</f>
        <v>5</v>
      </c>
      <c r="O671" s="1" t="str" cm="1">
        <f t="array" ref="O671">_xlfn.IFS(orders[[#This Row],[Customer Gender]]="M","Male", orders[[#This Row],[Customer Gender]]="F","Female", orders[[#This Row],[Customer Gender]]="O","Other", TRUE,"Unknown")</f>
        <v>Female</v>
      </c>
    </row>
    <row r="672" spans="1:15">
      <c r="A672" s="1" t="s">
        <v>764</v>
      </c>
      <c r="B672" s="1" t="s">
        <v>69</v>
      </c>
      <c r="C672" s="1">
        <v>4</v>
      </c>
      <c r="D672" s="1">
        <v>38.5</v>
      </c>
      <c r="E672" s="11">
        <v>154</v>
      </c>
      <c r="F672" s="3">
        <v>45686</v>
      </c>
      <c r="G672" s="3">
        <v>45697</v>
      </c>
      <c r="H672" s="1" t="s">
        <v>27</v>
      </c>
      <c r="I672" s="1" t="s">
        <v>18</v>
      </c>
      <c r="J672" s="1">
        <v>4</v>
      </c>
      <c r="K672" s="1" t="s">
        <v>19</v>
      </c>
      <c r="L672" s="1" t="s">
        <v>33</v>
      </c>
      <c r="M672" s="1">
        <f>orders[[#This Row],[Ship Date]]-orders[[#This Row],[Order Date]]</f>
        <v>11</v>
      </c>
      <c r="N672" s="1">
        <f>WEEKNUM(orders[[#This Row],[Order Date]])</f>
        <v>5</v>
      </c>
      <c r="O672" s="1" t="str" cm="1">
        <f t="array" ref="O672">_xlfn.IFS(orders[[#This Row],[Customer Gender]]="M","Male", orders[[#This Row],[Customer Gender]]="F","Female", orders[[#This Row],[Customer Gender]]="O","Other", TRUE,"Unknown")</f>
        <v>Female</v>
      </c>
    </row>
    <row r="673" spans="1:15">
      <c r="A673" s="1" t="s">
        <v>765</v>
      </c>
      <c r="B673" s="1" t="s">
        <v>42</v>
      </c>
      <c r="C673" s="1">
        <v>2</v>
      </c>
      <c r="D673" s="1">
        <v>105</v>
      </c>
      <c r="E673" s="11">
        <v>210</v>
      </c>
      <c r="F673" s="3">
        <v>45686</v>
      </c>
      <c r="G673" s="3">
        <v>45692</v>
      </c>
      <c r="H673" s="1" t="s">
        <v>27</v>
      </c>
      <c r="I673" s="1" t="s">
        <v>18</v>
      </c>
      <c r="J673" s="1">
        <v>5</v>
      </c>
      <c r="K673" s="1" t="s">
        <v>19</v>
      </c>
      <c r="L673" s="1" t="s">
        <v>33</v>
      </c>
      <c r="M673" s="1">
        <f>orders[[#This Row],[Ship Date]]-orders[[#This Row],[Order Date]]</f>
        <v>6</v>
      </c>
      <c r="N673" s="1">
        <f>WEEKNUM(orders[[#This Row],[Order Date]])</f>
        <v>5</v>
      </c>
      <c r="O673" s="1" t="str" cm="1">
        <f t="array" ref="O673">_xlfn.IFS(orders[[#This Row],[Customer Gender]]="M","Male", orders[[#This Row],[Customer Gender]]="F","Female", orders[[#This Row],[Customer Gender]]="O","Other", TRUE,"Unknown")</f>
        <v>Female</v>
      </c>
    </row>
    <row r="674" spans="1:15">
      <c r="A674" s="1" t="s">
        <v>766</v>
      </c>
      <c r="B674" s="1" t="s">
        <v>44</v>
      </c>
      <c r="C674" s="1">
        <v>5</v>
      </c>
      <c r="D674" s="1">
        <v>45.2</v>
      </c>
      <c r="E674" s="11">
        <v>226</v>
      </c>
      <c r="F674" s="3">
        <v>45686</v>
      </c>
      <c r="G674" s="3">
        <v>45688</v>
      </c>
      <c r="H674" s="1" t="s">
        <v>27</v>
      </c>
      <c r="I674" s="1" t="s">
        <v>18</v>
      </c>
      <c r="J674" s="1">
        <v>5</v>
      </c>
      <c r="K674" s="1" t="s">
        <v>19</v>
      </c>
      <c r="L674" s="1" t="s">
        <v>33</v>
      </c>
      <c r="M674" s="1">
        <f>orders[[#This Row],[Ship Date]]-orders[[#This Row],[Order Date]]</f>
        <v>2</v>
      </c>
      <c r="N674" s="1">
        <f>WEEKNUM(orders[[#This Row],[Order Date]])</f>
        <v>5</v>
      </c>
      <c r="O674" s="1" t="str" cm="1">
        <f t="array" ref="O674">_xlfn.IFS(orders[[#This Row],[Customer Gender]]="M","Male", orders[[#This Row],[Customer Gender]]="F","Female", orders[[#This Row],[Customer Gender]]="O","Other", TRUE,"Unknown")</f>
        <v>Female</v>
      </c>
    </row>
    <row r="675" spans="1:15">
      <c r="A675" s="1" t="s">
        <v>767</v>
      </c>
      <c r="B675" s="1" t="s">
        <v>135</v>
      </c>
      <c r="C675" s="1">
        <v>3</v>
      </c>
      <c r="D675" s="1">
        <v>24.8</v>
      </c>
      <c r="E675" s="11">
        <v>74.400000000000006</v>
      </c>
      <c r="F675" s="3">
        <v>45686</v>
      </c>
      <c r="G675" s="3">
        <v>45686</v>
      </c>
      <c r="H675" s="1" t="s">
        <v>17</v>
      </c>
      <c r="I675" s="1" t="s">
        <v>18</v>
      </c>
      <c r="J675" s="1">
        <v>3</v>
      </c>
      <c r="K675" s="1" t="s">
        <v>19</v>
      </c>
      <c r="L675" s="1" t="s">
        <v>33</v>
      </c>
      <c r="M675" s="1">
        <f>orders[[#This Row],[Ship Date]]-orders[[#This Row],[Order Date]]</f>
        <v>0</v>
      </c>
      <c r="N675" s="1">
        <f>WEEKNUM(orders[[#This Row],[Order Date]])</f>
        <v>5</v>
      </c>
      <c r="O675" s="1" t="str" cm="1">
        <f t="array" ref="O675">_xlfn.IFS(orders[[#This Row],[Customer Gender]]="M","Male", orders[[#This Row],[Customer Gender]]="F","Female", orders[[#This Row],[Customer Gender]]="O","Other", TRUE,"Unknown")</f>
        <v>Unknown</v>
      </c>
    </row>
    <row r="676" spans="1:15">
      <c r="A676" s="1" t="s">
        <v>768</v>
      </c>
      <c r="B676" s="1" t="s">
        <v>67</v>
      </c>
      <c r="C676" s="1">
        <v>4</v>
      </c>
      <c r="D676" s="1">
        <v>43.8</v>
      </c>
      <c r="E676" s="11">
        <v>175.2</v>
      </c>
      <c r="F676" s="3">
        <v>45686</v>
      </c>
      <c r="G676" s="3">
        <v>45693</v>
      </c>
      <c r="H676" s="1" t="s">
        <v>27</v>
      </c>
      <c r="I676" s="1" t="s">
        <v>35</v>
      </c>
      <c r="J676" s="1">
        <v>5</v>
      </c>
      <c r="K676" s="1" t="s">
        <v>19</v>
      </c>
      <c r="L676" s="1" t="s">
        <v>55</v>
      </c>
      <c r="M676" s="1">
        <f>orders[[#This Row],[Ship Date]]-orders[[#This Row],[Order Date]]</f>
        <v>7</v>
      </c>
      <c r="N676" s="1">
        <f>WEEKNUM(orders[[#This Row],[Order Date]])</f>
        <v>5</v>
      </c>
      <c r="O676" s="1" t="str" cm="1">
        <f t="array" ref="O676">_xlfn.IFS(orders[[#This Row],[Customer Gender]]="M","Male", orders[[#This Row],[Customer Gender]]="F","Female", orders[[#This Row],[Customer Gender]]="O","Other", TRUE,"Unknown")</f>
        <v>Female</v>
      </c>
    </row>
    <row r="677" spans="1:15">
      <c r="A677" s="1" t="s">
        <v>769</v>
      </c>
      <c r="B677" s="1" t="s">
        <v>22</v>
      </c>
      <c r="C677" s="1">
        <v>1</v>
      </c>
      <c r="D677" s="1">
        <v>75</v>
      </c>
      <c r="E677" s="11">
        <v>75</v>
      </c>
      <c r="F677" s="3">
        <v>45686</v>
      </c>
      <c r="G677" s="3">
        <v>45688</v>
      </c>
      <c r="H677" s="1" t="s">
        <v>27</v>
      </c>
      <c r="I677" s="1" t="s">
        <v>70</v>
      </c>
      <c r="J677" s="1">
        <v>3</v>
      </c>
      <c r="K677" s="1" t="s">
        <v>19</v>
      </c>
      <c r="L677" s="1" t="s">
        <v>55</v>
      </c>
      <c r="M677" s="1">
        <f>orders[[#This Row],[Ship Date]]-orders[[#This Row],[Order Date]]</f>
        <v>2</v>
      </c>
      <c r="N677" s="1">
        <f>WEEKNUM(orders[[#This Row],[Order Date]])</f>
        <v>5</v>
      </c>
      <c r="O677" s="1" t="str" cm="1">
        <f t="array" ref="O677">_xlfn.IFS(orders[[#This Row],[Customer Gender]]="M","Male", orders[[#This Row],[Customer Gender]]="F","Female", orders[[#This Row],[Customer Gender]]="O","Other", TRUE,"Unknown")</f>
        <v>Female</v>
      </c>
    </row>
    <row r="678" spans="1:15">
      <c r="A678" s="1" t="s">
        <v>770</v>
      </c>
      <c r="B678" s="1" t="s">
        <v>26</v>
      </c>
      <c r="C678" s="1">
        <v>1</v>
      </c>
      <c r="D678" s="1">
        <v>169.9</v>
      </c>
      <c r="E678" s="11">
        <v>169.9</v>
      </c>
      <c r="F678" s="3">
        <v>45686</v>
      </c>
      <c r="G678" s="3">
        <v>45687</v>
      </c>
      <c r="H678" s="1" t="s">
        <v>23</v>
      </c>
      <c r="I678" s="1" t="s">
        <v>40</v>
      </c>
      <c r="J678" s="1">
        <v>4</v>
      </c>
      <c r="K678" s="1" t="s">
        <v>19</v>
      </c>
      <c r="L678" s="1" t="s">
        <v>55</v>
      </c>
      <c r="M678" s="1">
        <f>orders[[#This Row],[Ship Date]]-orders[[#This Row],[Order Date]]</f>
        <v>1</v>
      </c>
      <c r="N678" s="1">
        <f>WEEKNUM(orders[[#This Row],[Order Date]])</f>
        <v>5</v>
      </c>
      <c r="O678" s="1" t="str" cm="1">
        <f t="array" ref="O678">_xlfn.IFS(orders[[#This Row],[Customer Gender]]="M","Male", orders[[#This Row],[Customer Gender]]="F","Female", orders[[#This Row],[Customer Gender]]="O","Other", TRUE,"Unknown")</f>
        <v>Male</v>
      </c>
    </row>
    <row r="679" spans="1:15">
      <c r="A679" s="1" t="s">
        <v>771</v>
      </c>
      <c r="B679" s="1" t="s">
        <v>46</v>
      </c>
      <c r="C679" s="1">
        <v>2</v>
      </c>
      <c r="D679" s="1">
        <v>72.2</v>
      </c>
      <c r="E679" s="11">
        <v>144.4</v>
      </c>
      <c r="F679" s="3">
        <v>45686</v>
      </c>
      <c r="G679" s="3">
        <v>45688</v>
      </c>
      <c r="H679" s="1" t="s">
        <v>27</v>
      </c>
      <c r="I679" s="1" t="s">
        <v>70</v>
      </c>
      <c r="J679" s="1">
        <v>3</v>
      </c>
      <c r="K679" s="1" t="s">
        <v>19</v>
      </c>
      <c r="L679" s="1" t="s">
        <v>55</v>
      </c>
      <c r="M679" s="1">
        <f>orders[[#This Row],[Ship Date]]-orders[[#This Row],[Order Date]]</f>
        <v>2</v>
      </c>
      <c r="N679" s="1">
        <f>WEEKNUM(orders[[#This Row],[Order Date]])</f>
        <v>5</v>
      </c>
      <c r="O679" s="1" t="str" cm="1">
        <f t="array" ref="O679">_xlfn.IFS(orders[[#This Row],[Customer Gender]]="M","Male", orders[[#This Row],[Customer Gender]]="F","Female", orders[[#This Row],[Customer Gender]]="O","Other", TRUE,"Unknown")</f>
        <v>Female</v>
      </c>
    </row>
    <row r="680" spans="1:15">
      <c r="A680" s="1" t="s">
        <v>772</v>
      </c>
      <c r="B680" s="1" t="s">
        <v>16</v>
      </c>
      <c r="C680" s="1">
        <v>1</v>
      </c>
      <c r="D680" s="1">
        <v>20</v>
      </c>
      <c r="E680" s="11">
        <v>20</v>
      </c>
      <c r="F680" s="3">
        <v>45687</v>
      </c>
      <c r="G680" s="3">
        <v>45690</v>
      </c>
      <c r="H680" s="1" t="s">
        <v>27</v>
      </c>
      <c r="I680" s="1" t="s">
        <v>40</v>
      </c>
      <c r="J680" s="1">
        <v>3</v>
      </c>
      <c r="K680" s="1" t="s">
        <v>19</v>
      </c>
      <c r="L680" s="1" t="s">
        <v>59</v>
      </c>
      <c r="M680" s="1">
        <f>orders[[#This Row],[Ship Date]]-orders[[#This Row],[Order Date]]</f>
        <v>3</v>
      </c>
      <c r="N680" s="1">
        <f>WEEKNUM(orders[[#This Row],[Order Date]])</f>
        <v>5</v>
      </c>
      <c r="O680" s="1" t="str" cm="1">
        <f t="array" ref="O680">_xlfn.IFS(orders[[#This Row],[Customer Gender]]="M","Male", orders[[#This Row],[Customer Gender]]="F","Female", orders[[#This Row],[Customer Gender]]="O","Other", TRUE,"Unknown")</f>
        <v>Female</v>
      </c>
    </row>
    <row r="681" spans="1:15">
      <c r="A681" s="1" t="s">
        <v>773</v>
      </c>
      <c r="B681" s="1" t="s">
        <v>46</v>
      </c>
      <c r="C681" s="1">
        <v>2</v>
      </c>
      <c r="D681" s="1">
        <v>40.799999999999997</v>
      </c>
      <c r="E681" s="11">
        <v>81.599999999999994</v>
      </c>
      <c r="F681" s="3">
        <v>45687</v>
      </c>
      <c r="G681" s="3">
        <v>45689</v>
      </c>
      <c r="H681" s="1" t="s">
        <v>27</v>
      </c>
      <c r="I681" s="1" t="s">
        <v>51</v>
      </c>
      <c r="J681" s="1">
        <v>5</v>
      </c>
      <c r="K681" s="1" t="s">
        <v>19</v>
      </c>
      <c r="L681" s="1" t="s">
        <v>62</v>
      </c>
      <c r="M681" s="1">
        <f>orders[[#This Row],[Ship Date]]-orders[[#This Row],[Order Date]]</f>
        <v>2</v>
      </c>
      <c r="N681" s="1">
        <f>WEEKNUM(orders[[#This Row],[Order Date]])</f>
        <v>5</v>
      </c>
      <c r="O681" s="1" t="str" cm="1">
        <f t="array" ref="O681">_xlfn.IFS(orders[[#This Row],[Customer Gender]]="M","Male", orders[[#This Row],[Customer Gender]]="F","Female", orders[[#This Row],[Customer Gender]]="O","Other", TRUE,"Unknown")</f>
        <v>Female</v>
      </c>
    </row>
    <row r="682" spans="1:15">
      <c r="A682" s="1" t="s">
        <v>774</v>
      </c>
      <c r="B682" s="1" t="s">
        <v>54</v>
      </c>
      <c r="C682" s="1">
        <v>4</v>
      </c>
      <c r="D682" s="1">
        <v>58</v>
      </c>
      <c r="E682" s="11">
        <v>232</v>
      </c>
      <c r="F682" s="3">
        <v>45687</v>
      </c>
      <c r="G682" s="3">
        <v>45691</v>
      </c>
      <c r="H682" s="1" t="s">
        <v>27</v>
      </c>
      <c r="I682" s="1" t="s">
        <v>18</v>
      </c>
      <c r="J682" s="1">
        <v>4</v>
      </c>
      <c r="K682" s="1" t="s">
        <v>19</v>
      </c>
      <c r="L682" s="1" t="s">
        <v>62</v>
      </c>
      <c r="M682" s="1">
        <f>orders[[#This Row],[Ship Date]]-orders[[#This Row],[Order Date]]</f>
        <v>4</v>
      </c>
      <c r="N682" s="1">
        <f>WEEKNUM(orders[[#This Row],[Order Date]])</f>
        <v>5</v>
      </c>
      <c r="O682" s="1" t="str" cm="1">
        <f t="array" ref="O682">_xlfn.IFS(orders[[#This Row],[Customer Gender]]="M","Male", orders[[#This Row],[Customer Gender]]="F","Female", orders[[#This Row],[Customer Gender]]="O","Other", TRUE,"Unknown")</f>
        <v>Female</v>
      </c>
    </row>
    <row r="683" spans="1:15">
      <c r="A683" s="1" t="s">
        <v>775</v>
      </c>
      <c r="B683" s="1" t="s">
        <v>69</v>
      </c>
      <c r="C683" s="1">
        <v>2</v>
      </c>
      <c r="D683" s="1">
        <v>43.1</v>
      </c>
      <c r="E683" s="11">
        <v>86.2</v>
      </c>
      <c r="F683" s="3">
        <v>45687</v>
      </c>
      <c r="G683" s="3">
        <v>45688</v>
      </c>
      <c r="H683" s="1" t="s">
        <v>27</v>
      </c>
      <c r="I683" s="1" t="s">
        <v>35</v>
      </c>
      <c r="J683" s="1">
        <v>5</v>
      </c>
      <c r="K683" s="1" t="s">
        <v>19</v>
      </c>
      <c r="L683" s="1" t="s">
        <v>62</v>
      </c>
      <c r="M683" s="1">
        <f>orders[[#This Row],[Ship Date]]-orders[[#This Row],[Order Date]]</f>
        <v>1</v>
      </c>
      <c r="N683" s="1">
        <f>WEEKNUM(orders[[#This Row],[Order Date]])</f>
        <v>5</v>
      </c>
      <c r="O683" s="1" t="str" cm="1">
        <f t="array" ref="O683">_xlfn.IFS(orders[[#This Row],[Customer Gender]]="M","Male", orders[[#This Row],[Customer Gender]]="F","Female", orders[[#This Row],[Customer Gender]]="O","Other", TRUE,"Unknown")</f>
        <v>Female</v>
      </c>
    </row>
    <row r="684" spans="1:15">
      <c r="A684" s="1" t="s">
        <v>776</v>
      </c>
      <c r="B684" s="1" t="s">
        <v>39</v>
      </c>
      <c r="C684" s="1">
        <v>9</v>
      </c>
      <c r="D684" s="1">
        <v>74.7</v>
      </c>
      <c r="E684" s="11">
        <v>672.30000000000007</v>
      </c>
      <c r="F684" s="3">
        <v>45687</v>
      </c>
      <c r="G684" s="3">
        <v>45689</v>
      </c>
      <c r="H684" s="1" t="s">
        <v>23</v>
      </c>
      <c r="I684" s="1" t="s">
        <v>18</v>
      </c>
      <c r="J684" s="1">
        <v>5</v>
      </c>
      <c r="K684" s="1" t="s">
        <v>19</v>
      </c>
      <c r="L684" s="1" t="s">
        <v>62</v>
      </c>
      <c r="M684" s="1">
        <f>orders[[#This Row],[Ship Date]]-orders[[#This Row],[Order Date]]</f>
        <v>2</v>
      </c>
      <c r="N684" s="1">
        <f>WEEKNUM(orders[[#This Row],[Order Date]])</f>
        <v>5</v>
      </c>
      <c r="O684" s="1" t="str" cm="1">
        <f t="array" ref="O684">_xlfn.IFS(orders[[#This Row],[Customer Gender]]="M","Male", orders[[#This Row],[Customer Gender]]="F","Female", orders[[#This Row],[Customer Gender]]="O","Other", TRUE,"Unknown")</f>
        <v>Male</v>
      </c>
    </row>
    <row r="685" spans="1:15">
      <c r="A685" s="1" t="s">
        <v>777</v>
      </c>
      <c r="B685" s="1" t="s">
        <v>39</v>
      </c>
      <c r="C685" s="1">
        <v>1</v>
      </c>
      <c r="D685" s="1">
        <v>128.19999999999999</v>
      </c>
      <c r="E685" s="11">
        <v>128.19999999999999</v>
      </c>
      <c r="F685" s="3">
        <v>45687</v>
      </c>
      <c r="G685" s="3">
        <v>45687</v>
      </c>
      <c r="H685" s="1" t="s">
        <v>23</v>
      </c>
      <c r="I685" s="1" t="s">
        <v>35</v>
      </c>
      <c r="J685" s="1">
        <v>4</v>
      </c>
      <c r="K685" s="1" t="s">
        <v>19</v>
      </c>
      <c r="L685" s="1" t="s">
        <v>62</v>
      </c>
      <c r="M685" s="1">
        <f>orders[[#This Row],[Ship Date]]-orders[[#This Row],[Order Date]]</f>
        <v>0</v>
      </c>
      <c r="N685" s="1">
        <f>WEEKNUM(orders[[#This Row],[Order Date]])</f>
        <v>5</v>
      </c>
      <c r="O685" s="1" t="str" cm="1">
        <f t="array" ref="O685">_xlfn.IFS(orders[[#This Row],[Customer Gender]]="M","Male", orders[[#This Row],[Customer Gender]]="F","Female", orders[[#This Row],[Customer Gender]]="O","Other", TRUE,"Unknown")</f>
        <v>Male</v>
      </c>
    </row>
    <row r="686" spans="1:15">
      <c r="A686" s="1" t="s">
        <v>778</v>
      </c>
      <c r="B686" s="1" t="s">
        <v>81</v>
      </c>
      <c r="C686" s="1">
        <v>4</v>
      </c>
      <c r="D686" s="1">
        <v>26.7</v>
      </c>
      <c r="E686" s="11">
        <v>106.8</v>
      </c>
      <c r="F686" s="3">
        <v>45687</v>
      </c>
      <c r="G686" s="3">
        <v>45688</v>
      </c>
      <c r="H686" s="1" t="s">
        <v>23</v>
      </c>
      <c r="I686" s="1" t="s">
        <v>35</v>
      </c>
      <c r="J686" s="1">
        <v>4</v>
      </c>
      <c r="K686" s="1" t="s">
        <v>19</v>
      </c>
      <c r="L686" s="1" t="s">
        <v>62</v>
      </c>
      <c r="M686" s="1">
        <f>orders[[#This Row],[Ship Date]]-orders[[#This Row],[Order Date]]</f>
        <v>1</v>
      </c>
      <c r="N686" s="1">
        <f>WEEKNUM(orders[[#This Row],[Order Date]])</f>
        <v>5</v>
      </c>
      <c r="O686" s="1" t="str" cm="1">
        <f t="array" ref="O686">_xlfn.IFS(orders[[#This Row],[Customer Gender]]="M","Male", orders[[#This Row],[Customer Gender]]="F","Female", orders[[#This Row],[Customer Gender]]="O","Other", TRUE,"Unknown")</f>
        <v>Male</v>
      </c>
    </row>
    <row r="687" spans="1:15">
      <c r="A687" s="1" t="s">
        <v>779</v>
      </c>
      <c r="B687" s="1" t="s">
        <v>135</v>
      </c>
      <c r="C687" s="1">
        <v>6</v>
      </c>
      <c r="D687" s="1">
        <v>31.5</v>
      </c>
      <c r="E687" s="11">
        <v>189</v>
      </c>
      <c r="F687" s="3">
        <v>45687</v>
      </c>
      <c r="G687" s="3">
        <v>45688</v>
      </c>
      <c r="H687" s="1" t="s">
        <v>27</v>
      </c>
      <c r="I687" s="1" t="s">
        <v>40</v>
      </c>
      <c r="J687" s="1">
        <v>4</v>
      </c>
      <c r="K687" s="1" t="s">
        <v>19</v>
      </c>
      <c r="L687" s="1" t="s">
        <v>103</v>
      </c>
      <c r="M687" s="1">
        <f>orders[[#This Row],[Ship Date]]-orders[[#This Row],[Order Date]]</f>
        <v>1</v>
      </c>
      <c r="N687" s="1">
        <f>WEEKNUM(orders[[#This Row],[Order Date]])</f>
        <v>5</v>
      </c>
      <c r="O687" s="1" t="str" cm="1">
        <f t="array" ref="O687">_xlfn.IFS(orders[[#This Row],[Customer Gender]]="M","Male", orders[[#This Row],[Customer Gender]]="F","Female", orders[[#This Row],[Customer Gender]]="O","Other", TRUE,"Unknown")</f>
        <v>Female</v>
      </c>
    </row>
    <row r="688" spans="1:15">
      <c r="A688" s="1" t="s">
        <v>780</v>
      </c>
      <c r="B688" s="1" t="s">
        <v>30</v>
      </c>
      <c r="C688" s="1">
        <v>7</v>
      </c>
      <c r="D688" s="1">
        <v>64.7</v>
      </c>
      <c r="E688" s="11">
        <v>452.90000000000003</v>
      </c>
      <c r="F688" s="3">
        <v>45687</v>
      </c>
      <c r="G688" s="3">
        <v>45688</v>
      </c>
      <c r="H688" s="1" t="s">
        <v>27</v>
      </c>
      <c r="I688" s="1" t="s">
        <v>18</v>
      </c>
      <c r="J688" s="1">
        <v>5</v>
      </c>
      <c r="K688" s="1" t="s">
        <v>19</v>
      </c>
      <c r="L688" s="1" t="s">
        <v>72</v>
      </c>
      <c r="M688" s="1">
        <f>orders[[#This Row],[Ship Date]]-orders[[#This Row],[Order Date]]</f>
        <v>1</v>
      </c>
      <c r="N688" s="1">
        <f>WEEKNUM(orders[[#This Row],[Order Date]])</f>
        <v>5</v>
      </c>
      <c r="O688" s="1" t="str" cm="1">
        <f t="array" ref="O688">_xlfn.IFS(orders[[#This Row],[Customer Gender]]="M","Male", orders[[#This Row],[Customer Gender]]="F","Female", orders[[#This Row],[Customer Gender]]="O","Other", TRUE,"Unknown")</f>
        <v>Female</v>
      </c>
    </row>
    <row r="689" spans="1:15">
      <c r="A689" s="1" t="s">
        <v>781</v>
      </c>
      <c r="B689" s="1" t="s">
        <v>37</v>
      </c>
      <c r="C689" s="1">
        <v>2</v>
      </c>
      <c r="D689" s="1">
        <v>55.6</v>
      </c>
      <c r="E689" s="11">
        <v>111.2</v>
      </c>
      <c r="F689" s="3">
        <v>45687</v>
      </c>
      <c r="G689" s="3">
        <v>45690</v>
      </c>
      <c r="H689" s="1" t="s">
        <v>27</v>
      </c>
      <c r="I689" s="1" t="s">
        <v>51</v>
      </c>
      <c r="J689" s="1">
        <v>4</v>
      </c>
      <c r="K689" s="1" t="s">
        <v>19</v>
      </c>
      <c r="L689" s="1" t="s">
        <v>77</v>
      </c>
      <c r="M689" s="1">
        <f>orders[[#This Row],[Ship Date]]-orders[[#This Row],[Order Date]]</f>
        <v>3</v>
      </c>
      <c r="N689" s="1">
        <f>WEEKNUM(orders[[#This Row],[Order Date]])</f>
        <v>5</v>
      </c>
      <c r="O689" s="1" t="str" cm="1">
        <f t="array" ref="O689">_xlfn.IFS(orders[[#This Row],[Customer Gender]]="M","Male", orders[[#This Row],[Customer Gender]]="F","Female", orders[[#This Row],[Customer Gender]]="O","Other", TRUE,"Unknown")</f>
        <v>Female</v>
      </c>
    </row>
    <row r="690" spans="1:15">
      <c r="A690" s="1" t="s">
        <v>782</v>
      </c>
      <c r="B690" s="1" t="s">
        <v>30</v>
      </c>
      <c r="C690" s="1">
        <v>2</v>
      </c>
      <c r="D690" s="1">
        <v>36.200000000000003</v>
      </c>
      <c r="E690" s="11">
        <v>72.400000000000006</v>
      </c>
      <c r="F690" s="3">
        <v>45687</v>
      </c>
      <c r="G690" s="3">
        <v>45688</v>
      </c>
      <c r="H690" s="1" t="s">
        <v>27</v>
      </c>
      <c r="I690" s="1" t="s">
        <v>51</v>
      </c>
      <c r="J690" s="1">
        <v>4</v>
      </c>
      <c r="K690" s="1" t="s">
        <v>19</v>
      </c>
      <c r="L690" s="1" t="s">
        <v>77</v>
      </c>
      <c r="M690" s="1">
        <f>orders[[#This Row],[Ship Date]]-orders[[#This Row],[Order Date]]</f>
        <v>1</v>
      </c>
      <c r="N690" s="1">
        <f>WEEKNUM(orders[[#This Row],[Order Date]])</f>
        <v>5</v>
      </c>
      <c r="O690" s="1" t="str" cm="1">
        <f t="array" ref="O690">_xlfn.IFS(orders[[#This Row],[Customer Gender]]="M","Male", orders[[#This Row],[Customer Gender]]="F","Female", orders[[#This Row],[Customer Gender]]="O","Other", TRUE,"Unknown")</f>
        <v>Female</v>
      </c>
    </row>
    <row r="691" spans="1:15">
      <c r="A691" s="1" t="s">
        <v>783</v>
      </c>
      <c r="B691" s="1" t="s">
        <v>16</v>
      </c>
      <c r="C691" s="1">
        <v>1</v>
      </c>
      <c r="D691" s="1">
        <v>26.6</v>
      </c>
      <c r="E691" s="11">
        <v>26.6</v>
      </c>
      <c r="F691" s="3">
        <v>45687</v>
      </c>
      <c r="G691" s="3">
        <v>45688</v>
      </c>
      <c r="H691" s="1" t="s">
        <v>17</v>
      </c>
      <c r="I691" s="1" t="s">
        <v>35</v>
      </c>
      <c r="J691" s="1">
        <v>3</v>
      </c>
      <c r="K691" s="1" t="s">
        <v>19</v>
      </c>
      <c r="L691" s="1" t="s">
        <v>110</v>
      </c>
      <c r="M691" s="1">
        <f>orders[[#This Row],[Ship Date]]-orders[[#This Row],[Order Date]]</f>
        <v>1</v>
      </c>
      <c r="N691" s="1">
        <f>WEEKNUM(orders[[#This Row],[Order Date]])</f>
        <v>5</v>
      </c>
      <c r="O691" s="1" t="str" cm="1">
        <f t="array" ref="O691">_xlfn.IFS(orders[[#This Row],[Customer Gender]]="M","Male", orders[[#This Row],[Customer Gender]]="F","Female", orders[[#This Row],[Customer Gender]]="O","Other", TRUE,"Unknown")</f>
        <v>Unknown</v>
      </c>
    </row>
    <row r="692" spans="1:15">
      <c r="A692" s="1" t="s">
        <v>784</v>
      </c>
      <c r="B692" s="1" t="s">
        <v>54</v>
      </c>
      <c r="C692" s="1">
        <v>4</v>
      </c>
      <c r="D692" s="1">
        <v>31.5</v>
      </c>
      <c r="E692" s="11">
        <v>126</v>
      </c>
      <c r="F692" s="3">
        <v>45687</v>
      </c>
      <c r="G692" s="3">
        <v>45689</v>
      </c>
      <c r="H692" s="1" t="s">
        <v>23</v>
      </c>
      <c r="I692" s="1" t="s">
        <v>18</v>
      </c>
      <c r="J692" s="1">
        <v>4</v>
      </c>
      <c r="K692" s="1" t="s">
        <v>19</v>
      </c>
      <c r="L692" s="1" t="s">
        <v>292</v>
      </c>
      <c r="M692" s="1">
        <f>orders[[#This Row],[Ship Date]]-orders[[#This Row],[Order Date]]</f>
        <v>2</v>
      </c>
      <c r="N692" s="1">
        <f>WEEKNUM(orders[[#This Row],[Order Date]])</f>
        <v>5</v>
      </c>
      <c r="O692" s="1" t="str" cm="1">
        <f t="array" ref="O692">_xlfn.IFS(orders[[#This Row],[Customer Gender]]="M","Male", orders[[#This Row],[Customer Gender]]="F","Female", orders[[#This Row],[Customer Gender]]="O","Other", TRUE,"Unknown")</f>
        <v>Male</v>
      </c>
    </row>
    <row r="693" spans="1:15">
      <c r="A693" s="1" t="s">
        <v>785</v>
      </c>
      <c r="B693" s="1" t="s">
        <v>54</v>
      </c>
      <c r="C693" s="1">
        <v>1</v>
      </c>
      <c r="D693" s="1">
        <v>27</v>
      </c>
      <c r="E693" s="11">
        <v>27</v>
      </c>
      <c r="F693" s="3">
        <v>45687</v>
      </c>
      <c r="G693" s="3">
        <v>45689</v>
      </c>
      <c r="H693" s="1" t="s">
        <v>27</v>
      </c>
      <c r="I693" s="1" t="s">
        <v>35</v>
      </c>
      <c r="J693" s="1">
        <v>5</v>
      </c>
      <c r="K693" s="1" t="s">
        <v>19</v>
      </c>
      <c r="L693" s="1" t="s">
        <v>82</v>
      </c>
      <c r="M693" s="1">
        <f>orders[[#This Row],[Ship Date]]-orders[[#This Row],[Order Date]]</f>
        <v>2</v>
      </c>
      <c r="N693" s="1">
        <f>WEEKNUM(orders[[#This Row],[Order Date]])</f>
        <v>5</v>
      </c>
      <c r="O693" s="1" t="str" cm="1">
        <f t="array" ref="O693">_xlfn.IFS(orders[[#This Row],[Customer Gender]]="M","Male", orders[[#This Row],[Customer Gender]]="F","Female", orders[[#This Row],[Customer Gender]]="O","Other", TRUE,"Unknown")</f>
        <v>Female</v>
      </c>
    </row>
    <row r="694" spans="1:15">
      <c r="A694" s="1" t="s">
        <v>786</v>
      </c>
      <c r="B694" s="1" t="s">
        <v>32</v>
      </c>
      <c r="C694" s="1">
        <v>1</v>
      </c>
      <c r="D694" s="1">
        <v>32</v>
      </c>
      <c r="E694" s="11">
        <v>32</v>
      </c>
      <c r="F694" s="3">
        <v>45687</v>
      </c>
      <c r="G694" s="3">
        <v>45690</v>
      </c>
      <c r="H694" s="1" t="s">
        <v>23</v>
      </c>
      <c r="I694" s="1" t="s">
        <v>51</v>
      </c>
      <c r="J694" s="1">
        <v>4</v>
      </c>
      <c r="K694" s="1" t="s">
        <v>19</v>
      </c>
      <c r="L694" s="1" t="s">
        <v>115</v>
      </c>
      <c r="M694" s="1">
        <f>orders[[#This Row],[Ship Date]]-orders[[#This Row],[Order Date]]</f>
        <v>3</v>
      </c>
      <c r="N694" s="1">
        <f>WEEKNUM(orders[[#This Row],[Order Date]])</f>
        <v>5</v>
      </c>
      <c r="O694" s="1" t="str" cm="1">
        <f t="array" ref="O694">_xlfn.IFS(orders[[#This Row],[Customer Gender]]="M","Male", orders[[#This Row],[Customer Gender]]="F","Female", orders[[#This Row],[Customer Gender]]="O","Other", TRUE,"Unknown")</f>
        <v>Male</v>
      </c>
    </row>
    <row r="695" spans="1:15">
      <c r="A695" s="1" t="s">
        <v>787</v>
      </c>
      <c r="B695" s="1" t="s">
        <v>22</v>
      </c>
      <c r="C695" s="1">
        <v>3</v>
      </c>
      <c r="D695" s="1">
        <v>48.1</v>
      </c>
      <c r="E695" s="11">
        <v>144.30000000000001</v>
      </c>
      <c r="F695" s="3">
        <v>45687</v>
      </c>
      <c r="G695" s="3">
        <v>45689</v>
      </c>
      <c r="H695" s="1" t="s">
        <v>23</v>
      </c>
      <c r="I695" s="1" t="s">
        <v>40</v>
      </c>
      <c r="J695" s="1">
        <v>3</v>
      </c>
      <c r="K695" s="1" t="s">
        <v>19</v>
      </c>
      <c r="L695" s="1" t="s">
        <v>24</v>
      </c>
      <c r="M695" s="1">
        <f>orders[[#This Row],[Ship Date]]-orders[[#This Row],[Order Date]]</f>
        <v>2</v>
      </c>
      <c r="N695" s="1">
        <f>WEEKNUM(orders[[#This Row],[Order Date]])</f>
        <v>5</v>
      </c>
      <c r="O695" s="1" t="str" cm="1">
        <f t="array" ref="O695">_xlfn.IFS(orders[[#This Row],[Customer Gender]]="M","Male", orders[[#This Row],[Customer Gender]]="F","Female", orders[[#This Row],[Customer Gender]]="O","Other", TRUE,"Unknown")</f>
        <v>Male</v>
      </c>
    </row>
    <row r="696" spans="1:15">
      <c r="A696" s="1" t="s">
        <v>788</v>
      </c>
      <c r="B696" s="1" t="s">
        <v>46</v>
      </c>
      <c r="C696" s="1">
        <v>2</v>
      </c>
      <c r="D696" s="1">
        <v>43.4</v>
      </c>
      <c r="E696" s="11">
        <v>86.8</v>
      </c>
      <c r="F696" s="3">
        <v>45687</v>
      </c>
      <c r="G696" s="3">
        <v>45688</v>
      </c>
      <c r="H696" s="1" t="s">
        <v>23</v>
      </c>
      <c r="I696" s="1" t="s">
        <v>35</v>
      </c>
      <c r="J696" s="1">
        <v>3</v>
      </c>
      <c r="K696" s="1" t="s">
        <v>19</v>
      </c>
      <c r="L696" s="1" t="s">
        <v>147</v>
      </c>
      <c r="M696" s="1">
        <f>orders[[#This Row],[Ship Date]]-orders[[#This Row],[Order Date]]</f>
        <v>1</v>
      </c>
      <c r="N696" s="1">
        <f>WEEKNUM(orders[[#This Row],[Order Date]])</f>
        <v>5</v>
      </c>
      <c r="O696" s="1" t="str" cm="1">
        <f t="array" ref="O696">_xlfn.IFS(orders[[#This Row],[Customer Gender]]="M","Male", orders[[#This Row],[Customer Gender]]="F","Female", orders[[#This Row],[Customer Gender]]="O","Other", TRUE,"Unknown")</f>
        <v>Male</v>
      </c>
    </row>
    <row r="697" spans="1:15">
      <c r="A697" s="1" t="s">
        <v>789</v>
      </c>
      <c r="B697" s="1" t="s">
        <v>39</v>
      </c>
      <c r="C697" s="1">
        <v>2</v>
      </c>
      <c r="D697" s="1">
        <v>42.6</v>
      </c>
      <c r="E697" s="11">
        <v>85.2</v>
      </c>
      <c r="F697" s="3">
        <v>45687</v>
      </c>
      <c r="G697" s="3">
        <v>45690</v>
      </c>
      <c r="H697" s="1" t="s">
        <v>27</v>
      </c>
      <c r="I697" s="1" t="s">
        <v>51</v>
      </c>
      <c r="J697" s="1">
        <v>4</v>
      </c>
      <c r="K697" s="1" t="s">
        <v>19</v>
      </c>
      <c r="L697" s="1" t="s">
        <v>147</v>
      </c>
      <c r="M697" s="1">
        <f>orders[[#This Row],[Ship Date]]-orders[[#This Row],[Order Date]]</f>
        <v>3</v>
      </c>
      <c r="N697" s="1">
        <f>WEEKNUM(orders[[#This Row],[Order Date]])</f>
        <v>5</v>
      </c>
      <c r="O697" s="1" t="str" cm="1">
        <f t="array" ref="O697">_xlfn.IFS(orders[[#This Row],[Customer Gender]]="M","Male", orders[[#This Row],[Customer Gender]]="F","Female", orders[[#This Row],[Customer Gender]]="O","Other", TRUE,"Unknown")</f>
        <v>Female</v>
      </c>
    </row>
    <row r="698" spans="1:15">
      <c r="A698" s="1" t="s">
        <v>790</v>
      </c>
      <c r="B698" s="1" t="s">
        <v>44</v>
      </c>
      <c r="C698" s="1">
        <v>2</v>
      </c>
      <c r="D698" s="1">
        <v>15.9</v>
      </c>
      <c r="E698" s="11">
        <v>31.8</v>
      </c>
      <c r="F698" s="3">
        <v>45687</v>
      </c>
      <c r="G698" s="3">
        <v>45688</v>
      </c>
      <c r="H698" s="1" t="s">
        <v>27</v>
      </c>
      <c r="I698" s="1" t="s">
        <v>18</v>
      </c>
      <c r="J698" s="1">
        <v>4</v>
      </c>
      <c r="K698" s="1" t="s">
        <v>19</v>
      </c>
      <c r="L698" s="1" t="s">
        <v>334</v>
      </c>
      <c r="M698" s="1">
        <f>orders[[#This Row],[Ship Date]]-orders[[#This Row],[Order Date]]</f>
        <v>1</v>
      </c>
      <c r="N698" s="1">
        <f>WEEKNUM(orders[[#This Row],[Order Date]])</f>
        <v>5</v>
      </c>
      <c r="O698" s="1" t="str" cm="1">
        <f t="array" ref="O698">_xlfn.IFS(orders[[#This Row],[Customer Gender]]="M","Male", orders[[#This Row],[Customer Gender]]="F","Female", orders[[#This Row],[Customer Gender]]="O","Other", TRUE,"Unknown")</f>
        <v>Female</v>
      </c>
    </row>
    <row r="699" spans="1:15">
      <c r="A699" s="1" t="s">
        <v>791</v>
      </c>
      <c r="B699" s="1" t="s">
        <v>46</v>
      </c>
      <c r="C699" s="1">
        <v>2</v>
      </c>
      <c r="D699" s="1">
        <v>63.2</v>
      </c>
      <c r="E699" s="11">
        <v>126.4</v>
      </c>
      <c r="F699" s="3">
        <v>45687</v>
      </c>
      <c r="G699" s="3">
        <v>45688</v>
      </c>
      <c r="H699" s="1" t="s">
        <v>23</v>
      </c>
      <c r="I699" s="1" t="s">
        <v>35</v>
      </c>
      <c r="J699" s="1">
        <v>4</v>
      </c>
      <c r="K699" s="1" t="s">
        <v>19</v>
      </c>
      <c r="L699" s="1" t="s">
        <v>33</v>
      </c>
      <c r="M699" s="1">
        <f>orders[[#This Row],[Ship Date]]-orders[[#This Row],[Order Date]]</f>
        <v>1</v>
      </c>
      <c r="N699" s="1">
        <f>WEEKNUM(orders[[#This Row],[Order Date]])</f>
        <v>5</v>
      </c>
      <c r="O699" s="1" t="str" cm="1">
        <f t="array" ref="O699">_xlfn.IFS(orders[[#This Row],[Customer Gender]]="M","Male", orders[[#This Row],[Customer Gender]]="F","Female", orders[[#This Row],[Customer Gender]]="O","Other", TRUE,"Unknown")</f>
        <v>Male</v>
      </c>
    </row>
    <row r="700" spans="1:15">
      <c r="A700" s="1" t="s">
        <v>792</v>
      </c>
      <c r="B700" s="1" t="s">
        <v>42</v>
      </c>
      <c r="C700" s="1">
        <v>4</v>
      </c>
      <c r="D700" s="1">
        <v>64.8</v>
      </c>
      <c r="E700" s="11">
        <v>259.2</v>
      </c>
      <c r="F700" s="3">
        <v>45687</v>
      </c>
      <c r="G700" s="3">
        <v>45689</v>
      </c>
      <c r="H700" s="1" t="s">
        <v>17</v>
      </c>
      <c r="I700" s="1" t="s">
        <v>70</v>
      </c>
      <c r="J700" s="1">
        <v>3</v>
      </c>
      <c r="K700" s="1" t="s">
        <v>19</v>
      </c>
      <c r="L700" s="1" t="s">
        <v>33</v>
      </c>
      <c r="M700" s="1">
        <f>orders[[#This Row],[Ship Date]]-orders[[#This Row],[Order Date]]</f>
        <v>2</v>
      </c>
      <c r="N700" s="1">
        <f>WEEKNUM(orders[[#This Row],[Order Date]])</f>
        <v>5</v>
      </c>
      <c r="O700" s="1" t="str" cm="1">
        <f t="array" ref="O700">_xlfn.IFS(orders[[#This Row],[Customer Gender]]="M","Male", orders[[#This Row],[Customer Gender]]="F","Female", orders[[#This Row],[Customer Gender]]="O","Other", TRUE,"Unknown")</f>
        <v>Unknown</v>
      </c>
    </row>
    <row r="701" spans="1:15">
      <c r="A701" s="1" t="s">
        <v>793</v>
      </c>
      <c r="B701" s="1" t="s">
        <v>42</v>
      </c>
      <c r="C701" s="1">
        <v>3</v>
      </c>
      <c r="D701" s="1">
        <v>79.8</v>
      </c>
      <c r="E701" s="11">
        <v>239.39999999999998</v>
      </c>
      <c r="F701" s="3">
        <v>45687</v>
      </c>
      <c r="G701" s="3">
        <v>45688</v>
      </c>
      <c r="H701" s="1" t="s">
        <v>23</v>
      </c>
      <c r="I701" s="1" t="s">
        <v>18</v>
      </c>
      <c r="J701" s="1">
        <v>4</v>
      </c>
      <c r="K701" s="1" t="s">
        <v>19</v>
      </c>
      <c r="L701" s="1" t="s">
        <v>33</v>
      </c>
      <c r="M701" s="1">
        <f>orders[[#This Row],[Ship Date]]-orders[[#This Row],[Order Date]]</f>
        <v>1</v>
      </c>
      <c r="N701" s="1">
        <f>WEEKNUM(orders[[#This Row],[Order Date]])</f>
        <v>5</v>
      </c>
      <c r="O701" s="1" t="str" cm="1">
        <f t="array" ref="O701">_xlfn.IFS(orders[[#This Row],[Customer Gender]]="M","Male", orders[[#This Row],[Customer Gender]]="F","Female", orders[[#This Row],[Customer Gender]]="O","Other", TRUE,"Unknown")</f>
        <v>Male</v>
      </c>
    </row>
    <row r="702" spans="1:15">
      <c r="A702" s="1" t="s">
        <v>794</v>
      </c>
      <c r="B702" s="1" t="s">
        <v>46</v>
      </c>
      <c r="C702" s="1">
        <v>1</v>
      </c>
      <c r="D702" s="1">
        <v>54.4</v>
      </c>
      <c r="E702" s="11">
        <v>54.4</v>
      </c>
      <c r="F702" s="3">
        <v>45687</v>
      </c>
      <c r="G702" s="3">
        <v>45689</v>
      </c>
      <c r="H702" s="1" t="s">
        <v>27</v>
      </c>
      <c r="I702" s="1" t="s">
        <v>70</v>
      </c>
      <c r="J702" s="1">
        <v>5</v>
      </c>
      <c r="K702" s="1" t="s">
        <v>19</v>
      </c>
      <c r="L702" s="1" t="s">
        <v>33</v>
      </c>
      <c r="M702" s="1">
        <f>orders[[#This Row],[Ship Date]]-orders[[#This Row],[Order Date]]</f>
        <v>2</v>
      </c>
      <c r="N702" s="1">
        <f>WEEKNUM(orders[[#This Row],[Order Date]])</f>
        <v>5</v>
      </c>
      <c r="O702" s="1" t="str" cm="1">
        <f t="array" ref="O702">_xlfn.IFS(orders[[#This Row],[Customer Gender]]="M","Male", orders[[#This Row],[Customer Gender]]="F","Female", orders[[#This Row],[Customer Gender]]="O","Other", TRUE,"Unknown")</f>
        <v>Female</v>
      </c>
    </row>
    <row r="703" spans="1:15">
      <c r="A703" s="1" t="s">
        <v>795</v>
      </c>
      <c r="B703" s="1" t="s">
        <v>39</v>
      </c>
      <c r="C703" s="1">
        <v>1</v>
      </c>
      <c r="D703" s="1">
        <v>87.3</v>
      </c>
      <c r="E703" s="11">
        <v>87.3</v>
      </c>
      <c r="F703" s="3">
        <v>45687</v>
      </c>
      <c r="G703" s="3">
        <v>45688</v>
      </c>
      <c r="H703" s="1" t="s">
        <v>23</v>
      </c>
      <c r="I703" s="1" t="s">
        <v>35</v>
      </c>
      <c r="J703" s="1">
        <v>4</v>
      </c>
      <c r="K703" s="1" t="s">
        <v>19</v>
      </c>
      <c r="L703" s="1" t="s">
        <v>33</v>
      </c>
      <c r="M703" s="1">
        <f>orders[[#This Row],[Ship Date]]-orders[[#This Row],[Order Date]]</f>
        <v>1</v>
      </c>
      <c r="N703" s="1">
        <f>WEEKNUM(orders[[#This Row],[Order Date]])</f>
        <v>5</v>
      </c>
      <c r="O703" s="1" t="str" cm="1">
        <f t="array" ref="O703">_xlfn.IFS(orders[[#This Row],[Customer Gender]]="M","Male", orders[[#This Row],[Customer Gender]]="F","Female", orders[[#This Row],[Customer Gender]]="O","Other", TRUE,"Unknown")</f>
        <v>Male</v>
      </c>
    </row>
    <row r="704" spans="1:15">
      <c r="A704" s="1" t="s">
        <v>796</v>
      </c>
      <c r="B704" s="1" t="s">
        <v>44</v>
      </c>
      <c r="C704" s="1">
        <v>4</v>
      </c>
      <c r="D704" s="1">
        <v>32.4</v>
      </c>
      <c r="E704" s="11">
        <v>129.6</v>
      </c>
      <c r="F704" s="3">
        <v>45687</v>
      </c>
      <c r="G704" s="3">
        <v>45687</v>
      </c>
      <c r="H704" s="1" t="s">
        <v>23</v>
      </c>
      <c r="I704" s="1" t="s">
        <v>35</v>
      </c>
      <c r="J704" s="1">
        <v>4</v>
      </c>
      <c r="K704" s="1" t="s">
        <v>19</v>
      </c>
      <c r="L704" s="1" t="s">
        <v>33</v>
      </c>
      <c r="M704" s="1">
        <f>orders[[#This Row],[Ship Date]]-orders[[#This Row],[Order Date]]</f>
        <v>0</v>
      </c>
      <c r="N704" s="1">
        <f>WEEKNUM(orders[[#This Row],[Order Date]])</f>
        <v>5</v>
      </c>
      <c r="O704" s="1" t="str" cm="1">
        <f t="array" ref="O704">_xlfn.IFS(orders[[#This Row],[Customer Gender]]="M","Male", orders[[#This Row],[Customer Gender]]="F","Female", orders[[#This Row],[Customer Gender]]="O","Other", TRUE,"Unknown")</f>
        <v>Male</v>
      </c>
    </row>
    <row r="705" spans="1:15">
      <c r="A705" s="1" t="s">
        <v>797</v>
      </c>
      <c r="B705" s="1" t="s">
        <v>26</v>
      </c>
      <c r="C705" s="1">
        <v>1</v>
      </c>
      <c r="D705" s="1">
        <v>177.4</v>
      </c>
      <c r="E705" s="11">
        <v>177.4</v>
      </c>
      <c r="F705" s="3">
        <v>45687</v>
      </c>
      <c r="G705" s="3">
        <v>45691</v>
      </c>
      <c r="H705" s="1" t="s">
        <v>23</v>
      </c>
      <c r="I705" s="1" t="s">
        <v>18</v>
      </c>
      <c r="J705" s="1">
        <v>5</v>
      </c>
      <c r="K705" s="1" t="s">
        <v>19</v>
      </c>
      <c r="L705" s="1" t="s">
        <v>33</v>
      </c>
      <c r="M705" s="1">
        <f>orders[[#This Row],[Ship Date]]-orders[[#This Row],[Order Date]]</f>
        <v>4</v>
      </c>
      <c r="N705" s="1">
        <f>WEEKNUM(orders[[#This Row],[Order Date]])</f>
        <v>5</v>
      </c>
      <c r="O705" s="1" t="str" cm="1">
        <f t="array" ref="O705">_xlfn.IFS(orders[[#This Row],[Customer Gender]]="M","Male", orders[[#This Row],[Customer Gender]]="F","Female", orders[[#This Row],[Customer Gender]]="O","Other", TRUE,"Unknown")</f>
        <v>Male</v>
      </c>
    </row>
    <row r="706" spans="1:15">
      <c r="A706" s="1" t="s">
        <v>798</v>
      </c>
      <c r="B706" s="1" t="s">
        <v>42</v>
      </c>
      <c r="C706" s="1">
        <v>2</v>
      </c>
      <c r="D706" s="1">
        <v>70.099999999999994</v>
      </c>
      <c r="E706" s="11">
        <v>140.19999999999999</v>
      </c>
      <c r="F706" s="3">
        <v>45687</v>
      </c>
      <c r="G706" s="3">
        <v>45688</v>
      </c>
      <c r="H706" s="1" t="s">
        <v>23</v>
      </c>
      <c r="I706" s="1" t="s">
        <v>51</v>
      </c>
      <c r="J706" s="1">
        <v>3</v>
      </c>
      <c r="K706" s="1" t="s">
        <v>19</v>
      </c>
      <c r="L706" s="1" t="s">
        <v>33</v>
      </c>
      <c r="M706" s="1">
        <f>orders[[#This Row],[Ship Date]]-orders[[#This Row],[Order Date]]</f>
        <v>1</v>
      </c>
      <c r="N706" s="1">
        <f>WEEKNUM(orders[[#This Row],[Order Date]])</f>
        <v>5</v>
      </c>
      <c r="O706" s="1" t="str" cm="1">
        <f t="array" ref="O706">_xlfn.IFS(orders[[#This Row],[Customer Gender]]="M","Male", orders[[#This Row],[Customer Gender]]="F","Female", orders[[#This Row],[Customer Gender]]="O","Other", TRUE,"Unknown")</f>
        <v>Male</v>
      </c>
    </row>
    <row r="707" spans="1:15">
      <c r="A707" s="1" t="s">
        <v>799</v>
      </c>
      <c r="B707" s="1" t="s">
        <v>46</v>
      </c>
      <c r="C707" s="1">
        <v>6</v>
      </c>
      <c r="D707" s="1">
        <v>51.1</v>
      </c>
      <c r="E707" s="11">
        <v>306.60000000000002</v>
      </c>
      <c r="F707" s="3">
        <v>45687</v>
      </c>
      <c r="G707" s="3">
        <v>45688</v>
      </c>
      <c r="H707" s="1" t="s">
        <v>27</v>
      </c>
      <c r="I707" s="1" t="s">
        <v>18</v>
      </c>
      <c r="J707" s="1">
        <v>4</v>
      </c>
      <c r="K707" s="1" t="s">
        <v>19</v>
      </c>
      <c r="L707" s="1" t="s">
        <v>33</v>
      </c>
      <c r="M707" s="1">
        <f>orders[[#This Row],[Ship Date]]-orders[[#This Row],[Order Date]]</f>
        <v>1</v>
      </c>
      <c r="N707" s="1">
        <f>WEEKNUM(orders[[#This Row],[Order Date]])</f>
        <v>5</v>
      </c>
      <c r="O707" s="1" t="str" cm="1">
        <f t="array" ref="O707">_xlfn.IFS(orders[[#This Row],[Customer Gender]]="M","Male", orders[[#This Row],[Customer Gender]]="F","Female", orders[[#This Row],[Customer Gender]]="O","Other", TRUE,"Unknown")</f>
        <v>Female</v>
      </c>
    </row>
    <row r="708" spans="1:15">
      <c r="A708" s="1" t="s">
        <v>800</v>
      </c>
      <c r="B708" s="1" t="s">
        <v>26</v>
      </c>
      <c r="C708" s="1">
        <v>5</v>
      </c>
      <c r="D708" s="1">
        <v>79.900000000000006</v>
      </c>
      <c r="E708" s="11">
        <v>399.5</v>
      </c>
      <c r="F708" s="3">
        <v>45687</v>
      </c>
      <c r="G708" s="3">
        <v>45689</v>
      </c>
      <c r="H708" s="1" t="s">
        <v>23</v>
      </c>
      <c r="I708" s="1" t="s">
        <v>51</v>
      </c>
      <c r="J708" s="1">
        <v>5</v>
      </c>
      <c r="K708" s="1" t="s">
        <v>19</v>
      </c>
      <c r="L708" s="1" t="s">
        <v>186</v>
      </c>
      <c r="M708" s="1">
        <f>orders[[#This Row],[Ship Date]]-orders[[#This Row],[Order Date]]</f>
        <v>2</v>
      </c>
      <c r="N708" s="1">
        <f>WEEKNUM(orders[[#This Row],[Order Date]])</f>
        <v>5</v>
      </c>
      <c r="O708" s="1" t="str" cm="1">
        <f t="array" ref="O708">_xlfn.IFS(orders[[#This Row],[Customer Gender]]="M","Male", orders[[#This Row],[Customer Gender]]="F","Female", orders[[#This Row],[Customer Gender]]="O","Other", TRUE,"Unknown")</f>
        <v>Male</v>
      </c>
    </row>
    <row r="709" spans="1:15">
      <c r="A709" s="1" t="s">
        <v>801</v>
      </c>
      <c r="B709" s="1" t="s">
        <v>39</v>
      </c>
      <c r="C709" s="1">
        <v>1</v>
      </c>
      <c r="D709" s="1">
        <v>57.6</v>
      </c>
      <c r="E709" s="11">
        <v>57.6</v>
      </c>
      <c r="F709" s="3">
        <v>45688</v>
      </c>
      <c r="G709" s="3">
        <v>45693</v>
      </c>
      <c r="H709" s="1" t="s">
        <v>23</v>
      </c>
      <c r="I709" s="1" t="s">
        <v>18</v>
      </c>
      <c r="J709" s="1">
        <v>5</v>
      </c>
      <c r="K709" s="1" t="s">
        <v>19</v>
      </c>
      <c r="L709" s="1" t="s">
        <v>802</v>
      </c>
      <c r="M709" s="1">
        <f>orders[[#This Row],[Ship Date]]-orders[[#This Row],[Order Date]]</f>
        <v>5</v>
      </c>
      <c r="N709" s="1">
        <f>WEEKNUM(orders[[#This Row],[Order Date]])</f>
        <v>5</v>
      </c>
      <c r="O709" s="1" t="str" cm="1">
        <f t="array" ref="O709">_xlfn.IFS(orders[[#This Row],[Customer Gender]]="M","Male", orders[[#This Row],[Customer Gender]]="F","Female", orders[[#This Row],[Customer Gender]]="O","Other", TRUE,"Unknown")</f>
        <v>Male</v>
      </c>
    </row>
    <row r="710" spans="1:15">
      <c r="A710" s="1" t="s">
        <v>803</v>
      </c>
      <c r="B710" s="1" t="s">
        <v>44</v>
      </c>
      <c r="C710" s="1">
        <v>10</v>
      </c>
      <c r="D710" s="1">
        <v>59.7</v>
      </c>
      <c r="E710" s="11">
        <v>597</v>
      </c>
      <c r="F710" s="3">
        <v>45688</v>
      </c>
      <c r="G710" s="3">
        <v>45692</v>
      </c>
      <c r="H710" s="1" t="s">
        <v>23</v>
      </c>
      <c r="I710" s="1" t="s">
        <v>40</v>
      </c>
      <c r="J710" s="1">
        <v>4</v>
      </c>
      <c r="K710" s="1" t="s">
        <v>19</v>
      </c>
      <c r="L710" s="1" t="s">
        <v>188</v>
      </c>
      <c r="M710" s="1">
        <f>orders[[#This Row],[Ship Date]]-orders[[#This Row],[Order Date]]</f>
        <v>4</v>
      </c>
      <c r="N710" s="1">
        <f>WEEKNUM(orders[[#This Row],[Order Date]])</f>
        <v>5</v>
      </c>
      <c r="O710" s="1" t="str" cm="1">
        <f t="array" ref="O710">_xlfn.IFS(orders[[#This Row],[Customer Gender]]="M","Male", orders[[#This Row],[Customer Gender]]="F","Female", orders[[#This Row],[Customer Gender]]="O","Other", TRUE,"Unknown")</f>
        <v>Male</v>
      </c>
    </row>
    <row r="711" spans="1:15">
      <c r="A711" s="1" t="s">
        <v>804</v>
      </c>
      <c r="B711" s="1" t="s">
        <v>44</v>
      </c>
      <c r="C711" s="1">
        <v>5</v>
      </c>
      <c r="D711" s="1">
        <v>30</v>
      </c>
      <c r="E711" s="11">
        <v>150</v>
      </c>
      <c r="F711" s="3">
        <v>45688</v>
      </c>
      <c r="G711" s="3">
        <v>45690</v>
      </c>
      <c r="H711" s="1" t="s">
        <v>23</v>
      </c>
      <c r="I711" s="1" t="s">
        <v>35</v>
      </c>
      <c r="J711" s="1">
        <v>4</v>
      </c>
      <c r="K711" s="1" t="s">
        <v>19</v>
      </c>
      <c r="L711" s="1" t="s">
        <v>55</v>
      </c>
      <c r="M711" s="1">
        <f>orders[[#This Row],[Ship Date]]-orders[[#This Row],[Order Date]]</f>
        <v>2</v>
      </c>
      <c r="N711" s="1">
        <f>WEEKNUM(orders[[#This Row],[Order Date]])</f>
        <v>5</v>
      </c>
      <c r="O711" s="1" t="str" cm="1">
        <f t="array" ref="O711">_xlfn.IFS(orders[[#This Row],[Customer Gender]]="M","Male", orders[[#This Row],[Customer Gender]]="F","Female", orders[[#This Row],[Customer Gender]]="O","Other", TRUE,"Unknown")</f>
        <v>Male</v>
      </c>
    </row>
    <row r="712" spans="1:15">
      <c r="A712" s="1" t="s">
        <v>805</v>
      </c>
      <c r="B712" s="1" t="s">
        <v>54</v>
      </c>
      <c r="C712" s="1">
        <v>2</v>
      </c>
      <c r="D712" s="1">
        <v>69.2</v>
      </c>
      <c r="E712" s="11">
        <v>138.4</v>
      </c>
      <c r="F712" s="3">
        <v>45688</v>
      </c>
      <c r="G712" s="3">
        <v>45690</v>
      </c>
      <c r="H712" s="1" t="s">
        <v>17</v>
      </c>
      <c r="I712" s="1" t="s">
        <v>40</v>
      </c>
      <c r="J712" s="1">
        <v>3</v>
      </c>
      <c r="K712" s="1" t="s">
        <v>19</v>
      </c>
      <c r="L712" s="1" t="s">
        <v>55</v>
      </c>
      <c r="M712" s="1">
        <f>orders[[#This Row],[Ship Date]]-orders[[#This Row],[Order Date]]</f>
        <v>2</v>
      </c>
      <c r="N712" s="1">
        <f>WEEKNUM(orders[[#This Row],[Order Date]])</f>
        <v>5</v>
      </c>
      <c r="O712" s="1" t="str" cm="1">
        <f t="array" ref="O712">_xlfn.IFS(orders[[#This Row],[Customer Gender]]="M","Male", orders[[#This Row],[Customer Gender]]="F","Female", orders[[#This Row],[Customer Gender]]="O","Other", TRUE,"Unknown")</f>
        <v>Unknown</v>
      </c>
    </row>
    <row r="713" spans="1:15">
      <c r="A713" s="1" t="s">
        <v>806</v>
      </c>
      <c r="B713" s="1" t="s">
        <v>16</v>
      </c>
      <c r="C713" s="1">
        <v>8</v>
      </c>
      <c r="D713" s="1">
        <v>10.9</v>
      </c>
      <c r="E713" s="11">
        <v>87.2</v>
      </c>
      <c r="F713" s="3">
        <v>45688</v>
      </c>
      <c r="G713" s="3">
        <v>45689</v>
      </c>
      <c r="H713" s="1" t="s">
        <v>27</v>
      </c>
      <c r="I713" s="1" t="s">
        <v>18</v>
      </c>
      <c r="J713" s="1">
        <v>5</v>
      </c>
      <c r="K713" s="1" t="s">
        <v>19</v>
      </c>
      <c r="L713" s="1" t="s">
        <v>55</v>
      </c>
      <c r="M713" s="1">
        <f>orders[[#This Row],[Ship Date]]-orders[[#This Row],[Order Date]]</f>
        <v>1</v>
      </c>
      <c r="N713" s="1">
        <f>WEEKNUM(orders[[#This Row],[Order Date]])</f>
        <v>5</v>
      </c>
      <c r="O713" s="1" t="str" cm="1">
        <f t="array" ref="O713">_xlfn.IFS(orders[[#This Row],[Customer Gender]]="M","Male", orders[[#This Row],[Customer Gender]]="F","Female", orders[[#This Row],[Customer Gender]]="O","Other", TRUE,"Unknown")</f>
        <v>Female</v>
      </c>
    </row>
    <row r="714" spans="1:15">
      <c r="A714" s="1" t="s">
        <v>807</v>
      </c>
      <c r="B714" s="1" t="s">
        <v>128</v>
      </c>
      <c r="C714" s="1">
        <v>2</v>
      </c>
      <c r="D714" s="1">
        <v>48.6</v>
      </c>
      <c r="E714" s="11">
        <v>97.2</v>
      </c>
      <c r="F714" s="3">
        <v>45688</v>
      </c>
      <c r="G714" s="3">
        <v>45692</v>
      </c>
      <c r="H714" s="1" t="s">
        <v>23</v>
      </c>
      <c r="I714" s="1" t="s">
        <v>35</v>
      </c>
      <c r="J714" s="1">
        <v>5</v>
      </c>
      <c r="K714" s="1" t="s">
        <v>19</v>
      </c>
      <c r="L714" s="1" t="s">
        <v>55</v>
      </c>
      <c r="M714" s="1">
        <f>orders[[#This Row],[Ship Date]]-orders[[#This Row],[Order Date]]</f>
        <v>4</v>
      </c>
      <c r="N714" s="1">
        <f>WEEKNUM(orders[[#This Row],[Order Date]])</f>
        <v>5</v>
      </c>
      <c r="O714" s="1" t="str" cm="1">
        <f t="array" ref="O714">_xlfn.IFS(orders[[#This Row],[Customer Gender]]="M","Male", orders[[#This Row],[Customer Gender]]="F","Female", orders[[#This Row],[Customer Gender]]="O","Other", TRUE,"Unknown")</f>
        <v>Male</v>
      </c>
    </row>
    <row r="715" spans="1:15">
      <c r="A715" s="1" t="s">
        <v>808</v>
      </c>
      <c r="B715" s="1" t="s">
        <v>26</v>
      </c>
      <c r="C715" s="1">
        <v>2</v>
      </c>
      <c r="D715" s="1">
        <v>61.1</v>
      </c>
      <c r="E715" s="11">
        <v>122.2</v>
      </c>
      <c r="F715" s="3">
        <v>45688</v>
      </c>
      <c r="G715" s="3">
        <v>45691</v>
      </c>
      <c r="H715" s="1" t="s">
        <v>27</v>
      </c>
      <c r="I715" s="1" t="s">
        <v>35</v>
      </c>
      <c r="J715" s="1">
        <v>5</v>
      </c>
      <c r="K715" s="1" t="s">
        <v>19</v>
      </c>
      <c r="L715" s="1" t="s">
        <v>59</v>
      </c>
      <c r="M715" s="1">
        <f>orders[[#This Row],[Ship Date]]-orders[[#This Row],[Order Date]]</f>
        <v>3</v>
      </c>
      <c r="N715" s="1">
        <f>WEEKNUM(orders[[#This Row],[Order Date]])</f>
        <v>5</v>
      </c>
      <c r="O715" s="1" t="str" cm="1">
        <f t="array" ref="O715">_xlfn.IFS(orders[[#This Row],[Customer Gender]]="M","Male", orders[[#This Row],[Customer Gender]]="F","Female", orders[[#This Row],[Customer Gender]]="O","Other", TRUE,"Unknown")</f>
        <v>Female</v>
      </c>
    </row>
    <row r="716" spans="1:15">
      <c r="A716" s="1" t="s">
        <v>809</v>
      </c>
      <c r="B716" s="1" t="s">
        <v>44</v>
      </c>
      <c r="C716" s="1">
        <v>2</v>
      </c>
      <c r="D716" s="1">
        <v>23.2</v>
      </c>
      <c r="E716" s="11">
        <v>46.4</v>
      </c>
      <c r="F716" s="3">
        <v>45688</v>
      </c>
      <c r="G716" s="3">
        <v>45689</v>
      </c>
      <c r="H716" s="1" t="s">
        <v>23</v>
      </c>
      <c r="I716" s="1" t="s">
        <v>51</v>
      </c>
      <c r="J716" s="1">
        <v>5</v>
      </c>
      <c r="K716" s="1" t="s">
        <v>19</v>
      </c>
      <c r="L716" s="1" t="s">
        <v>62</v>
      </c>
      <c r="M716" s="1">
        <f>orders[[#This Row],[Ship Date]]-orders[[#This Row],[Order Date]]</f>
        <v>1</v>
      </c>
      <c r="N716" s="1">
        <f>WEEKNUM(orders[[#This Row],[Order Date]])</f>
        <v>5</v>
      </c>
      <c r="O716" s="1" t="str" cm="1">
        <f t="array" ref="O716">_xlfn.IFS(orders[[#This Row],[Customer Gender]]="M","Male", orders[[#This Row],[Customer Gender]]="F","Female", orders[[#This Row],[Customer Gender]]="O","Other", TRUE,"Unknown")</f>
        <v>Male</v>
      </c>
    </row>
    <row r="717" spans="1:15">
      <c r="A717" s="1" t="s">
        <v>810</v>
      </c>
      <c r="B717" s="1" t="s">
        <v>69</v>
      </c>
      <c r="C717" s="1">
        <v>4</v>
      </c>
      <c r="D717" s="1">
        <v>55.8</v>
      </c>
      <c r="E717" s="11">
        <v>223.2</v>
      </c>
      <c r="F717" s="3">
        <v>45688</v>
      </c>
      <c r="G717" s="3">
        <v>45689</v>
      </c>
      <c r="H717" s="1" t="s">
        <v>23</v>
      </c>
      <c r="I717" s="1" t="s">
        <v>18</v>
      </c>
      <c r="J717" s="1">
        <v>4</v>
      </c>
      <c r="K717" s="1" t="s">
        <v>19</v>
      </c>
      <c r="L717" s="1" t="s">
        <v>62</v>
      </c>
      <c r="M717" s="1">
        <f>orders[[#This Row],[Ship Date]]-orders[[#This Row],[Order Date]]</f>
        <v>1</v>
      </c>
      <c r="N717" s="1">
        <f>WEEKNUM(orders[[#This Row],[Order Date]])</f>
        <v>5</v>
      </c>
      <c r="O717" s="1" t="str" cm="1">
        <f t="array" ref="O717">_xlfn.IFS(orders[[#This Row],[Customer Gender]]="M","Male", orders[[#This Row],[Customer Gender]]="F","Female", orders[[#This Row],[Customer Gender]]="O","Other", TRUE,"Unknown")</f>
        <v>Male</v>
      </c>
    </row>
    <row r="718" spans="1:15">
      <c r="A718" s="1" t="s">
        <v>811</v>
      </c>
      <c r="B718" s="1" t="s">
        <v>46</v>
      </c>
      <c r="C718" s="1">
        <v>4</v>
      </c>
      <c r="D718" s="1">
        <v>24.8</v>
      </c>
      <c r="E718" s="11">
        <v>99.2</v>
      </c>
      <c r="F718" s="3">
        <v>45688</v>
      </c>
      <c r="G718" s="3">
        <v>45689</v>
      </c>
      <c r="H718" s="1" t="s">
        <v>27</v>
      </c>
      <c r="I718" s="1" t="s">
        <v>18</v>
      </c>
      <c r="J718" s="1">
        <v>5</v>
      </c>
      <c r="K718" s="1" t="s">
        <v>19</v>
      </c>
      <c r="L718" s="1" t="s">
        <v>62</v>
      </c>
      <c r="M718" s="1">
        <f>orders[[#This Row],[Ship Date]]-orders[[#This Row],[Order Date]]</f>
        <v>1</v>
      </c>
      <c r="N718" s="1">
        <f>WEEKNUM(orders[[#This Row],[Order Date]])</f>
        <v>5</v>
      </c>
      <c r="O718" s="1" t="str" cm="1">
        <f t="array" ref="O718">_xlfn.IFS(orders[[#This Row],[Customer Gender]]="M","Male", orders[[#This Row],[Customer Gender]]="F","Female", orders[[#This Row],[Customer Gender]]="O","Other", TRUE,"Unknown")</f>
        <v>Female</v>
      </c>
    </row>
    <row r="719" spans="1:15">
      <c r="A719" s="1" t="s">
        <v>812</v>
      </c>
      <c r="B719" s="1" t="s">
        <v>54</v>
      </c>
      <c r="C719" s="1">
        <v>2</v>
      </c>
      <c r="D719" s="1">
        <v>27.9</v>
      </c>
      <c r="E719" s="11">
        <v>55.8</v>
      </c>
      <c r="F719" s="3">
        <v>45688</v>
      </c>
      <c r="G719" s="3">
        <v>45688</v>
      </c>
      <c r="H719" s="1" t="s">
        <v>23</v>
      </c>
      <c r="I719" s="1" t="s">
        <v>40</v>
      </c>
      <c r="J719" s="1">
        <v>5</v>
      </c>
      <c r="K719" s="1" t="s">
        <v>19</v>
      </c>
      <c r="L719" s="1" t="s">
        <v>62</v>
      </c>
      <c r="M719" s="1">
        <f>orders[[#This Row],[Ship Date]]-orders[[#This Row],[Order Date]]</f>
        <v>0</v>
      </c>
      <c r="N719" s="1">
        <f>WEEKNUM(orders[[#This Row],[Order Date]])</f>
        <v>5</v>
      </c>
      <c r="O719" s="1" t="str" cm="1">
        <f t="array" ref="O719">_xlfn.IFS(orders[[#This Row],[Customer Gender]]="M","Male", orders[[#This Row],[Customer Gender]]="F","Female", orders[[#This Row],[Customer Gender]]="O","Other", TRUE,"Unknown")</f>
        <v>Male</v>
      </c>
    </row>
    <row r="720" spans="1:15">
      <c r="A720" s="1" t="s">
        <v>813</v>
      </c>
      <c r="B720" s="1" t="s">
        <v>54</v>
      </c>
      <c r="C720" s="1">
        <v>6</v>
      </c>
      <c r="D720" s="1">
        <v>51.1</v>
      </c>
      <c r="E720" s="11">
        <v>306.60000000000002</v>
      </c>
      <c r="F720" s="3">
        <v>45688</v>
      </c>
      <c r="G720" s="3">
        <v>45688</v>
      </c>
      <c r="H720" s="1" t="s">
        <v>27</v>
      </c>
      <c r="I720" s="1" t="s">
        <v>51</v>
      </c>
      <c r="J720" s="1">
        <v>4</v>
      </c>
      <c r="K720" s="1" t="s">
        <v>19</v>
      </c>
      <c r="L720" s="1" t="s">
        <v>62</v>
      </c>
      <c r="M720" s="1">
        <f>orders[[#This Row],[Ship Date]]-orders[[#This Row],[Order Date]]</f>
        <v>0</v>
      </c>
      <c r="N720" s="1">
        <f>WEEKNUM(orders[[#This Row],[Order Date]])</f>
        <v>5</v>
      </c>
      <c r="O720" s="1" t="str" cm="1">
        <f t="array" ref="O720">_xlfn.IFS(orders[[#This Row],[Customer Gender]]="M","Male", orders[[#This Row],[Customer Gender]]="F","Female", orders[[#This Row],[Customer Gender]]="O","Other", TRUE,"Unknown")</f>
        <v>Female</v>
      </c>
    </row>
    <row r="721" spans="1:15">
      <c r="A721" s="1" t="s">
        <v>814</v>
      </c>
      <c r="B721" s="1" t="s">
        <v>135</v>
      </c>
      <c r="C721" s="1">
        <v>11</v>
      </c>
      <c r="D721" s="1">
        <v>32.700000000000003</v>
      </c>
      <c r="E721" s="11">
        <v>359.70000000000005</v>
      </c>
      <c r="F721" s="3">
        <v>45688</v>
      </c>
      <c r="G721" s="3">
        <v>45689</v>
      </c>
      <c r="H721" s="1" t="s">
        <v>23</v>
      </c>
      <c r="I721" s="1" t="s">
        <v>70</v>
      </c>
      <c r="J721" s="1">
        <v>5</v>
      </c>
      <c r="K721" s="1" t="s">
        <v>19</v>
      </c>
      <c r="L721" s="1" t="s">
        <v>103</v>
      </c>
      <c r="M721" s="1">
        <f>orders[[#This Row],[Ship Date]]-orders[[#This Row],[Order Date]]</f>
        <v>1</v>
      </c>
      <c r="N721" s="1">
        <f>WEEKNUM(orders[[#This Row],[Order Date]])</f>
        <v>5</v>
      </c>
      <c r="O721" s="1" t="str" cm="1">
        <f t="array" ref="O721">_xlfn.IFS(orders[[#This Row],[Customer Gender]]="M","Male", orders[[#This Row],[Customer Gender]]="F","Female", orders[[#This Row],[Customer Gender]]="O","Other", TRUE,"Unknown")</f>
        <v>Male</v>
      </c>
    </row>
    <row r="722" spans="1:15">
      <c r="A722" s="1" t="s">
        <v>815</v>
      </c>
      <c r="B722" s="1" t="s">
        <v>44</v>
      </c>
      <c r="C722" s="1">
        <v>4</v>
      </c>
      <c r="D722" s="1">
        <v>22.5</v>
      </c>
      <c r="E722" s="11">
        <v>90</v>
      </c>
      <c r="F722" s="3">
        <v>45688</v>
      </c>
      <c r="G722" s="3">
        <v>45688</v>
      </c>
      <c r="H722" s="1" t="s">
        <v>23</v>
      </c>
      <c r="I722" s="1" t="s">
        <v>18</v>
      </c>
      <c r="J722" s="1">
        <v>5</v>
      </c>
      <c r="K722" s="1" t="s">
        <v>19</v>
      </c>
      <c r="L722" s="1" t="s">
        <v>201</v>
      </c>
      <c r="M722" s="1">
        <f>orders[[#This Row],[Ship Date]]-orders[[#This Row],[Order Date]]</f>
        <v>0</v>
      </c>
      <c r="N722" s="1">
        <f>WEEKNUM(orders[[#This Row],[Order Date]])</f>
        <v>5</v>
      </c>
      <c r="O722" s="1" t="str" cm="1">
        <f t="array" ref="O722">_xlfn.IFS(orders[[#This Row],[Customer Gender]]="M","Male", orders[[#This Row],[Customer Gender]]="F","Female", orders[[#This Row],[Customer Gender]]="O","Other", TRUE,"Unknown")</f>
        <v>Male</v>
      </c>
    </row>
    <row r="723" spans="1:15">
      <c r="A723" s="1" t="s">
        <v>816</v>
      </c>
      <c r="B723" s="1" t="s">
        <v>16</v>
      </c>
      <c r="C723" s="1">
        <v>7</v>
      </c>
      <c r="D723" s="1">
        <v>14.6</v>
      </c>
      <c r="E723" s="11">
        <v>102.2</v>
      </c>
      <c r="F723" s="3">
        <v>45688</v>
      </c>
      <c r="G723" s="3">
        <v>45689</v>
      </c>
      <c r="H723" s="1" t="s">
        <v>27</v>
      </c>
      <c r="I723" s="1" t="s">
        <v>40</v>
      </c>
      <c r="J723" s="1">
        <v>4</v>
      </c>
      <c r="K723" s="1" t="s">
        <v>19</v>
      </c>
      <c r="L723" s="1" t="s">
        <v>429</v>
      </c>
      <c r="M723" s="1">
        <f>orders[[#This Row],[Ship Date]]-orders[[#This Row],[Order Date]]</f>
        <v>1</v>
      </c>
      <c r="N723" s="1">
        <f>WEEKNUM(orders[[#This Row],[Order Date]])</f>
        <v>5</v>
      </c>
      <c r="O723" s="1" t="str" cm="1">
        <f t="array" ref="O723">_xlfn.IFS(orders[[#This Row],[Customer Gender]]="M","Male", orders[[#This Row],[Customer Gender]]="F","Female", orders[[#This Row],[Customer Gender]]="O","Other", TRUE,"Unknown")</f>
        <v>Female</v>
      </c>
    </row>
    <row r="724" spans="1:15">
      <c r="A724" s="1" t="s">
        <v>817</v>
      </c>
      <c r="B724" s="1" t="s">
        <v>37</v>
      </c>
      <c r="C724" s="1">
        <v>3</v>
      </c>
      <c r="D724" s="1">
        <v>32.5</v>
      </c>
      <c r="E724" s="11">
        <v>97.5</v>
      </c>
      <c r="F724" s="3">
        <v>45688</v>
      </c>
      <c r="G724" s="3">
        <v>45691</v>
      </c>
      <c r="H724" s="1" t="s">
        <v>23</v>
      </c>
      <c r="I724" s="1" t="s">
        <v>18</v>
      </c>
      <c r="J724" s="1">
        <v>4</v>
      </c>
      <c r="K724" s="1" t="s">
        <v>19</v>
      </c>
      <c r="L724" s="1" t="s">
        <v>74</v>
      </c>
      <c r="M724" s="1">
        <f>orders[[#This Row],[Ship Date]]-orders[[#This Row],[Order Date]]</f>
        <v>3</v>
      </c>
      <c r="N724" s="1">
        <f>WEEKNUM(orders[[#This Row],[Order Date]])</f>
        <v>5</v>
      </c>
      <c r="O724" s="1" t="str" cm="1">
        <f t="array" ref="O724">_xlfn.IFS(orders[[#This Row],[Customer Gender]]="M","Male", orders[[#This Row],[Customer Gender]]="F","Female", orders[[#This Row],[Customer Gender]]="O","Other", TRUE,"Unknown")</f>
        <v>Male</v>
      </c>
    </row>
    <row r="725" spans="1:15">
      <c r="A725" s="1" t="s">
        <v>818</v>
      </c>
      <c r="B725" s="1" t="s">
        <v>146</v>
      </c>
      <c r="C725" s="1">
        <v>1</v>
      </c>
      <c r="D725" s="1">
        <v>78.099999999999994</v>
      </c>
      <c r="E725" s="11">
        <v>78.099999999999994</v>
      </c>
      <c r="F725" s="3">
        <v>45688</v>
      </c>
      <c r="G725" s="3">
        <v>45691</v>
      </c>
      <c r="H725" s="1" t="s">
        <v>23</v>
      </c>
      <c r="I725" s="1" t="s">
        <v>18</v>
      </c>
      <c r="J725" s="1">
        <v>5</v>
      </c>
      <c r="K725" s="1" t="s">
        <v>19</v>
      </c>
      <c r="L725" s="1" t="s">
        <v>77</v>
      </c>
      <c r="M725" s="1">
        <f>orders[[#This Row],[Ship Date]]-orders[[#This Row],[Order Date]]</f>
        <v>3</v>
      </c>
      <c r="N725" s="1">
        <f>WEEKNUM(orders[[#This Row],[Order Date]])</f>
        <v>5</v>
      </c>
      <c r="O725" s="1" t="str" cm="1">
        <f t="array" ref="O725">_xlfn.IFS(orders[[#This Row],[Customer Gender]]="M","Male", orders[[#This Row],[Customer Gender]]="F","Female", orders[[#This Row],[Customer Gender]]="O","Other", TRUE,"Unknown")</f>
        <v>Male</v>
      </c>
    </row>
    <row r="726" spans="1:15">
      <c r="A726" s="1" t="s">
        <v>819</v>
      </c>
      <c r="B726" s="1" t="s">
        <v>69</v>
      </c>
      <c r="C726" s="1">
        <v>6</v>
      </c>
      <c r="D726" s="1">
        <v>110.2</v>
      </c>
      <c r="E726" s="11">
        <v>661.2</v>
      </c>
      <c r="F726" s="3">
        <v>45688</v>
      </c>
      <c r="G726" s="3">
        <v>45688</v>
      </c>
      <c r="H726" s="1" t="s">
        <v>23</v>
      </c>
      <c r="I726" s="1" t="s">
        <v>35</v>
      </c>
      <c r="J726" s="1">
        <v>2</v>
      </c>
      <c r="K726" s="1" t="s">
        <v>19</v>
      </c>
      <c r="L726" s="1" t="s">
        <v>82</v>
      </c>
      <c r="M726" s="1">
        <f>orders[[#This Row],[Ship Date]]-orders[[#This Row],[Order Date]]</f>
        <v>0</v>
      </c>
      <c r="N726" s="1">
        <f>WEEKNUM(orders[[#This Row],[Order Date]])</f>
        <v>5</v>
      </c>
      <c r="O726" s="1" t="str" cm="1">
        <f t="array" ref="O726">_xlfn.IFS(orders[[#This Row],[Customer Gender]]="M","Male", orders[[#This Row],[Customer Gender]]="F","Female", orders[[#This Row],[Customer Gender]]="O","Other", TRUE,"Unknown")</f>
        <v>Male</v>
      </c>
    </row>
    <row r="727" spans="1:15">
      <c r="A727" s="1" t="s">
        <v>820</v>
      </c>
      <c r="B727" s="1" t="s">
        <v>39</v>
      </c>
      <c r="C727" s="1">
        <v>3</v>
      </c>
      <c r="D727" s="1">
        <v>86.3</v>
      </c>
      <c r="E727" s="11">
        <v>258.89999999999998</v>
      </c>
      <c r="F727" s="3">
        <v>45688</v>
      </c>
      <c r="G727" s="3">
        <v>45690</v>
      </c>
      <c r="H727" s="1" t="s">
        <v>27</v>
      </c>
      <c r="I727" s="1" t="s">
        <v>51</v>
      </c>
      <c r="J727" s="1">
        <v>4</v>
      </c>
      <c r="K727" s="1" t="s">
        <v>19</v>
      </c>
      <c r="L727" s="1" t="s">
        <v>115</v>
      </c>
      <c r="M727" s="1">
        <f>orders[[#This Row],[Ship Date]]-orders[[#This Row],[Order Date]]</f>
        <v>2</v>
      </c>
      <c r="N727" s="1">
        <f>WEEKNUM(orders[[#This Row],[Order Date]])</f>
        <v>5</v>
      </c>
      <c r="O727" s="1" t="str" cm="1">
        <f t="array" ref="O727">_xlfn.IFS(orders[[#This Row],[Customer Gender]]="M","Male", orders[[#This Row],[Customer Gender]]="F","Female", orders[[#This Row],[Customer Gender]]="O","Other", TRUE,"Unknown")</f>
        <v>Female</v>
      </c>
    </row>
    <row r="728" spans="1:15">
      <c r="A728" s="1" t="s">
        <v>821</v>
      </c>
      <c r="B728" s="1" t="s">
        <v>22</v>
      </c>
      <c r="C728" s="1">
        <v>6</v>
      </c>
      <c r="D728" s="1">
        <v>73.599999999999994</v>
      </c>
      <c r="E728" s="11">
        <v>441.59999999999997</v>
      </c>
      <c r="F728" s="3">
        <v>45688</v>
      </c>
      <c r="G728" s="3">
        <v>45690</v>
      </c>
      <c r="H728" s="1" t="s">
        <v>89</v>
      </c>
      <c r="I728" s="1" t="s">
        <v>51</v>
      </c>
      <c r="J728" s="1">
        <v>2</v>
      </c>
      <c r="K728" s="1" t="s">
        <v>19</v>
      </c>
      <c r="L728" s="1" t="s">
        <v>587</v>
      </c>
      <c r="M728" s="1">
        <f>orders[[#This Row],[Ship Date]]-orders[[#This Row],[Order Date]]</f>
        <v>2</v>
      </c>
      <c r="N728" s="1">
        <f>WEEKNUM(orders[[#This Row],[Order Date]])</f>
        <v>5</v>
      </c>
      <c r="O728" s="1" t="str" cm="1">
        <f t="array" ref="O728">_xlfn.IFS(orders[[#This Row],[Customer Gender]]="M","Male", orders[[#This Row],[Customer Gender]]="F","Female", orders[[#This Row],[Customer Gender]]="O","Other", TRUE,"Unknown")</f>
        <v>Other</v>
      </c>
    </row>
    <row r="729" spans="1:15">
      <c r="A729" s="1" t="s">
        <v>822</v>
      </c>
      <c r="B729" s="1" t="s">
        <v>39</v>
      </c>
      <c r="C729" s="1">
        <v>13</v>
      </c>
      <c r="D729" s="1">
        <v>67.7</v>
      </c>
      <c r="E729" s="11">
        <v>880.1</v>
      </c>
      <c r="F729" s="3">
        <v>45688</v>
      </c>
      <c r="G729" s="3">
        <v>45690</v>
      </c>
      <c r="H729" s="1" t="s">
        <v>27</v>
      </c>
      <c r="I729" s="1" t="s">
        <v>18</v>
      </c>
      <c r="J729" s="1">
        <v>5</v>
      </c>
      <c r="K729" s="1" t="s">
        <v>19</v>
      </c>
      <c r="L729" s="1" t="s">
        <v>33</v>
      </c>
      <c r="M729" s="1">
        <f>orders[[#This Row],[Ship Date]]-orders[[#This Row],[Order Date]]</f>
        <v>2</v>
      </c>
      <c r="N729" s="1">
        <f>WEEKNUM(orders[[#This Row],[Order Date]])</f>
        <v>5</v>
      </c>
      <c r="O729" s="1" t="str" cm="1">
        <f t="array" ref="O729">_xlfn.IFS(orders[[#This Row],[Customer Gender]]="M","Male", orders[[#This Row],[Customer Gender]]="F","Female", orders[[#This Row],[Customer Gender]]="O","Other", TRUE,"Unknown")</f>
        <v>Female</v>
      </c>
    </row>
    <row r="730" spans="1:15">
      <c r="A730" s="1" t="s">
        <v>823</v>
      </c>
      <c r="B730" s="1" t="s">
        <v>42</v>
      </c>
      <c r="C730" s="1">
        <v>6</v>
      </c>
      <c r="D730" s="1">
        <v>142.19999999999999</v>
      </c>
      <c r="E730" s="11">
        <v>853.19999999999993</v>
      </c>
      <c r="F730" s="3">
        <v>45688</v>
      </c>
      <c r="G730" s="3">
        <v>45689</v>
      </c>
      <c r="H730" s="1" t="s">
        <v>27</v>
      </c>
      <c r="I730" s="1" t="s">
        <v>40</v>
      </c>
      <c r="J730" s="1">
        <v>2</v>
      </c>
      <c r="K730" s="1" t="s">
        <v>19</v>
      </c>
      <c r="L730" s="1" t="s">
        <v>33</v>
      </c>
      <c r="M730" s="1">
        <f>orders[[#This Row],[Ship Date]]-orders[[#This Row],[Order Date]]</f>
        <v>1</v>
      </c>
      <c r="N730" s="1">
        <f>WEEKNUM(orders[[#This Row],[Order Date]])</f>
        <v>5</v>
      </c>
      <c r="O730" s="1" t="str" cm="1">
        <f t="array" ref="O730">_xlfn.IFS(orders[[#This Row],[Customer Gender]]="M","Male", orders[[#This Row],[Customer Gender]]="F","Female", orders[[#This Row],[Customer Gender]]="O","Other", TRUE,"Unknown")</f>
        <v>Female</v>
      </c>
    </row>
    <row r="731" spans="1:15">
      <c r="A731" s="1" t="s">
        <v>824</v>
      </c>
      <c r="B731" s="1" t="s">
        <v>22</v>
      </c>
      <c r="C731" s="1">
        <v>9</v>
      </c>
      <c r="D731" s="1">
        <v>45.8</v>
      </c>
      <c r="E731" s="11">
        <v>412.2</v>
      </c>
      <c r="F731" s="3">
        <v>45688</v>
      </c>
      <c r="G731" s="3">
        <v>45690</v>
      </c>
      <c r="H731" s="1" t="s">
        <v>27</v>
      </c>
      <c r="I731" s="1" t="s">
        <v>35</v>
      </c>
      <c r="J731" s="1">
        <v>5</v>
      </c>
      <c r="K731" s="1" t="s">
        <v>19</v>
      </c>
      <c r="L731" s="1" t="s">
        <v>33</v>
      </c>
      <c r="M731" s="1">
        <f>orders[[#This Row],[Ship Date]]-orders[[#This Row],[Order Date]]</f>
        <v>2</v>
      </c>
      <c r="N731" s="1">
        <f>WEEKNUM(orders[[#This Row],[Order Date]])</f>
        <v>5</v>
      </c>
      <c r="O731" s="1" t="str" cm="1">
        <f t="array" ref="O731">_xlfn.IFS(orders[[#This Row],[Customer Gender]]="M","Male", orders[[#This Row],[Customer Gender]]="F","Female", orders[[#This Row],[Customer Gender]]="O","Other", TRUE,"Unknown")</f>
        <v>Female</v>
      </c>
    </row>
    <row r="732" spans="1:15">
      <c r="A732" s="1" t="s">
        <v>825</v>
      </c>
      <c r="B732" s="1" t="s">
        <v>54</v>
      </c>
      <c r="C732" s="1">
        <v>2</v>
      </c>
      <c r="D732" s="1">
        <v>24.2</v>
      </c>
      <c r="E732" s="11">
        <v>48.4</v>
      </c>
      <c r="F732" s="3">
        <v>45689</v>
      </c>
      <c r="G732" s="3">
        <v>45692</v>
      </c>
      <c r="H732" s="1" t="s">
        <v>27</v>
      </c>
      <c r="I732" s="1" t="s">
        <v>51</v>
      </c>
      <c r="J732" s="1">
        <v>5</v>
      </c>
      <c r="K732" s="1" t="s">
        <v>19</v>
      </c>
      <c r="L732" s="1" t="s">
        <v>33</v>
      </c>
      <c r="M732" s="1">
        <f>orders[[#This Row],[Ship Date]]-orders[[#This Row],[Order Date]]</f>
        <v>3</v>
      </c>
      <c r="N732" s="1">
        <f>WEEKNUM(orders[[#This Row],[Order Date]])</f>
        <v>5</v>
      </c>
      <c r="O732" s="1" t="str" cm="1">
        <f t="array" ref="O732">_xlfn.IFS(orders[[#This Row],[Customer Gender]]="M","Male", orders[[#This Row],[Customer Gender]]="F","Female", orders[[#This Row],[Customer Gender]]="O","Other", TRUE,"Unknown")</f>
        <v>Female</v>
      </c>
    </row>
    <row r="733" spans="1:15">
      <c r="A733" s="1" t="s">
        <v>826</v>
      </c>
      <c r="B733" s="1" t="s">
        <v>26</v>
      </c>
      <c r="C733" s="1">
        <v>3</v>
      </c>
      <c r="D733" s="1">
        <v>144.9</v>
      </c>
      <c r="E733" s="11">
        <v>434.70000000000005</v>
      </c>
      <c r="F733" s="3">
        <v>45689</v>
      </c>
      <c r="G733" s="3">
        <v>45690</v>
      </c>
      <c r="H733" s="1" t="s">
        <v>89</v>
      </c>
      <c r="I733" s="1" t="s">
        <v>40</v>
      </c>
      <c r="J733" s="1">
        <v>5</v>
      </c>
      <c r="K733" s="1" t="s">
        <v>19</v>
      </c>
      <c r="L733" s="1" t="s">
        <v>33</v>
      </c>
      <c r="M733" s="1">
        <f>orders[[#This Row],[Ship Date]]-orders[[#This Row],[Order Date]]</f>
        <v>1</v>
      </c>
      <c r="N733" s="1">
        <f>WEEKNUM(orders[[#This Row],[Order Date]])</f>
        <v>5</v>
      </c>
      <c r="O733" s="1" t="str" cm="1">
        <f t="array" ref="O733">_xlfn.IFS(orders[[#This Row],[Customer Gender]]="M","Male", orders[[#This Row],[Customer Gender]]="F","Female", orders[[#This Row],[Customer Gender]]="O","Other", TRUE,"Unknown")</f>
        <v>Other</v>
      </c>
    </row>
    <row r="734" spans="1:15">
      <c r="A734" s="1" t="s">
        <v>827</v>
      </c>
      <c r="B734" s="1" t="s">
        <v>67</v>
      </c>
      <c r="C734" s="1">
        <v>5</v>
      </c>
      <c r="D734" s="1">
        <v>32.799999999999997</v>
      </c>
      <c r="E734" s="11">
        <v>164</v>
      </c>
      <c r="F734" s="3">
        <v>45689</v>
      </c>
      <c r="G734" s="3">
        <v>45692</v>
      </c>
      <c r="H734" s="1" t="s">
        <v>27</v>
      </c>
      <c r="I734" s="1" t="s">
        <v>40</v>
      </c>
      <c r="J734" s="1">
        <v>4</v>
      </c>
      <c r="K734" s="1" t="s">
        <v>19</v>
      </c>
      <c r="L734" s="1" t="s">
        <v>158</v>
      </c>
      <c r="M734" s="1">
        <f>orders[[#This Row],[Ship Date]]-orders[[#This Row],[Order Date]]</f>
        <v>3</v>
      </c>
      <c r="N734" s="1">
        <f>WEEKNUM(orders[[#This Row],[Order Date]])</f>
        <v>5</v>
      </c>
      <c r="O734" s="1" t="str" cm="1">
        <f t="array" ref="O734">_xlfn.IFS(orders[[#This Row],[Customer Gender]]="M","Male", orders[[#This Row],[Customer Gender]]="F","Female", orders[[#This Row],[Customer Gender]]="O","Other", TRUE,"Unknown")</f>
        <v>Female</v>
      </c>
    </row>
    <row r="735" spans="1:15">
      <c r="A735" s="1" t="s">
        <v>828</v>
      </c>
      <c r="B735" s="1" t="s">
        <v>42</v>
      </c>
      <c r="C735" s="1">
        <v>10</v>
      </c>
      <c r="D735" s="1">
        <v>35.700000000000003</v>
      </c>
      <c r="E735" s="11">
        <v>357</v>
      </c>
      <c r="F735" s="3">
        <v>45689</v>
      </c>
      <c r="G735" s="3">
        <v>45689</v>
      </c>
      <c r="H735" s="1" t="s">
        <v>27</v>
      </c>
      <c r="I735" s="1" t="s">
        <v>18</v>
      </c>
      <c r="J735" s="1">
        <v>3</v>
      </c>
      <c r="K735" s="1" t="s">
        <v>19</v>
      </c>
      <c r="L735" s="1" t="s">
        <v>55</v>
      </c>
      <c r="M735" s="1">
        <f>orders[[#This Row],[Ship Date]]-orders[[#This Row],[Order Date]]</f>
        <v>0</v>
      </c>
      <c r="N735" s="1">
        <f>WEEKNUM(orders[[#This Row],[Order Date]])</f>
        <v>5</v>
      </c>
      <c r="O735" s="1" t="str" cm="1">
        <f t="array" ref="O735">_xlfn.IFS(orders[[#This Row],[Customer Gender]]="M","Male", orders[[#This Row],[Customer Gender]]="F","Female", orders[[#This Row],[Customer Gender]]="O","Other", TRUE,"Unknown")</f>
        <v>Female</v>
      </c>
    </row>
    <row r="736" spans="1:15">
      <c r="A736" s="1" t="s">
        <v>829</v>
      </c>
      <c r="B736" s="1" t="s">
        <v>46</v>
      </c>
      <c r="C736" s="1">
        <v>2</v>
      </c>
      <c r="D736" s="1">
        <v>54.6</v>
      </c>
      <c r="E736" s="11">
        <v>109.2</v>
      </c>
      <c r="F736" s="3">
        <v>45689</v>
      </c>
      <c r="G736" s="3">
        <v>45690</v>
      </c>
      <c r="H736" s="1" t="s">
        <v>27</v>
      </c>
      <c r="I736" s="1" t="s">
        <v>40</v>
      </c>
      <c r="J736" s="1">
        <v>4</v>
      </c>
      <c r="K736" s="1" t="s">
        <v>19</v>
      </c>
      <c r="L736" s="1" t="s">
        <v>55</v>
      </c>
      <c r="M736" s="1">
        <f>orders[[#This Row],[Ship Date]]-orders[[#This Row],[Order Date]]</f>
        <v>1</v>
      </c>
      <c r="N736" s="1">
        <f>WEEKNUM(orders[[#This Row],[Order Date]])</f>
        <v>5</v>
      </c>
      <c r="O736" s="1" t="str" cm="1">
        <f t="array" ref="O736">_xlfn.IFS(orders[[#This Row],[Customer Gender]]="M","Male", orders[[#This Row],[Customer Gender]]="F","Female", orders[[#This Row],[Customer Gender]]="O","Other", TRUE,"Unknown")</f>
        <v>Female</v>
      </c>
    </row>
    <row r="737" spans="1:15">
      <c r="A737" s="1" t="s">
        <v>830</v>
      </c>
      <c r="B737" s="1" t="s">
        <v>44</v>
      </c>
      <c r="C737" s="1">
        <v>2</v>
      </c>
      <c r="D737" s="1">
        <v>35.700000000000003</v>
      </c>
      <c r="E737" s="11">
        <v>71.400000000000006</v>
      </c>
      <c r="F737" s="3">
        <v>45689</v>
      </c>
      <c r="G737" s="3">
        <v>45692</v>
      </c>
      <c r="H737" s="1" t="s">
        <v>17</v>
      </c>
      <c r="I737" s="1" t="s">
        <v>18</v>
      </c>
      <c r="J737" s="1">
        <v>3</v>
      </c>
      <c r="K737" s="1" t="s">
        <v>19</v>
      </c>
      <c r="L737" s="1" t="s">
        <v>55</v>
      </c>
      <c r="M737" s="1">
        <f>orders[[#This Row],[Ship Date]]-orders[[#This Row],[Order Date]]</f>
        <v>3</v>
      </c>
      <c r="N737" s="1">
        <f>WEEKNUM(orders[[#This Row],[Order Date]])</f>
        <v>5</v>
      </c>
      <c r="O737" s="1" t="str" cm="1">
        <f t="array" ref="O737">_xlfn.IFS(orders[[#This Row],[Customer Gender]]="M","Male", orders[[#This Row],[Customer Gender]]="F","Female", orders[[#This Row],[Customer Gender]]="O","Other", TRUE,"Unknown")</f>
        <v>Unknown</v>
      </c>
    </row>
    <row r="738" spans="1:15">
      <c r="A738" s="1" t="s">
        <v>831</v>
      </c>
      <c r="B738" s="1" t="s">
        <v>54</v>
      </c>
      <c r="C738" s="1">
        <v>2</v>
      </c>
      <c r="D738" s="1">
        <v>52.4</v>
      </c>
      <c r="E738" s="11">
        <v>104.8</v>
      </c>
      <c r="F738" s="3">
        <v>45689</v>
      </c>
      <c r="G738" s="3">
        <v>45689</v>
      </c>
      <c r="H738" s="1" t="s">
        <v>27</v>
      </c>
      <c r="I738" s="1" t="s">
        <v>18</v>
      </c>
      <c r="J738" s="1">
        <v>1</v>
      </c>
      <c r="K738" s="1" t="s">
        <v>19</v>
      </c>
      <c r="L738" s="1" t="s">
        <v>55</v>
      </c>
      <c r="M738" s="1">
        <f>orders[[#This Row],[Ship Date]]-orders[[#This Row],[Order Date]]</f>
        <v>0</v>
      </c>
      <c r="N738" s="1">
        <f>WEEKNUM(orders[[#This Row],[Order Date]])</f>
        <v>5</v>
      </c>
      <c r="O738" s="1" t="str" cm="1">
        <f t="array" ref="O738">_xlfn.IFS(orders[[#This Row],[Customer Gender]]="M","Male", orders[[#This Row],[Customer Gender]]="F","Female", orders[[#This Row],[Customer Gender]]="O","Other", TRUE,"Unknown")</f>
        <v>Female</v>
      </c>
    </row>
    <row r="739" spans="1:15">
      <c r="A739" s="1" t="s">
        <v>832</v>
      </c>
      <c r="B739" s="1" t="s">
        <v>44</v>
      </c>
      <c r="C739" s="1">
        <v>14</v>
      </c>
      <c r="D739" s="1">
        <v>16.2</v>
      </c>
      <c r="E739" s="11">
        <v>226.79999999999998</v>
      </c>
      <c r="F739" s="3">
        <v>45689</v>
      </c>
      <c r="G739" s="3">
        <v>45690</v>
      </c>
      <c r="H739" s="1" t="s">
        <v>17</v>
      </c>
      <c r="I739" s="1" t="s">
        <v>18</v>
      </c>
      <c r="J739" s="1">
        <v>3</v>
      </c>
      <c r="K739" s="1" t="s">
        <v>19</v>
      </c>
      <c r="L739" s="1" t="s">
        <v>62</v>
      </c>
      <c r="M739" s="1">
        <f>orders[[#This Row],[Ship Date]]-orders[[#This Row],[Order Date]]</f>
        <v>1</v>
      </c>
      <c r="N739" s="1">
        <f>WEEKNUM(orders[[#This Row],[Order Date]])</f>
        <v>5</v>
      </c>
      <c r="O739" s="1" t="str" cm="1">
        <f t="array" ref="O739">_xlfn.IFS(orders[[#This Row],[Customer Gender]]="M","Male", orders[[#This Row],[Customer Gender]]="F","Female", orders[[#This Row],[Customer Gender]]="O","Other", TRUE,"Unknown")</f>
        <v>Unknown</v>
      </c>
    </row>
    <row r="740" spans="1:15">
      <c r="A740" s="1" t="s">
        <v>833</v>
      </c>
      <c r="B740" s="1" t="s">
        <v>39</v>
      </c>
      <c r="C740" s="1">
        <v>47</v>
      </c>
      <c r="D740" s="1">
        <v>42.8</v>
      </c>
      <c r="E740" s="11">
        <v>2011.6</v>
      </c>
      <c r="F740" s="3">
        <v>45689</v>
      </c>
      <c r="G740" s="3">
        <v>45690</v>
      </c>
      <c r="H740" s="1" t="s">
        <v>27</v>
      </c>
      <c r="I740" s="1" t="s">
        <v>18</v>
      </c>
      <c r="J740" s="1">
        <v>4</v>
      </c>
      <c r="K740" s="1" t="s">
        <v>19</v>
      </c>
      <c r="L740" s="1" t="s">
        <v>62</v>
      </c>
      <c r="M740" s="1">
        <f>orders[[#This Row],[Ship Date]]-orders[[#This Row],[Order Date]]</f>
        <v>1</v>
      </c>
      <c r="N740" s="1">
        <f>WEEKNUM(orders[[#This Row],[Order Date]])</f>
        <v>5</v>
      </c>
      <c r="O740" s="1" t="str" cm="1">
        <f t="array" ref="O740">_xlfn.IFS(orders[[#This Row],[Customer Gender]]="M","Male", orders[[#This Row],[Customer Gender]]="F","Female", orders[[#This Row],[Customer Gender]]="O","Other", TRUE,"Unknown")</f>
        <v>Female</v>
      </c>
    </row>
    <row r="741" spans="1:15">
      <c r="A741" s="1" t="s">
        <v>834</v>
      </c>
      <c r="B741" s="1" t="s">
        <v>39</v>
      </c>
      <c r="C741" s="1">
        <v>9</v>
      </c>
      <c r="D741" s="1">
        <v>144.4</v>
      </c>
      <c r="E741" s="11">
        <v>1299.6000000000001</v>
      </c>
      <c r="F741" s="3">
        <v>45689</v>
      </c>
      <c r="G741" s="3">
        <v>45692</v>
      </c>
      <c r="H741" s="1" t="s">
        <v>27</v>
      </c>
      <c r="I741" s="1" t="s">
        <v>70</v>
      </c>
      <c r="J741" s="1">
        <v>4</v>
      </c>
      <c r="K741" s="1" t="s">
        <v>19</v>
      </c>
      <c r="L741" s="1" t="s">
        <v>62</v>
      </c>
      <c r="M741" s="1">
        <f>orders[[#This Row],[Ship Date]]-orders[[#This Row],[Order Date]]</f>
        <v>3</v>
      </c>
      <c r="N741" s="1">
        <f>WEEKNUM(orders[[#This Row],[Order Date]])</f>
        <v>5</v>
      </c>
      <c r="O741" s="1" t="str" cm="1">
        <f t="array" ref="O741">_xlfn.IFS(orders[[#This Row],[Customer Gender]]="M","Male", orders[[#This Row],[Customer Gender]]="F","Female", orders[[#This Row],[Customer Gender]]="O","Other", TRUE,"Unknown")</f>
        <v>Female</v>
      </c>
    </row>
    <row r="742" spans="1:15">
      <c r="A742" s="1" t="s">
        <v>835</v>
      </c>
      <c r="B742" s="1" t="s">
        <v>30</v>
      </c>
      <c r="C742" s="1">
        <v>36</v>
      </c>
      <c r="D742" s="1">
        <v>30.6</v>
      </c>
      <c r="E742" s="11">
        <v>1101.6000000000001</v>
      </c>
      <c r="F742" s="3">
        <v>45689</v>
      </c>
      <c r="G742" s="3">
        <v>45693</v>
      </c>
      <c r="H742" s="1" t="s">
        <v>27</v>
      </c>
      <c r="I742" s="1" t="s">
        <v>40</v>
      </c>
      <c r="J742" s="1">
        <v>5</v>
      </c>
      <c r="K742" s="1" t="s">
        <v>19</v>
      </c>
      <c r="L742" s="1" t="s">
        <v>77</v>
      </c>
      <c r="M742" s="1">
        <f>orders[[#This Row],[Ship Date]]-orders[[#This Row],[Order Date]]</f>
        <v>4</v>
      </c>
      <c r="N742" s="1">
        <f>WEEKNUM(orders[[#This Row],[Order Date]])</f>
        <v>5</v>
      </c>
      <c r="O742" s="1" t="str" cm="1">
        <f t="array" ref="O742">_xlfn.IFS(orders[[#This Row],[Customer Gender]]="M","Male", orders[[#This Row],[Customer Gender]]="F","Female", orders[[#This Row],[Customer Gender]]="O","Other", TRUE,"Unknown")</f>
        <v>Female</v>
      </c>
    </row>
    <row r="743" spans="1:15">
      <c r="A743" s="1" t="s">
        <v>836</v>
      </c>
      <c r="B743" s="1" t="s">
        <v>26</v>
      </c>
      <c r="C743" s="1">
        <v>2</v>
      </c>
      <c r="D743" s="1">
        <v>117.5</v>
      </c>
      <c r="E743" s="11">
        <v>235</v>
      </c>
      <c r="F743" s="3">
        <v>45689</v>
      </c>
      <c r="G743" s="3">
        <v>45690</v>
      </c>
      <c r="H743" s="1" t="s">
        <v>23</v>
      </c>
      <c r="I743" s="1" t="s">
        <v>18</v>
      </c>
      <c r="J743" s="1">
        <v>4</v>
      </c>
      <c r="K743" s="1" t="s">
        <v>19</v>
      </c>
      <c r="L743" s="1" t="s">
        <v>110</v>
      </c>
      <c r="M743" s="1">
        <f>orders[[#This Row],[Ship Date]]-orders[[#This Row],[Order Date]]</f>
        <v>1</v>
      </c>
      <c r="N743" s="1">
        <f>WEEKNUM(orders[[#This Row],[Order Date]])</f>
        <v>5</v>
      </c>
      <c r="O743" s="1" t="str" cm="1">
        <f t="array" ref="O743">_xlfn.IFS(orders[[#This Row],[Customer Gender]]="M","Male", orders[[#This Row],[Customer Gender]]="F","Female", orders[[#This Row],[Customer Gender]]="O","Other", TRUE,"Unknown")</f>
        <v>Male</v>
      </c>
    </row>
    <row r="744" spans="1:15">
      <c r="A744" s="1" t="s">
        <v>837</v>
      </c>
      <c r="B744" s="1" t="s">
        <v>39</v>
      </c>
      <c r="C744" s="1">
        <v>2</v>
      </c>
      <c r="D744" s="1">
        <v>105.7</v>
      </c>
      <c r="E744" s="11">
        <v>211.4</v>
      </c>
      <c r="F744" s="3">
        <v>45689</v>
      </c>
      <c r="G744" s="3">
        <v>45690</v>
      </c>
      <c r="H744" s="1" t="s">
        <v>27</v>
      </c>
      <c r="I744" s="1" t="s">
        <v>40</v>
      </c>
      <c r="J744" s="1">
        <v>5</v>
      </c>
      <c r="K744" s="1" t="s">
        <v>19</v>
      </c>
      <c r="L744" s="1" t="s">
        <v>115</v>
      </c>
      <c r="M744" s="1">
        <f>orders[[#This Row],[Ship Date]]-orders[[#This Row],[Order Date]]</f>
        <v>1</v>
      </c>
      <c r="N744" s="1">
        <f>WEEKNUM(orders[[#This Row],[Order Date]])</f>
        <v>5</v>
      </c>
      <c r="O744" s="1" t="str" cm="1">
        <f t="array" ref="O744">_xlfn.IFS(orders[[#This Row],[Customer Gender]]="M","Male", orders[[#This Row],[Customer Gender]]="F","Female", orders[[#This Row],[Customer Gender]]="O","Other", TRUE,"Unknown")</f>
        <v>Female</v>
      </c>
    </row>
    <row r="745" spans="1:15">
      <c r="A745" s="1" t="s">
        <v>838</v>
      </c>
      <c r="B745" s="1" t="s">
        <v>30</v>
      </c>
      <c r="C745" s="1">
        <v>3</v>
      </c>
      <c r="D745" s="1">
        <v>133.69999999999999</v>
      </c>
      <c r="E745" s="11">
        <v>401.09999999999997</v>
      </c>
      <c r="F745" s="3">
        <v>45689</v>
      </c>
      <c r="G745" s="3">
        <v>45690</v>
      </c>
      <c r="H745" s="1" t="s">
        <v>17</v>
      </c>
      <c r="I745" s="1" t="s">
        <v>70</v>
      </c>
      <c r="J745" s="1">
        <v>5</v>
      </c>
      <c r="K745" s="1" t="s">
        <v>19</v>
      </c>
      <c r="L745" s="1" t="s">
        <v>115</v>
      </c>
      <c r="M745" s="1">
        <f>orders[[#This Row],[Ship Date]]-orders[[#This Row],[Order Date]]</f>
        <v>1</v>
      </c>
      <c r="N745" s="1">
        <f>WEEKNUM(orders[[#This Row],[Order Date]])</f>
        <v>5</v>
      </c>
      <c r="O745" s="1" t="str" cm="1">
        <f t="array" ref="O745">_xlfn.IFS(orders[[#This Row],[Customer Gender]]="M","Male", orders[[#This Row],[Customer Gender]]="F","Female", orders[[#This Row],[Customer Gender]]="O","Other", TRUE,"Unknown")</f>
        <v>Unknown</v>
      </c>
    </row>
    <row r="746" spans="1:15">
      <c r="A746" s="1" t="s">
        <v>839</v>
      </c>
      <c r="B746" s="1" t="s">
        <v>32</v>
      </c>
      <c r="C746" s="1">
        <v>5</v>
      </c>
      <c r="D746" s="1">
        <v>46.8</v>
      </c>
      <c r="E746" s="11">
        <v>234</v>
      </c>
      <c r="F746" s="3">
        <v>45690</v>
      </c>
      <c r="G746" s="3">
        <v>45698</v>
      </c>
      <c r="H746" s="1" t="s">
        <v>27</v>
      </c>
      <c r="I746" s="1" t="s">
        <v>18</v>
      </c>
      <c r="J746" s="1">
        <v>3</v>
      </c>
      <c r="K746" s="1" t="s">
        <v>19</v>
      </c>
      <c r="L746" s="1" t="s">
        <v>115</v>
      </c>
      <c r="M746" s="1">
        <f>orders[[#This Row],[Ship Date]]-orders[[#This Row],[Order Date]]</f>
        <v>8</v>
      </c>
      <c r="N746" s="1">
        <f>WEEKNUM(orders[[#This Row],[Order Date]])</f>
        <v>6</v>
      </c>
      <c r="O746" s="1" t="str" cm="1">
        <f t="array" ref="O746">_xlfn.IFS(orders[[#This Row],[Customer Gender]]="M","Male", orders[[#This Row],[Customer Gender]]="F","Female", orders[[#This Row],[Customer Gender]]="O","Other", TRUE,"Unknown")</f>
        <v>Female</v>
      </c>
    </row>
    <row r="747" spans="1:15">
      <c r="A747" s="1" t="s">
        <v>840</v>
      </c>
      <c r="B747" s="1" t="s">
        <v>54</v>
      </c>
      <c r="C747" s="1">
        <v>3</v>
      </c>
      <c r="D747" s="1">
        <v>58.4</v>
      </c>
      <c r="E747" s="11">
        <v>175.2</v>
      </c>
      <c r="F747" s="3">
        <v>45690</v>
      </c>
      <c r="G747" s="3">
        <v>45692</v>
      </c>
      <c r="H747" s="1" t="s">
        <v>27</v>
      </c>
      <c r="I747" s="1" t="s">
        <v>18</v>
      </c>
      <c r="J747" s="1">
        <v>4</v>
      </c>
      <c r="K747" s="1" t="s">
        <v>19</v>
      </c>
      <c r="L747" s="1" t="s">
        <v>24</v>
      </c>
      <c r="M747" s="1">
        <f>orders[[#This Row],[Ship Date]]-orders[[#This Row],[Order Date]]</f>
        <v>2</v>
      </c>
      <c r="N747" s="1">
        <f>WEEKNUM(orders[[#This Row],[Order Date]])</f>
        <v>6</v>
      </c>
      <c r="O747" s="1" t="str" cm="1">
        <f t="array" ref="O747">_xlfn.IFS(orders[[#This Row],[Customer Gender]]="M","Male", orders[[#This Row],[Customer Gender]]="F","Female", orders[[#This Row],[Customer Gender]]="O","Other", TRUE,"Unknown")</f>
        <v>Female</v>
      </c>
    </row>
    <row r="748" spans="1:15">
      <c r="A748" s="1" t="s">
        <v>841</v>
      </c>
      <c r="B748" s="1" t="s">
        <v>39</v>
      </c>
      <c r="C748" s="1">
        <v>9</v>
      </c>
      <c r="D748" s="1">
        <v>65.099999999999994</v>
      </c>
      <c r="E748" s="11">
        <v>585.9</v>
      </c>
      <c r="F748" s="3">
        <v>45690</v>
      </c>
      <c r="G748" s="3">
        <v>45694</v>
      </c>
      <c r="H748" s="1" t="s">
        <v>23</v>
      </c>
      <c r="I748" s="1" t="s">
        <v>35</v>
      </c>
      <c r="J748" s="1">
        <v>5</v>
      </c>
      <c r="K748" s="1" t="s">
        <v>19</v>
      </c>
      <c r="L748" s="1" t="s">
        <v>147</v>
      </c>
      <c r="M748" s="1">
        <f>orders[[#This Row],[Ship Date]]-orders[[#This Row],[Order Date]]</f>
        <v>4</v>
      </c>
      <c r="N748" s="1">
        <f>WEEKNUM(orders[[#This Row],[Order Date]])</f>
        <v>6</v>
      </c>
      <c r="O748" s="1" t="str" cm="1">
        <f t="array" ref="O748">_xlfn.IFS(orders[[#This Row],[Customer Gender]]="M","Male", orders[[#This Row],[Customer Gender]]="F","Female", orders[[#This Row],[Customer Gender]]="O","Other", TRUE,"Unknown")</f>
        <v>Male</v>
      </c>
    </row>
    <row r="749" spans="1:15">
      <c r="A749" s="1" t="s">
        <v>842</v>
      </c>
      <c r="B749" s="1" t="s">
        <v>44</v>
      </c>
      <c r="C749" s="1">
        <v>1</v>
      </c>
      <c r="D749" s="1">
        <v>18.600000000000001</v>
      </c>
      <c r="E749" s="11">
        <v>18.600000000000001</v>
      </c>
      <c r="F749" s="3">
        <v>45690</v>
      </c>
      <c r="G749" s="3">
        <v>45693</v>
      </c>
      <c r="H749" s="1" t="s">
        <v>27</v>
      </c>
      <c r="I749" s="1" t="s">
        <v>18</v>
      </c>
      <c r="J749" s="1">
        <v>2</v>
      </c>
      <c r="K749" s="1" t="s">
        <v>19</v>
      </c>
      <c r="L749" s="1" t="s">
        <v>147</v>
      </c>
      <c r="M749" s="1">
        <f>orders[[#This Row],[Ship Date]]-orders[[#This Row],[Order Date]]</f>
        <v>3</v>
      </c>
      <c r="N749" s="1">
        <f>WEEKNUM(orders[[#This Row],[Order Date]])</f>
        <v>6</v>
      </c>
      <c r="O749" s="1" t="str" cm="1">
        <f t="array" ref="O749">_xlfn.IFS(orders[[#This Row],[Customer Gender]]="M","Male", orders[[#This Row],[Customer Gender]]="F","Female", orders[[#This Row],[Customer Gender]]="O","Other", TRUE,"Unknown")</f>
        <v>Female</v>
      </c>
    </row>
    <row r="750" spans="1:15">
      <c r="A750" s="1" t="s">
        <v>843</v>
      </c>
      <c r="B750" s="1" t="s">
        <v>22</v>
      </c>
      <c r="C750" s="1">
        <v>11</v>
      </c>
      <c r="D750" s="1">
        <v>92.3</v>
      </c>
      <c r="E750" s="11">
        <v>1015.3</v>
      </c>
      <c r="F750" s="3">
        <v>45690</v>
      </c>
      <c r="G750" s="3">
        <v>45692</v>
      </c>
      <c r="H750" s="1" t="s">
        <v>23</v>
      </c>
      <c r="I750" s="1" t="s">
        <v>35</v>
      </c>
      <c r="J750" s="1">
        <v>4</v>
      </c>
      <c r="K750" s="1" t="s">
        <v>19</v>
      </c>
      <c r="L750" s="1" t="s">
        <v>33</v>
      </c>
      <c r="M750" s="1">
        <f>orders[[#This Row],[Ship Date]]-orders[[#This Row],[Order Date]]</f>
        <v>2</v>
      </c>
      <c r="N750" s="1">
        <f>WEEKNUM(orders[[#This Row],[Order Date]])</f>
        <v>6</v>
      </c>
      <c r="O750" s="1" t="str" cm="1">
        <f t="array" ref="O750">_xlfn.IFS(orders[[#This Row],[Customer Gender]]="M","Male", orders[[#This Row],[Customer Gender]]="F","Female", orders[[#This Row],[Customer Gender]]="O","Other", TRUE,"Unknown")</f>
        <v>Male</v>
      </c>
    </row>
    <row r="751" spans="1:15">
      <c r="A751" s="1" t="s">
        <v>844</v>
      </c>
      <c r="B751" s="1" t="s">
        <v>39</v>
      </c>
      <c r="C751" s="1">
        <v>3</v>
      </c>
      <c r="D751" s="1">
        <v>81.7</v>
      </c>
      <c r="E751" s="11">
        <v>245.10000000000002</v>
      </c>
      <c r="F751" s="3">
        <v>45690</v>
      </c>
      <c r="G751" s="3">
        <v>45691</v>
      </c>
      <c r="H751" s="1" t="s">
        <v>17</v>
      </c>
      <c r="I751" s="1" t="s">
        <v>70</v>
      </c>
      <c r="J751" s="1">
        <v>2</v>
      </c>
      <c r="K751" s="1" t="s">
        <v>19</v>
      </c>
      <c r="L751" s="1" t="s">
        <v>33</v>
      </c>
      <c r="M751" s="1">
        <f>orders[[#This Row],[Ship Date]]-orders[[#This Row],[Order Date]]</f>
        <v>1</v>
      </c>
      <c r="N751" s="1">
        <f>WEEKNUM(orders[[#This Row],[Order Date]])</f>
        <v>6</v>
      </c>
      <c r="O751" s="1" t="str" cm="1">
        <f t="array" ref="O751">_xlfn.IFS(orders[[#This Row],[Customer Gender]]="M","Male", orders[[#This Row],[Customer Gender]]="F","Female", orders[[#This Row],[Customer Gender]]="O","Other", TRUE,"Unknown")</f>
        <v>Unknown</v>
      </c>
    </row>
    <row r="752" spans="1:15">
      <c r="A752" s="1" t="s">
        <v>845</v>
      </c>
      <c r="B752" s="1" t="s">
        <v>44</v>
      </c>
      <c r="C752" s="1">
        <v>2</v>
      </c>
      <c r="D752" s="1">
        <v>40.9</v>
      </c>
      <c r="E752" s="11">
        <v>81.8</v>
      </c>
      <c r="F752" s="3">
        <v>45690</v>
      </c>
      <c r="G752" s="3">
        <v>45692</v>
      </c>
      <c r="H752" s="1" t="s">
        <v>23</v>
      </c>
      <c r="I752" s="1" t="s">
        <v>18</v>
      </c>
      <c r="J752" s="1">
        <v>3</v>
      </c>
      <c r="K752" s="1" t="s">
        <v>19</v>
      </c>
      <c r="L752" s="1" t="s">
        <v>33</v>
      </c>
      <c r="M752" s="1">
        <f>orders[[#This Row],[Ship Date]]-orders[[#This Row],[Order Date]]</f>
        <v>2</v>
      </c>
      <c r="N752" s="1">
        <f>WEEKNUM(orders[[#This Row],[Order Date]])</f>
        <v>6</v>
      </c>
      <c r="O752" s="1" t="str" cm="1">
        <f t="array" ref="O752">_xlfn.IFS(orders[[#This Row],[Customer Gender]]="M","Male", orders[[#This Row],[Customer Gender]]="F","Female", orders[[#This Row],[Customer Gender]]="O","Other", TRUE,"Unknown")</f>
        <v>Male</v>
      </c>
    </row>
    <row r="753" spans="1:15">
      <c r="A753" s="1" t="s">
        <v>846</v>
      </c>
      <c r="B753" s="1" t="s">
        <v>39</v>
      </c>
      <c r="C753" s="1">
        <v>4</v>
      </c>
      <c r="D753" s="1">
        <v>43.2</v>
      </c>
      <c r="E753" s="11">
        <v>172.8</v>
      </c>
      <c r="F753" s="3">
        <v>45690</v>
      </c>
      <c r="G753" s="3">
        <v>45696</v>
      </c>
      <c r="H753" s="1" t="s">
        <v>27</v>
      </c>
      <c r="I753" s="1" t="s">
        <v>18</v>
      </c>
      <c r="J753" s="1">
        <v>3</v>
      </c>
      <c r="K753" s="1" t="s">
        <v>19</v>
      </c>
      <c r="L753" s="1" t="s">
        <v>33</v>
      </c>
      <c r="M753" s="1">
        <f>orders[[#This Row],[Ship Date]]-orders[[#This Row],[Order Date]]</f>
        <v>6</v>
      </c>
      <c r="N753" s="1">
        <f>WEEKNUM(orders[[#This Row],[Order Date]])</f>
        <v>6</v>
      </c>
      <c r="O753" s="1" t="str" cm="1">
        <f t="array" ref="O753">_xlfn.IFS(orders[[#This Row],[Customer Gender]]="M","Male", orders[[#This Row],[Customer Gender]]="F","Female", orders[[#This Row],[Customer Gender]]="O","Other", TRUE,"Unknown")</f>
        <v>Female</v>
      </c>
    </row>
    <row r="754" spans="1:15">
      <c r="A754" s="1" t="s">
        <v>847</v>
      </c>
      <c r="B754" s="1" t="s">
        <v>44</v>
      </c>
      <c r="C754" s="1">
        <v>11</v>
      </c>
      <c r="D754" s="1">
        <v>25.8</v>
      </c>
      <c r="E754" s="11">
        <v>283.8</v>
      </c>
      <c r="F754" s="3">
        <v>45690</v>
      </c>
      <c r="G754" s="3">
        <v>45693</v>
      </c>
      <c r="H754" s="1" t="s">
        <v>23</v>
      </c>
      <c r="I754" s="1" t="s">
        <v>40</v>
      </c>
      <c r="J754" s="1">
        <v>3</v>
      </c>
      <c r="K754" s="1" t="s">
        <v>19</v>
      </c>
      <c r="L754" s="1" t="s">
        <v>33</v>
      </c>
      <c r="M754" s="1">
        <f>orders[[#This Row],[Ship Date]]-orders[[#This Row],[Order Date]]</f>
        <v>3</v>
      </c>
      <c r="N754" s="1">
        <f>WEEKNUM(orders[[#This Row],[Order Date]])</f>
        <v>6</v>
      </c>
      <c r="O754" s="1" t="str" cm="1">
        <f t="array" ref="O754">_xlfn.IFS(orders[[#This Row],[Customer Gender]]="M","Male", orders[[#This Row],[Customer Gender]]="F","Female", orders[[#This Row],[Customer Gender]]="O","Other", TRUE,"Unknown")</f>
        <v>Male</v>
      </c>
    </row>
    <row r="755" spans="1:15">
      <c r="A755" s="1" t="s">
        <v>848</v>
      </c>
      <c r="B755" s="1" t="s">
        <v>123</v>
      </c>
      <c r="C755" s="1">
        <v>4</v>
      </c>
      <c r="D755" s="1">
        <v>36.4</v>
      </c>
      <c r="E755" s="11">
        <v>145.6</v>
      </c>
      <c r="F755" s="3">
        <v>45690</v>
      </c>
      <c r="G755" s="3">
        <v>45691</v>
      </c>
      <c r="H755" s="1" t="s">
        <v>23</v>
      </c>
      <c r="I755" s="1" t="s">
        <v>18</v>
      </c>
      <c r="J755" s="1">
        <v>4</v>
      </c>
      <c r="K755" s="1" t="s">
        <v>19</v>
      </c>
      <c r="L755" s="1" t="s">
        <v>33</v>
      </c>
      <c r="M755" s="1">
        <f>orders[[#This Row],[Ship Date]]-orders[[#This Row],[Order Date]]</f>
        <v>1</v>
      </c>
      <c r="N755" s="1">
        <f>WEEKNUM(orders[[#This Row],[Order Date]])</f>
        <v>6</v>
      </c>
      <c r="O755" s="1" t="str" cm="1">
        <f t="array" ref="O755">_xlfn.IFS(orders[[#This Row],[Customer Gender]]="M","Male", orders[[#This Row],[Customer Gender]]="F","Female", orders[[#This Row],[Customer Gender]]="O","Other", TRUE,"Unknown")</f>
        <v>Male</v>
      </c>
    </row>
    <row r="756" spans="1:15">
      <c r="A756" s="1" t="s">
        <v>849</v>
      </c>
      <c r="B756" s="1" t="s">
        <v>54</v>
      </c>
      <c r="C756" s="1">
        <v>1</v>
      </c>
      <c r="D756" s="1">
        <v>59.1</v>
      </c>
      <c r="E756" s="11">
        <v>59.1</v>
      </c>
      <c r="F756" s="3">
        <v>45690</v>
      </c>
      <c r="G756" s="3">
        <v>45691</v>
      </c>
      <c r="H756" s="1" t="s">
        <v>27</v>
      </c>
      <c r="I756" s="1" t="s">
        <v>40</v>
      </c>
      <c r="J756" s="1">
        <v>4</v>
      </c>
      <c r="K756" s="1" t="s">
        <v>19</v>
      </c>
      <c r="L756" s="1" t="s">
        <v>59</v>
      </c>
      <c r="M756" s="1">
        <f>orders[[#This Row],[Ship Date]]-orders[[#This Row],[Order Date]]</f>
        <v>1</v>
      </c>
      <c r="N756" s="1">
        <f>WEEKNUM(orders[[#This Row],[Order Date]])</f>
        <v>6</v>
      </c>
      <c r="O756" s="1" t="str" cm="1">
        <f t="array" ref="O756">_xlfn.IFS(orders[[#This Row],[Customer Gender]]="M","Male", orders[[#This Row],[Customer Gender]]="F","Female", orders[[#This Row],[Customer Gender]]="O","Other", TRUE,"Unknown")</f>
        <v>Female</v>
      </c>
    </row>
    <row r="757" spans="1:15">
      <c r="A757" s="1" t="s">
        <v>850</v>
      </c>
      <c r="B757" s="1" t="s">
        <v>26</v>
      </c>
      <c r="C757" s="1">
        <v>17</v>
      </c>
      <c r="D757" s="1">
        <v>74.5</v>
      </c>
      <c r="E757" s="11">
        <v>1266.5</v>
      </c>
      <c r="F757" s="3">
        <v>45690</v>
      </c>
      <c r="G757" s="3">
        <v>45692</v>
      </c>
      <c r="H757" s="1" t="s">
        <v>23</v>
      </c>
      <c r="I757" s="1" t="s">
        <v>70</v>
      </c>
      <c r="J757" s="1">
        <v>4</v>
      </c>
      <c r="K757" s="1" t="s">
        <v>19</v>
      </c>
      <c r="L757" s="1" t="s">
        <v>108</v>
      </c>
      <c r="M757" s="1">
        <f>orders[[#This Row],[Ship Date]]-orders[[#This Row],[Order Date]]</f>
        <v>2</v>
      </c>
      <c r="N757" s="1">
        <f>WEEKNUM(orders[[#This Row],[Order Date]])</f>
        <v>6</v>
      </c>
      <c r="O757" s="1" t="str" cm="1">
        <f t="array" ref="O757">_xlfn.IFS(orders[[#This Row],[Customer Gender]]="M","Male", orders[[#This Row],[Customer Gender]]="F","Female", orders[[#This Row],[Customer Gender]]="O","Other", TRUE,"Unknown")</f>
        <v>Male</v>
      </c>
    </row>
    <row r="758" spans="1:15">
      <c r="A758" s="1" t="s">
        <v>851</v>
      </c>
      <c r="B758" s="1" t="s">
        <v>37</v>
      </c>
      <c r="C758" s="1">
        <v>1</v>
      </c>
      <c r="D758" s="1">
        <v>72.8</v>
      </c>
      <c r="E758" s="11">
        <v>72.8</v>
      </c>
      <c r="F758" s="3">
        <v>45690</v>
      </c>
      <c r="G758" s="3">
        <v>45691</v>
      </c>
      <c r="H758" s="1" t="s">
        <v>27</v>
      </c>
      <c r="I758" s="1" t="s">
        <v>18</v>
      </c>
      <c r="J758" s="1">
        <v>3</v>
      </c>
      <c r="K758" s="1" t="s">
        <v>19</v>
      </c>
      <c r="L758" s="1" t="s">
        <v>110</v>
      </c>
      <c r="M758" s="1">
        <f>orders[[#This Row],[Ship Date]]-orders[[#This Row],[Order Date]]</f>
        <v>1</v>
      </c>
      <c r="N758" s="1">
        <f>WEEKNUM(orders[[#This Row],[Order Date]])</f>
        <v>6</v>
      </c>
      <c r="O758" s="1" t="str" cm="1">
        <f t="array" ref="O758">_xlfn.IFS(orders[[#This Row],[Customer Gender]]="M","Male", orders[[#This Row],[Customer Gender]]="F","Female", orders[[#This Row],[Customer Gender]]="O","Other", TRUE,"Unknown")</f>
        <v>Female</v>
      </c>
    </row>
    <row r="759" spans="1:15">
      <c r="A759" s="1" t="s">
        <v>852</v>
      </c>
      <c r="B759" s="1" t="s">
        <v>39</v>
      </c>
      <c r="C759" s="1">
        <v>4</v>
      </c>
      <c r="D759" s="1">
        <v>137.30000000000001</v>
      </c>
      <c r="E759" s="11">
        <v>549.20000000000005</v>
      </c>
      <c r="F759" s="3">
        <v>45690</v>
      </c>
      <c r="G759" s="3">
        <v>45693</v>
      </c>
      <c r="H759" s="1" t="s">
        <v>27</v>
      </c>
      <c r="I759" s="1" t="s">
        <v>18</v>
      </c>
      <c r="J759" s="1">
        <v>4</v>
      </c>
      <c r="K759" s="1" t="s">
        <v>19</v>
      </c>
      <c r="L759" s="1" t="s">
        <v>82</v>
      </c>
      <c r="M759" s="1">
        <f>orders[[#This Row],[Ship Date]]-orders[[#This Row],[Order Date]]</f>
        <v>3</v>
      </c>
      <c r="N759" s="1">
        <f>WEEKNUM(orders[[#This Row],[Order Date]])</f>
        <v>6</v>
      </c>
      <c r="O759" s="1" t="str" cm="1">
        <f t="array" ref="O759">_xlfn.IFS(orders[[#This Row],[Customer Gender]]="M","Male", orders[[#This Row],[Customer Gender]]="F","Female", orders[[#This Row],[Customer Gender]]="O","Other", TRUE,"Unknown")</f>
        <v>Female</v>
      </c>
    </row>
    <row r="760" spans="1:15">
      <c r="A760" s="1" t="s">
        <v>853</v>
      </c>
      <c r="B760" s="1" t="s">
        <v>22</v>
      </c>
      <c r="C760" s="1">
        <v>3</v>
      </c>
      <c r="D760" s="1">
        <v>48.7</v>
      </c>
      <c r="E760" s="11">
        <v>146.10000000000002</v>
      </c>
      <c r="F760" s="3">
        <v>45690</v>
      </c>
      <c r="G760" s="3">
        <v>45695</v>
      </c>
      <c r="H760" s="1" t="s">
        <v>27</v>
      </c>
      <c r="I760" s="1" t="s">
        <v>18</v>
      </c>
      <c r="J760" s="1">
        <v>3</v>
      </c>
      <c r="K760" s="1" t="s">
        <v>19</v>
      </c>
      <c r="L760" s="1" t="s">
        <v>115</v>
      </c>
      <c r="M760" s="1">
        <f>orders[[#This Row],[Ship Date]]-orders[[#This Row],[Order Date]]</f>
        <v>5</v>
      </c>
      <c r="N760" s="1">
        <f>WEEKNUM(orders[[#This Row],[Order Date]])</f>
        <v>6</v>
      </c>
      <c r="O760" s="1" t="str" cm="1">
        <f t="array" ref="O760">_xlfn.IFS(orders[[#This Row],[Customer Gender]]="M","Male", orders[[#This Row],[Customer Gender]]="F","Female", orders[[#This Row],[Customer Gender]]="O","Other", TRUE,"Unknown")</f>
        <v>Female</v>
      </c>
    </row>
    <row r="761" spans="1:15">
      <c r="A761" s="1" t="s">
        <v>854</v>
      </c>
      <c r="B761" s="1" t="s">
        <v>39</v>
      </c>
      <c r="C761" s="1">
        <v>4</v>
      </c>
      <c r="D761" s="1">
        <v>53.7</v>
      </c>
      <c r="E761" s="11">
        <v>214.8</v>
      </c>
      <c r="F761" s="3">
        <v>45690</v>
      </c>
      <c r="G761" s="3">
        <v>45694</v>
      </c>
      <c r="H761" s="1" t="s">
        <v>23</v>
      </c>
      <c r="I761" s="1" t="s">
        <v>35</v>
      </c>
      <c r="J761" s="1">
        <v>2</v>
      </c>
      <c r="K761" s="1" t="s">
        <v>19</v>
      </c>
      <c r="L761" s="1" t="s">
        <v>28</v>
      </c>
      <c r="M761" s="1">
        <f>orders[[#This Row],[Ship Date]]-orders[[#This Row],[Order Date]]</f>
        <v>4</v>
      </c>
      <c r="N761" s="1">
        <f>WEEKNUM(orders[[#This Row],[Order Date]])</f>
        <v>6</v>
      </c>
      <c r="O761" s="1" t="str" cm="1">
        <f t="array" ref="O761">_xlfn.IFS(orders[[#This Row],[Customer Gender]]="M","Male", orders[[#This Row],[Customer Gender]]="F","Female", orders[[#This Row],[Customer Gender]]="O","Other", TRUE,"Unknown")</f>
        <v>Male</v>
      </c>
    </row>
    <row r="762" spans="1:15">
      <c r="A762" s="1" t="s">
        <v>855</v>
      </c>
      <c r="B762" s="1" t="s">
        <v>26</v>
      </c>
      <c r="C762" s="1">
        <v>7</v>
      </c>
      <c r="D762" s="1">
        <v>100.9</v>
      </c>
      <c r="E762" s="11">
        <v>706.30000000000007</v>
      </c>
      <c r="F762" s="3">
        <v>45690</v>
      </c>
      <c r="G762" s="3">
        <v>45692</v>
      </c>
      <c r="H762" s="1" t="s">
        <v>27</v>
      </c>
      <c r="I762" s="1" t="s">
        <v>18</v>
      </c>
      <c r="J762" s="1">
        <v>3</v>
      </c>
      <c r="K762" s="1" t="s">
        <v>19</v>
      </c>
      <c r="L762" s="1" t="s">
        <v>28</v>
      </c>
      <c r="M762" s="1">
        <f>orders[[#This Row],[Ship Date]]-orders[[#This Row],[Order Date]]</f>
        <v>2</v>
      </c>
      <c r="N762" s="1">
        <f>WEEKNUM(orders[[#This Row],[Order Date]])</f>
        <v>6</v>
      </c>
      <c r="O762" s="1" t="str" cm="1">
        <f t="array" ref="O762">_xlfn.IFS(orders[[#This Row],[Customer Gender]]="M","Male", orders[[#This Row],[Customer Gender]]="F","Female", orders[[#This Row],[Customer Gender]]="O","Other", TRUE,"Unknown")</f>
        <v>Female</v>
      </c>
    </row>
    <row r="763" spans="1:15">
      <c r="A763" s="1" t="s">
        <v>856</v>
      </c>
      <c r="B763" s="1" t="s">
        <v>54</v>
      </c>
      <c r="C763" s="1">
        <v>2</v>
      </c>
      <c r="D763" s="1">
        <v>41.8</v>
      </c>
      <c r="E763" s="11">
        <v>83.6</v>
      </c>
      <c r="F763" s="3">
        <v>45690</v>
      </c>
      <c r="G763" s="3">
        <v>45694</v>
      </c>
      <c r="H763" s="1" t="s">
        <v>23</v>
      </c>
      <c r="I763" s="1" t="s">
        <v>51</v>
      </c>
      <c r="J763" s="1">
        <v>5</v>
      </c>
      <c r="K763" s="1" t="s">
        <v>19</v>
      </c>
      <c r="L763" s="1" t="s">
        <v>147</v>
      </c>
      <c r="M763" s="1">
        <f>orders[[#This Row],[Ship Date]]-orders[[#This Row],[Order Date]]</f>
        <v>4</v>
      </c>
      <c r="N763" s="1">
        <f>WEEKNUM(orders[[#This Row],[Order Date]])</f>
        <v>6</v>
      </c>
      <c r="O763" s="1" t="str" cm="1">
        <f t="array" ref="O763">_xlfn.IFS(orders[[#This Row],[Customer Gender]]="M","Male", orders[[#This Row],[Customer Gender]]="F","Female", orders[[#This Row],[Customer Gender]]="O","Other", TRUE,"Unknown")</f>
        <v>Male</v>
      </c>
    </row>
    <row r="764" spans="1:15">
      <c r="A764" s="1" t="s">
        <v>857</v>
      </c>
      <c r="B764" s="1" t="s">
        <v>32</v>
      </c>
      <c r="C764" s="1">
        <v>8</v>
      </c>
      <c r="D764" s="1">
        <v>28.5</v>
      </c>
      <c r="E764" s="11">
        <v>228</v>
      </c>
      <c r="F764" s="3">
        <v>45690</v>
      </c>
      <c r="G764" s="3">
        <v>45692</v>
      </c>
      <c r="H764" s="1" t="s">
        <v>23</v>
      </c>
      <c r="I764" s="1" t="s">
        <v>40</v>
      </c>
      <c r="J764" s="1">
        <v>3</v>
      </c>
      <c r="K764" s="1" t="s">
        <v>19</v>
      </c>
      <c r="L764" s="1" t="s">
        <v>33</v>
      </c>
      <c r="M764" s="1">
        <f>orders[[#This Row],[Ship Date]]-orders[[#This Row],[Order Date]]</f>
        <v>2</v>
      </c>
      <c r="N764" s="1">
        <f>WEEKNUM(orders[[#This Row],[Order Date]])</f>
        <v>6</v>
      </c>
      <c r="O764" s="1" t="str" cm="1">
        <f t="array" ref="O764">_xlfn.IFS(orders[[#This Row],[Customer Gender]]="M","Male", orders[[#This Row],[Customer Gender]]="F","Female", orders[[#This Row],[Customer Gender]]="O","Other", TRUE,"Unknown")</f>
        <v>Male</v>
      </c>
    </row>
    <row r="765" spans="1:15">
      <c r="A765" s="1" t="s">
        <v>858</v>
      </c>
      <c r="B765" s="1" t="s">
        <v>42</v>
      </c>
      <c r="C765" s="1">
        <v>4</v>
      </c>
      <c r="D765" s="1">
        <v>88.9</v>
      </c>
      <c r="E765" s="11">
        <v>355.6</v>
      </c>
      <c r="F765" s="3">
        <v>45690</v>
      </c>
      <c r="G765" s="3">
        <v>45693</v>
      </c>
      <c r="H765" s="1" t="s">
        <v>27</v>
      </c>
      <c r="I765" s="1" t="s">
        <v>18</v>
      </c>
      <c r="J765" s="1">
        <v>5</v>
      </c>
      <c r="K765" s="1" t="s">
        <v>19</v>
      </c>
      <c r="L765" s="1" t="s">
        <v>33</v>
      </c>
      <c r="M765" s="1">
        <f>orders[[#This Row],[Ship Date]]-orders[[#This Row],[Order Date]]</f>
        <v>3</v>
      </c>
      <c r="N765" s="1">
        <f>WEEKNUM(orders[[#This Row],[Order Date]])</f>
        <v>6</v>
      </c>
      <c r="O765" s="1" t="str" cm="1">
        <f t="array" ref="O765">_xlfn.IFS(orders[[#This Row],[Customer Gender]]="M","Male", orders[[#This Row],[Customer Gender]]="F","Female", orders[[#This Row],[Customer Gender]]="O","Other", TRUE,"Unknown")</f>
        <v>Female</v>
      </c>
    </row>
    <row r="766" spans="1:15">
      <c r="A766" s="1" t="s">
        <v>859</v>
      </c>
      <c r="B766" s="1" t="s">
        <v>39</v>
      </c>
      <c r="C766" s="1">
        <v>1</v>
      </c>
      <c r="D766" s="1">
        <v>62.5</v>
      </c>
      <c r="E766" s="11">
        <v>62.5</v>
      </c>
      <c r="F766" s="3">
        <v>45690</v>
      </c>
      <c r="G766" s="3">
        <v>45699</v>
      </c>
      <c r="H766" s="1" t="s">
        <v>27</v>
      </c>
      <c r="I766" s="1" t="s">
        <v>18</v>
      </c>
      <c r="J766" s="1">
        <v>5</v>
      </c>
      <c r="K766" s="1" t="s">
        <v>19</v>
      </c>
      <c r="L766" s="1" t="s">
        <v>33</v>
      </c>
      <c r="M766" s="1">
        <f>orders[[#This Row],[Ship Date]]-orders[[#This Row],[Order Date]]</f>
        <v>9</v>
      </c>
      <c r="N766" s="1">
        <f>WEEKNUM(orders[[#This Row],[Order Date]])</f>
        <v>6</v>
      </c>
      <c r="O766" s="1" t="str" cm="1">
        <f t="array" ref="O766">_xlfn.IFS(orders[[#This Row],[Customer Gender]]="M","Male", orders[[#This Row],[Customer Gender]]="F","Female", orders[[#This Row],[Customer Gender]]="O","Other", TRUE,"Unknown")</f>
        <v>Female</v>
      </c>
    </row>
    <row r="767" spans="1:15">
      <c r="A767" s="1" t="s">
        <v>860</v>
      </c>
      <c r="B767" s="1" t="s">
        <v>22</v>
      </c>
      <c r="C767" s="1">
        <v>3</v>
      </c>
      <c r="D767" s="1">
        <v>46.9</v>
      </c>
      <c r="E767" s="11">
        <v>140.69999999999999</v>
      </c>
      <c r="F767" s="3">
        <v>45690</v>
      </c>
      <c r="G767" s="3">
        <v>45691</v>
      </c>
      <c r="H767" s="1" t="s">
        <v>23</v>
      </c>
      <c r="I767" s="1" t="s">
        <v>18</v>
      </c>
      <c r="J767" s="1">
        <v>5</v>
      </c>
      <c r="K767" s="1" t="s">
        <v>19</v>
      </c>
      <c r="L767" s="1" t="s">
        <v>33</v>
      </c>
      <c r="M767" s="1">
        <f>orders[[#This Row],[Ship Date]]-orders[[#This Row],[Order Date]]</f>
        <v>1</v>
      </c>
      <c r="N767" s="1">
        <f>WEEKNUM(orders[[#This Row],[Order Date]])</f>
        <v>6</v>
      </c>
      <c r="O767" s="1" t="str" cm="1">
        <f t="array" ref="O767">_xlfn.IFS(orders[[#This Row],[Customer Gender]]="M","Male", orders[[#This Row],[Customer Gender]]="F","Female", orders[[#This Row],[Customer Gender]]="O","Other", TRUE,"Unknown")</f>
        <v>Male</v>
      </c>
    </row>
    <row r="768" spans="1:15">
      <c r="A768" s="1" t="s">
        <v>861</v>
      </c>
      <c r="B768" s="1" t="s">
        <v>44</v>
      </c>
      <c r="C768" s="1">
        <v>3</v>
      </c>
      <c r="D768" s="1">
        <v>45</v>
      </c>
      <c r="E768" s="11">
        <v>135</v>
      </c>
      <c r="F768" s="3">
        <v>45690</v>
      </c>
      <c r="G768" s="3">
        <v>45704</v>
      </c>
      <c r="H768" s="1" t="s">
        <v>23</v>
      </c>
      <c r="I768" s="1" t="s">
        <v>35</v>
      </c>
      <c r="J768" s="1">
        <v>4</v>
      </c>
      <c r="K768" s="1" t="s">
        <v>19</v>
      </c>
      <c r="L768" s="1" t="s">
        <v>33</v>
      </c>
      <c r="M768" s="1">
        <f>orders[[#This Row],[Ship Date]]-orders[[#This Row],[Order Date]]</f>
        <v>14</v>
      </c>
      <c r="N768" s="1">
        <f>WEEKNUM(orders[[#This Row],[Order Date]])</f>
        <v>6</v>
      </c>
      <c r="O768" s="1" t="str" cm="1">
        <f t="array" ref="O768">_xlfn.IFS(orders[[#This Row],[Customer Gender]]="M","Male", orders[[#This Row],[Customer Gender]]="F","Female", orders[[#This Row],[Customer Gender]]="O","Other", TRUE,"Unknown")</f>
        <v>Male</v>
      </c>
    </row>
    <row r="769" spans="1:15">
      <c r="A769" s="1" t="s">
        <v>862</v>
      </c>
      <c r="B769" s="1" t="s">
        <v>39</v>
      </c>
      <c r="C769" s="1">
        <v>3</v>
      </c>
      <c r="D769" s="1">
        <v>45.2</v>
      </c>
      <c r="E769" s="11">
        <v>135.60000000000002</v>
      </c>
      <c r="F769" s="3">
        <v>45690</v>
      </c>
      <c r="G769" s="3">
        <v>45692</v>
      </c>
      <c r="H769" s="1" t="s">
        <v>23</v>
      </c>
      <c r="I769" s="1" t="s">
        <v>70</v>
      </c>
      <c r="J769" s="1">
        <v>5</v>
      </c>
      <c r="K769" s="1" t="s">
        <v>19</v>
      </c>
      <c r="L769" s="1" t="s">
        <v>33</v>
      </c>
      <c r="M769" s="1">
        <f>orders[[#This Row],[Ship Date]]-orders[[#This Row],[Order Date]]</f>
        <v>2</v>
      </c>
      <c r="N769" s="1">
        <f>WEEKNUM(orders[[#This Row],[Order Date]])</f>
        <v>6</v>
      </c>
      <c r="O769" s="1" t="str" cm="1">
        <f t="array" ref="O769">_xlfn.IFS(orders[[#This Row],[Customer Gender]]="M","Male", orders[[#This Row],[Customer Gender]]="F","Female", orders[[#This Row],[Customer Gender]]="O","Other", TRUE,"Unknown")</f>
        <v>Male</v>
      </c>
    </row>
    <row r="770" spans="1:15">
      <c r="A770" s="1" t="s">
        <v>863</v>
      </c>
      <c r="B770" s="1" t="s">
        <v>32</v>
      </c>
      <c r="C770" s="1">
        <v>2</v>
      </c>
      <c r="D770" s="1">
        <v>60.1</v>
      </c>
      <c r="E770" s="11">
        <v>120.2</v>
      </c>
      <c r="F770" s="3">
        <v>45690</v>
      </c>
      <c r="G770" s="3">
        <v>45691</v>
      </c>
      <c r="H770" s="1" t="s">
        <v>27</v>
      </c>
      <c r="I770" s="1" t="s">
        <v>18</v>
      </c>
      <c r="J770" s="1">
        <v>5</v>
      </c>
      <c r="K770" s="1" t="s">
        <v>19</v>
      </c>
      <c r="L770" s="1" t="s">
        <v>33</v>
      </c>
      <c r="M770" s="1">
        <f>orders[[#This Row],[Ship Date]]-orders[[#This Row],[Order Date]]</f>
        <v>1</v>
      </c>
      <c r="N770" s="1">
        <f>WEEKNUM(orders[[#This Row],[Order Date]])</f>
        <v>6</v>
      </c>
      <c r="O770" s="1" t="str" cm="1">
        <f t="array" ref="O770">_xlfn.IFS(orders[[#This Row],[Customer Gender]]="M","Male", orders[[#This Row],[Customer Gender]]="F","Female", orders[[#This Row],[Customer Gender]]="O","Other", TRUE,"Unknown")</f>
        <v>Female</v>
      </c>
    </row>
    <row r="771" spans="1:15">
      <c r="A771" s="1" t="s">
        <v>864</v>
      </c>
      <c r="B771" s="1" t="s">
        <v>69</v>
      </c>
      <c r="C771" s="1">
        <v>4</v>
      </c>
      <c r="D771" s="1">
        <v>118.7</v>
      </c>
      <c r="E771" s="11">
        <v>474.8</v>
      </c>
      <c r="F771" s="3">
        <v>45690</v>
      </c>
      <c r="G771" s="3">
        <v>45692</v>
      </c>
      <c r="H771" s="1" t="s">
        <v>27</v>
      </c>
      <c r="I771" s="1" t="s">
        <v>18</v>
      </c>
      <c r="J771" s="1">
        <v>4</v>
      </c>
      <c r="K771" s="1" t="s">
        <v>19</v>
      </c>
      <c r="L771" s="1" t="s">
        <v>33</v>
      </c>
      <c r="M771" s="1">
        <f>orders[[#This Row],[Ship Date]]-orders[[#This Row],[Order Date]]</f>
        <v>2</v>
      </c>
      <c r="N771" s="1">
        <f>WEEKNUM(orders[[#This Row],[Order Date]])</f>
        <v>6</v>
      </c>
      <c r="O771" s="1" t="str" cm="1">
        <f t="array" ref="O771">_xlfn.IFS(orders[[#This Row],[Customer Gender]]="M","Male", orders[[#This Row],[Customer Gender]]="F","Female", orders[[#This Row],[Customer Gender]]="O","Other", TRUE,"Unknown")</f>
        <v>Female</v>
      </c>
    </row>
    <row r="772" spans="1:15">
      <c r="A772" s="1" t="s">
        <v>865</v>
      </c>
      <c r="B772" s="1" t="s">
        <v>46</v>
      </c>
      <c r="C772" s="1">
        <v>1</v>
      </c>
      <c r="D772" s="1">
        <v>57.8</v>
      </c>
      <c r="E772" s="11">
        <v>57.8</v>
      </c>
      <c r="F772" s="3">
        <v>45690</v>
      </c>
      <c r="G772" s="3">
        <v>45699</v>
      </c>
      <c r="H772" s="1" t="s">
        <v>27</v>
      </c>
      <c r="I772" s="1" t="s">
        <v>35</v>
      </c>
      <c r="J772" s="1">
        <v>4</v>
      </c>
      <c r="K772" s="1" t="s">
        <v>19</v>
      </c>
      <c r="L772" s="1" t="s">
        <v>33</v>
      </c>
      <c r="M772" s="1">
        <f>orders[[#This Row],[Ship Date]]-orders[[#This Row],[Order Date]]</f>
        <v>9</v>
      </c>
      <c r="N772" s="1">
        <f>WEEKNUM(orders[[#This Row],[Order Date]])</f>
        <v>6</v>
      </c>
      <c r="O772" s="1" t="str" cm="1">
        <f t="array" ref="O772">_xlfn.IFS(orders[[#This Row],[Customer Gender]]="M","Male", orders[[#This Row],[Customer Gender]]="F","Female", orders[[#This Row],[Customer Gender]]="O","Other", TRUE,"Unknown")</f>
        <v>Female</v>
      </c>
    </row>
    <row r="773" spans="1:15">
      <c r="A773" s="1" t="s">
        <v>866</v>
      </c>
      <c r="B773" s="1" t="s">
        <v>32</v>
      </c>
      <c r="C773" s="1">
        <v>1</v>
      </c>
      <c r="D773" s="1">
        <v>19.5</v>
      </c>
      <c r="E773" s="11">
        <v>19.5</v>
      </c>
      <c r="F773" s="3">
        <v>45690</v>
      </c>
      <c r="G773" s="3">
        <v>45691</v>
      </c>
      <c r="H773" s="1" t="s">
        <v>23</v>
      </c>
      <c r="I773" s="1" t="s">
        <v>35</v>
      </c>
      <c r="J773" s="1">
        <v>3</v>
      </c>
      <c r="K773" s="1" t="s">
        <v>19</v>
      </c>
      <c r="L773" s="1" t="s">
        <v>33</v>
      </c>
      <c r="M773" s="1">
        <f>orders[[#This Row],[Ship Date]]-orders[[#This Row],[Order Date]]</f>
        <v>1</v>
      </c>
      <c r="N773" s="1">
        <f>WEEKNUM(orders[[#This Row],[Order Date]])</f>
        <v>6</v>
      </c>
      <c r="O773" s="1" t="str" cm="1">
        <f t="array" ref="O773">_xlfn.IFS(orders[[#This Row],[Customer Gender]]="M","Male", orders[[#This Row],[Customer Gender]]="F","Female", orders[[#This Row],[Customer Gender]]="O","Other", TRUE,"Unknown")</f>
        <v>Male</v>
      </c>
    </row>
    <row r="774" spans="1:15">
      <c r="A774" s="1" t="s">
        <v>867</v>
      </c>
      <c r="B774" s="1" t="s">
        <v>69</v>
      </c>
      <c r="C774" s="1">
        <v>1</v>
      </c>
      <c r="D774" s="1">
        <v>42.6</v>
      </c>
      <c r="E774" s="11">
        <v>42.6</v>
      </c>
      <c r="F774" s="3">
        <v>45690</v>
      </c>
      <c r="G774" s="3">
        <v>45691</v>
      </c>
      <c r="H774" s="1" t="s">
        <v>23</v>
      </c>
      <c r="I774" s="1" t="s">
        <v>18</v>
      </c>
      <c r="J774" s="1">
        <v>3</v>
      </c>
      <c r="K774" s="1" t="s">
        <v>19</v>
      </c>
      <c r="L774" s="1" t="s">
        <v>33</v>
      </c>
      <c r="M774" s="1">
        <f>orders[[#This Row],[Ship Date]]-orders[[#This Row],[Order Date]]</f>
        <v>1</v>
      </c>
      <c r="N774" s="1">
        <f>WEEKNUM(orders[[#This Row],[Order Date]])</f>
        <v>6</v>
      </c>
      <c r="O774" s="1" t="str" cm="1">
        <f t="array" ref="O774">_xlfn.IFS(orders[[#This Row],[Customer Gender]]="M","Male", orders[[#This Row],[Customer Gender]]="F","Female", orders[[#This Row],[Customer Gender]]="O","Other", TRUE,"Unknown")</f>
        <v>Male</v>
      </c>
    </row>
    <row r="775" spans="1:15">
      <c r="A775" s="1" t="s">
        <v>868</v>
      </c>
      <c r="B775" s="1" t="s">
        <v>39</v>
      </c>
      <c r="C775" s="1">
        <v>2</v>
      </c>
      <c r="D775" s="1">
        <v>74.8</v>
      </c>
      <c r="E775" s="11">
        <v>149.6</v>
      </c>
      <c r="F775" s="3">
        <v>45690</v>
      </c>
      <c r="G775" s="3">
        <v>45691</v>
      </c>
      <c r="H775" s="1" t="s">
        <v>27</v>
      </c>
      <c r="I775" s="1" t="s">
        <v>51</v>
      </c>
      <c r="J775" s="1">
        <v>5</v>
      </c>
      <c r="K775" s="1" t="s">
        <v>19</v>
      </c>
      <c r="L775" s="1" t="s">
        <v>364</v>
      </c>
      <c r="M775" s="1">
        <f>orders[[#This Row],[Ship Date]]-orders[[#This Row],[Order Date]]</f>
        <v>1</v>
      </c>
      <c r="N775" s="1">
        <f>WEEKNUM(orders[[#This Row],[Order Date]])</f>
        <v>6</v>
      </c>
      <c r="O775" s="1" t="str" cm="1">
        <f t="array" ref="O775">_xlfn.IFS(orders[[#This Row],[Customer Gender]]="M","Male", orders[[#This Row],[Customer Gender]]="F","Female", orders[[#This Row],[Customer Gender]]="O","Other", TRUE,"Unknown")</f>
        <v>Female</v>
      </c>
    </row>
    <row r="776" spans="1:15">
      <c r="A776" s="1" t="s">
        <v>869</v>
      </c>
      <c r="B776" s="1" t="s">
        <v>44</v>
      </c>
      <c r="C776" s="1">
        <v>3</v>
      </c>
      <c r="D776" s="1">
        <v>32.5</v>
      </c>
      <c r="E776" s="11">
        <v>97.5</v>
      </c>
      <c r="F776" s="3">
        <v>45690</v>
      </c>
      <c r="G776" s="3">
        <v>45691</v>
      </c>
      <c r="H776" s="1" t="s">
        <v>23</v>
      </c>
      <c r="I776" s="1" t="s">
        <v>40</v>
      </c>
      <c r="J776" s="1">
        <v>2</v>
      </c>
      <c r="K776" s="1" t="s">
        <v>19</v>
      </c>
      <c r="L776" s="1" t="s">
        <v>98</v>
      </c>
      <c r="M776" s="1">
        <f>orders[[#This Row],[Ship Date]]-orders[[#This Row],[Order Date]]</f>
        <v>1</v>
      </c>
      <c r="N776" s="1">
        <f>WEEKNUM(orders[[#This Row],[Order Date]])</f>
        <v>6</v>
      </c>
      <c r="O776" s="1" t="str" cm="1">
        <f t="array" ref="O776">_xlfn.IFS(orders[[#This Row],[Customer Gender]]="M","Male", orders[[#This Row],[Customer Gender]]="F","Female", orders[[#This Row],[Customer Gender]]="O","Other", TRUE,"Unknown")</f>
        <v>Male</v>
      </c>
    </row>
    <row r="777" spans="1:15">
      <c r="A777" s="1" t="s">
        <v>870</v>
      </c>
      <c r="B777" s="1" t="s">
        <v>26</v>
      </c>
      <c r="C777" s="1">
        <v>3</v>
      </c>
      <c r="D777" s="1">
        <v>60.5</v>
      </c>
      <c r="E777" s="11">
        <v>181.5</v>
      </c>
      <c r="F777" s="3">
        <v>45690</v>
      </c>
      <c r="G777" s="3">
        <v>45690</v>
      </c>
      <c r="H777" s="1" t="s">
        <v>27</v>
      </c>
      <c r="I777" s="1" t="s">
        <v>35</v>
      </c>
      <c r="J777" s="1">
        <v>5</v>
      </c>
      <c r="K777" s="1" t="s">
        <v>19</v>
      </c>
      <c r="L777" s="1" t="s">
        <v>188</v>
      </c>
      <c r="M777" s="1">
        <f>orders[[#This Row],[Ship Date]]-orders[[#This Row],[Order Date]]</f>
        <v>0</v>
      </c>
      <c r="N777" s="1">
        <f>WEEKNUM(orders[[#This Row],[Order Date]])</f>
        <v>6</v>
      </c>
      <c r="O777" s="1" t="str" cm="1">
        <f t="array" ref="O777">_xlfn.IFS(orders[[#This Row],[Customer Gender]]="M","Male", orders[[#This Row],[Customer Gender]]="F","Female", orders[[#This Row],[Customer Gender]]="O","Other", TRUE,"Unknown")</f>
        <v>Female</v>
      </c>
    </row>
    <row r="778" spans="1:15">
      <c r="A778" s="1" t="s">
        <v>871</v>
      </c>
      <c r="B778" s="1" t="s">
        <v>22</v>
      </c>
      <c r="C778" s="1">
        <v>7</v>
      </c>
      <c r="D778" s="1">
        <v>57.2</v>
      </c>
      <c r="E778" s="11">
        <v>400.40000000000003</v>
      </c>
      <c r="F778" s="3">
        <v>45690</v>
      </c>
      <c r="G778" s="3">
        <v>45692</v>
      </c>
      <c r="H778" s="1" t="s">
        <v>17</v>
      </c>
      <c r="I778" s="1" t="s">
        <v>40</v>
      </c>
      <c r="J778" s="1">
        <v>4</v>
      </c>
      <c r="K778" s="1" t="s">
        <v>19</v>
      </c>
      <c r="L778" s="1" t="s">
        <v>188</v>
      </c>
      <c r="M778" s="1">
        <f>orders[[#This Row],[Ship Date]]-orders[[#This Row],[Order Date]]</f>
        <v>2</v>
      </c>
      <c r="N778" s="1">
        <f>WEEKNUM(orders[[#This Row],[Order Date]])</f>
        <v>6</v>
      </c>
      <c r="O778" s="1" t="str" cm="1">
        <f t="array" ref="O778">_xlfn.IFS(orders[[#This Row],[Customer Gender]]="M","Male", orders[[#This Row],[Customer Gender]]="F","Female", orders[[#This Row],[Customer Gender]]="O","Other", TRUE,"Unknown")</f>
        <v>Unknown</v>
      </c>
    </row>
    <row r="779" spans="1:15">
      <c r="A779" s="1" t="s">
        <v>872</v>
      </c>
      <c r="B779" s="1" t="s">
        <v>128</v>
      </c>
      <c r="C779" s="1">
        <v>2</v>
      </c>
      <c r="D779" s="1">
        <v>112</v>
      </c>
      <c r="E779" s="11">
        <v>224</v>
      </c>
      <c r="F779" s="3">
        <v>45690</v>
      </c>
      <c r="G779" s="3">
        <v>45691</v>
      </c>
      <c r="H779" s="1" t="s">
        <v>27</v>
      </c>
      <c r="I779" s="1" t="s">
        <v>35</v>
      </c>
      <c r="J779" s="1">
        <v>3</v>
      </c>
      <c r="K779" s="1" t="s">
        <v>19</v>
      </c>
      <c r="L779" s="1" t="s">
        <v>52</v>
      </c>
      <c r="M779" s="1">
        <f>orders[[#This Row],[Ship Date]]-orders[[#This Row],[Order Date]]</f>
        <v>1</v>
      </c>
      <c r="N779" s="1">
        <f>WEEKNUM(orders[[#This Row],[Order Date]])</f>
        <v>6</v>
      </c>
      <c r="O779" s="1" t="str" cm="1">
        <f t="array" ref="O779">_xlfn.IFS(orders[[#This Row],[Customer Gender]]="M","Male", orders[[#This Row],[Customer Gender]]="F","Female", orders[[#This Row],[Customer Gender]]="O","Other", TRUE,"Unknown")</f>
        <v>Female</v>
      </c>
    </row>
    <row r="780" spans="1:15">
      <c r="A780" s="1" t="s">
        <v>873</v>
      </c>
      <c r="B780" s="1" t="s">
        <v>42</v>
      </c>
      <c r="C780" s="1">
        <v>10</v>
      </c>
      <c r="D780" s="1">
        <v>49</v>
      </c>
      <c r="E780" s="11">
        <v>490</v>
      </c>
      <c r="F780" s="3">
        <v>45690</v>
      </c>
      <c r="G780" s="3">
        <v>45691</v>
      </c>
      <c r="H780" s="1" t="s">
        <v>89</v>
      </c>
      <c r="I780" s="1" t="s">
        <v>40</v>
      </c>
      <c r="J780" s="1">
        <v>3</v>
      </c>
      <c r="K780" s="1" t="s">
        <v>19</v>
      </c>
      <c r="L780" s="1" t="s">
        <v>55</v>
      </c>
      <c r="M780" s="1">
        <f>orders[[#This Row],[Ship Date]]-orders[[#This Row],[Order Date]]</f>
        <v>1</v>
      </c>
      <c r="N780" s="1">
        <f>WEEKNUM(orders[[#This Row],[Order Date]])</f>
        <v>6</v>
      </c>
      <c r="O780" s="1" t="str" cm="1">
        <f t="array" ref="O780">_xlfn.IFS(orders[[#This Row],[Customer Gender]]="M","Male", orders[[#This Row],[Customer Gender]]="F","Female", orders[[#This Row],[Customer Gender]]="O","Other", TRUE,"Unknown")</f>
        <v>Other</v>
      </c>
    </row>
    <row r="781" spans="1:15">
      <c r="A781" s="1" t="s">
        <v>874</v>
      </c>
      <c r="B781" s="1" t="s">
        <v>16</v>
      </c>
      <c r="C781" s="1">
        <v>2</v>
      </c>
      <c r="D781" s="1">
        <v>33.700000000000003</v>
      </c>
      <c r="E781" s="11">
        <v>67.400000000000006</v>
      </c>
      <c r="F781" s="3">
        <v>45690</v>
      </c>
      <c r="G781" s="3">
        <v>45694</v>
      </c>
      <c r="H781" s="1" t="s">
        <v>27</v>
      </c>
      <c r="I781" s="1" t="s">
        <v>51</v>
      </c>
      <c r="J781" s="1">
        <v>4</v>
      </c>
      <c r="K781" s="1" t="s">
        <v>19</v>
      </c>
      <c r="L781" s="1" t="s">
        <v>55</v>
      </c>
      <c r="M781" s="1">
        <f>orders[[#This Row],[Ship Date]]-orders[[#This Row],[Order Date]]</f>
        <v>4</v>
      </c>
      <c r="N781" s="1">
        <f>WEEKNUM(orders[[#This Row],[Order Date]])</f>
        <v>6</v>
      </c>
      <c r="O781" s="1" t="str" cm="1">
        <f t="array" ref="O781">_xlfn.IFS(orders[[#This Row],[Customer Gender]]="M","Male", orders[[#This Row],[Customer Gender]]="F","Female", orders[[#This Row],[Customer Gender]]="O","Other", TRUE,"Unknown")</f>
        <v>Female</v>
      </c>
    </row>
    <row r="782" spans="1:15">
      <c r="A782" s="1" t="s">
        <v>875</v>
      </c>
      <c r="B782" s="1" t="s">
        <v>32</v>
      </c>
      <c r="C782" s="1">
        <v>3</v>
      </c>
      <c r="D782" s="1">
        <v>35.6</v>
      </c>
      <c r="E782" s="11">
        <v>106.80000000000001</v>
      </c>
      <c r="F782" s="3">
        <v>45690</v>
      </c>
      <c r="G782" s="3">
        <v>45693</v>
      </c>
      <c r="H782" s="1" t="s">
        <v>27</v>
      </c>
      <c r="I782" s="1" t="s">
        <v>18</v>
      </c>
      <c r="J782" s="1">
        <v>5</v>
      </c>
      <c r="K782" s="1" t="s">
        <v>19</v>
      </c>
      <c r="L782" s="1" t="s">
        <v>55</v>
      </c>
      <c r="M782" s="1">
        <f>orders[[#This Row],[Ship Date]]-orders[[#This Row],[Order Date]]</f>
        <v>3</v>
      </c>
      <c r="N782" s="1">
        <f>WEEKNUM(orders[[#This Row],[Order Date]])</f>
        <v>6</v>
      </c>
      <c r="O782" s="1" t="str" cm="1">
        <f t="array" ref="O782">_xlfn.IFS(orders[[#This Row],[Customer Gender]]="M","Male", orders[[#This Row],[Customer Gender]]="F","Female", orders[[#This Row],[Customer Gender]]="O","Other", TRUE,"Unknown")</f>
        <v>Female</v>
      </c>
    </row>
    <row r="783" spans="1:15">
      <c r="A783" s="1" t="s">
        <v>876</v>
      </c>
      <c r="B783" s="1" t="s">
        <v>32</v>
      </c>
      <c r="C783" s="1">
        <v>35</v>
      </c>
      <c r="D783" s="1">
        <v>30.4</v>
      </c>
      <c r="E783" s="11">
        <v>1064</v>
      </c>
      <c r="F783" s="3">
        <v>45691</v>
      </c>
      <c r="G783" s="3">
        <v>45691</v>
      </c>
      <c r="H783" s="1" t="s">
        <v>27</v>
      </c>
      <c r="I783" s="1" t="s">
        <v>18</v>
      </c>
      <c r="J783" s="1">
        <v>3</v>
      </c>
      <c r="K783" s="1" t="s">
        <v>19</v>
      </c>
      <c r="L783" s="1" t="s">
        <v>59</v>
      </c>
      <c r="M783" s="1">
        <f>orders[[#This Row],[Ship Date]]-orders[[#This Row],[Order Date]]</f>
        <v>0</v>
      </c>
      <c r="N783" s="1">
        <f>WEEKNUM(orders[[#This Row],[Order Date]])</f>
        <v>6</v>
      </c>
      <c r="O783" s="1" t="str" cm="1">
        <f t="array" ref="O783">_xlfn.IFS(orders[[#This Row],[Customer Gender]]="M","Male", orders[[#This Row],[Customer Gender]]="F","Female", orders[[#This Row],[Customer Gender]]="O","Other", TRUE,"Unknown")</f>
        <v>Female</v>
      </c>
    </row>
    <row r="784" spans="1:15">
      <c r="A784" s="1" t="s">
        <v>877</v>
      </c>
      <c r="B784" s="1" t="s">
        <v>54</v>
      </c>
      <c r="C784" s="1">
        <v>12</v>
      </c>
      <c r="D784" s="1">
        <v>50.2</v>
      </c>
      <c r="E784" s="11">
        <v>602.40000000000009</v>
      </c>
      <c r="F784" s="3">
        <v>45691</v>
      </c>
      <c r="G784" s="3">
        <v>45692</v>
      </c>
      <c r="H784" s="1" t="s">
        <v>23</v>
      </c>
      <c r="I784" s="1" t="s">
        <v>70</v>
      </c>
      <c r="J784" s="1">
        <v>4</v>
      </c>
      <c r="K784" s="1" t="s">
        <v>19</v>
      </c>
      <c r="L784" s="1" t="s">
        <v>62</v>
      </c>
      <c r="M784" s="1">
        <f>orders[[#This Row],[Ship Date]]-orders[[#This Row],[Order Date]]</f>
        <v>1</v>
      </c>
      <c r="N784" s="1">
        <f>WEEKNUM(orders[[#This Row],[Order Date]])</f>
        <v>6</v>
      </c>
      <c r="O784" s="1" t="str" cm="1">
        <f t="array" ref="O784">_xlfn.IFS(orders[[#This Row],[Customer Gender]]="M","Male", orders[[#This Row],[Customer Gender]]="F","Female", orders[[#This Row],[Customer Gender]]="O","Other", TRUE,"Unknown")</f>
        <v>Male</v>
      </c>
    </row>
    <row r="785" spans="1:15">
      <c r="A785" s="1" t="s">
        <v>878</v>
      </c>
      <c r="B785" s="1" t="s">
        <v>22</v>
      </c>
      <c r="C785" s="1">
        <v>2</v>
      </c>
      <c r="D785" s="1">
        <v>43.7</v>
      </c>
      <c r="E785" s="11">
        <v>87.4</v>
      </c>
      <c r="F785" s="3">
        <v>45691</v>
      </c>
      <c r="G785" s="3">
        <v>45693</v>
      </c>
      <c r="H785" s="1" t="s">
        <v>27</v>
      </c>
      <c r="I785" s="1" t="s">
        <v>18</v>
      </c>
      <c r="J785" s="1">
        <v>4</v>
      </c>
      <c r="K785" s="1" t="s">
        <v>19</v>
      </c>
      <c r="L785" s="1" t="s">
        <v>62</v>
      </c>
      <c r="M785" s="1">
        <f>orders[[#This Row],[Ship Date]]-orders[[#This Row],[Order Date]]</f>
        <v>2</v>
      </c>
      <c r="N785" s="1">
        <f>WEEKNUM(orders[[#This Row],[Order Date]])</f>
        <v>6</v>
      </c>
      <c r="O785" s="1" t="str" cm="1">
        <f t="array" ref="O785">_xlfn.IFS(orders[[#This Row],[Customer Gender]]="M","Male", orders[[#This Row],[Customer Gender]]="F","Female", orders[[#This Row],[Customer Gender]]="O","Other", TRUE,"Unknown")</f>
        <v>Female</v>
      </c>
    </row>
    <row r="786" spans="1:15">
      <c r="A786" s="1" t="s">
        <v>879</v>
      </c>
      <c r="B786" s="1" t="s">
        <v>54</v>
      </c>
      <c r="C786" s="1">
        <v>1</v>
      </c>
      <c r="D786" s="1">
        <v>33.299999999999997</v>
      </c>
      <c r="E786" s="11">
        <v>33.299999999999997</v>
      </c>
      <c r="F786" s="3">
        <v>45691</v>
      </c>
      <c r="G786" s="3">
        <v>45692</v>
      </c>
      <c r="H786" s="1" t="s">
        <v>27</v>
      </c>
      <c r="I786" s="1" t="s">
        <v>40</v>
      </c>
      <c r="J786" s="1">
        <v>3</v>
      </c>
      <c r="K786" s="1" t="s">
        <v>19</v>
      </c>
      <c r="L786" s="1" t="s">
        <v>62</v>
      </c>
      <c r="M786" s="1">
        <f>orders[[#This Row],[Ship Date]]-orders[[#This Row],[Order Date]]</f>
        <v>1</v>
      </c>
      <c r="N786" s="1">
        <f>WEEKNUM(orders[[#This Row],[Order Date]])</f>
        <v>6</v>
      </c>
      <c r="O786" s="1" t="str" cm="1">
        <f t="array" ref="O786">_xlfn.IFS(orders[[#This Row],[Customer Gender]]="M","Male", orders[[#This Row],[Customer Gender]]="F","Female", orders[[#This Row],[Customer Gender]]="O","Other", TRUE,"Unknown")</f>
        <v>Female</v>
      </c>
    </row>
    <row r="787" spans="1:15">
      <c r="A787" s="1" t="s">
        <v>880</v>
      </c>
      <c r="B787" s="1" t="s">
        <v>44</v>
      </c>
      <c r="C787" s="1">
        <v>4</v>
      </c>
      <c r="D787" s="1">
        <v>15.1</v>
      </c>
      <c r="E787" s="11">
        <v>60.4</v>
      </c>
      <c r="F787" s="3">
        <v>45691</v>
      </c>
      <c r="G787" s="3">
        <v>45693</v>
      </c>
      <c r="H787" s="1" t="s">
        <v>27</v>
      </c>
      <c r="I787" s="1" t="s">
        <v>70</v>
      </c>
      <c r="J787" s="1">
        <v>5</v>
      </c>
      <c r="K787" s="1" t="s">
        <v>19</v>
      </c>
      <c r="L787" s="1" t="s">
        <v>62</v>
      </c>
      <c r="M787" s="1">
        <f>orders[[#This Row],[Ship Date]]-orders[[#This Row],[Order Date]]</f>
        <v>2</v>
      </c>
      <c r="N787" s="1">
        <f>WEEKNUM(orders[[#This Row],[Order Date]])</f>
        <v>6</v>
      </c>
      <c r="O787" s="1" t="str" cm="1">
        <f t="array" ref="O787">_xlfn.IFS(orders[[#This Row],[Customer Gender]]="M","Male", orders[[#This Row],[Customer Gender]]="F","Female", orders[[#This Row],[Customer Gender]]="O","Other", TRUE,"Unknown")</f>
        <v>Female</v>
      </c>
    </row>
    <row r="788" spans="1:15">
      <c r="A788" s="1" t="s">
        <v>881</v>
      </c>
      <c r="B788" s="1" t="s">
        <v>39</v>
      </c>
      <c r="C788" s="1">
        <v>5</v>
      </c>
      <c r="D788" s="1">
        <v>118.2</v>
      </c>
      <c r="E788" s="11">
        <v>591</v>
      </c>
      <c r="F788" s="3">
        <v>45691</v>
      </c>
      <c r="G788" s="3">
        <v>45692</v>
      </c>
      <c r="H788" s="1" t="s">
        <v>27</v>
      </c>
      <c r="I788" s="1" t="s">
        <v>51</v>
      </c>
      <c r="J788" s="1">
        <v>2</v>
      </c>
      <c r="K788" s="1" t="s">
        <v>19</v>
      </c>
      <c r="L788" s="1" t="s">
        <v>62</v>
      </c>
      <c r="M788" s="1">
        <f>orders[[#This Row],[Ship Date]]-orders[[#This Row],[Order Date]]</f>
        <v>1</v>
      </c>
      <c r="N788" s="1">
        <f>WEEKNUM(orders[[#This Row],[Order Date]])</f>
        <v>6</v>
      </c>
      <c r="O788" s="1" t="str" cm="1">
        <f t="array" ref="O788">_xlfn.IFS(orders[[#This Row],[Customer Gender]]="M","Male", orders[[#This Row],[Customer Gender]]="F","Female", orders[[#This Row],[Customer Gender]]="O","Other", TRUE,"Unknown")</f>
        <v>Female</v>
      </c>
    </row>
    <row r="789" spans="1:15">
      <c r="A789" s="1" t="s">
        <v>882</v>
      </c>
      <c r="B789" s="1" t="s">
        <v>54</v>
      </c>
      <c r="C789" s="1">
        <v>3</v>
      </c>
      <c r="D789" s="1">
        <v>28.9</v>
      </c>
      <c r="E789" s="11">
        <v>86.699999999999989</v>
      </c>
      <c r="F789" s="3">
        <v>45691</v>
      </c>
      <c r="G789" s="3">
        <v>45693</v>
      </c>
      <c r="H789" s="1" t="s">
        <v>27</v>
      </c>
      <c r="I789" s="1" t="s">
        <v>40</v>
      </c>
      <c r="J789" s="1">
        <v>3</v>
      </c>
      <c r="K789" s="1" t="s">
        <v>19</v>
      </c>
      <c r="L789" s="1" t="s">
        <v>62</v>
      </c>
      <c r="M789" s="1">
        <f>orders[[#This Row],[Ship Date]]-orders[[#This Row],[Order Date]]</f>
        <v>2</v>
      </c>
      <c r="N789" s="1">
        <f>WEEKNUM(orders[[#This Row],[Order Date]])</f>
        <v>6</v>
      </c>
      <c r="O789" s="1" t="str" cm="1">
        <f t="array" ref="O789">_xlfn.IFS(orders[[#This Row],[Customer Gender]]="M","Male", orders[[#This Row],[Customer Gender]]="F","Female", orders[[#This Row],[Customer Gender]]="O","Other", TRUE,"Unknown")</f>
        <v>Female</v>
      </c>
    </row>
    <row r="790" spans="1:15">
      <c r="A790" s="1" t="s">
        <v>883</v>
      </c>
      <c r="B790" s="1" t="s">
        <v>32</v>
      </c>
      <c r="C790" s="1">
        <v>3</v>
      </c>
      <c r="D790" s="1">
        <v>55.6</v>
      </c>
      <c r="E790" s="11">
        <v>166.8</v>
      </c>
      <c r="F790" s="3">
        <v>45691</v>
      </c>
      <c r="G790" s="3">
        <v>45692</v>
      </c>
      <c r="H790" s="1" t="s">
        <v>23</v>
      </c>
      <c r="I790" s="1" t="s">
        <v>18</v>
      </c>
      <c r="J790" s="1">
        <v>3</v>
      </c>
      <c r="K790" s="1" t="s">
        <v>19</v>
      </c>
      <c r="L790" s="1" t="s">
        <v>62</v>
      </c>
      <c r="M790" s="1">
        <f>orders[[#This Row],[Ship Date]]-orders[[#This Row],[Order Date]]</f>
        <v>1</v>
      </c>
      <c r="N790" s="1">
        <f>WEEKNUM(orders[[#This Row],[Order Date]])</f>
        <v>6</v>
      </c>
      <c r="O790" s="1" t="str" cm="1">
        <f t="array" ref="O790">_xlfn.IFS(orders[[#This Row],[Customer Gender]]="M","Male", orders[[#This Row],[Customer Gender]]="F","Female", orders[[#This Row],[Customer Gender]]="O","Other", TRUE,"Unknown")</f>
        <v>Male</v>
      </c>
    </row>
    <row r="791" spans="1:15">
      <c r="A791" s="1" t="s">
        <v>884</v>
      </c>
      <c r="B791" s="1" t="s">
        <v>46</v>
      </c>
      <c r="C791" s="1">
        <v>4</v>
      </c>
      <c r="D791" s="1">
        <v>25.6</v>
      </c>
      <c r="E791" s="11">
        <v>102.4</v>
      </c>
      <c r="F791" s="3">
        <v>45691</v>
      </c>
      <c r="G791" s="3">
        <v>45693</v>
      </c>
      <c r="H791" s="1" t="s">
        <v>27</v>
      </c>
      <c r="I791" s="1" t="s">
        <v>18</v>
      </c>
      <c r="J791" s="1">
        <v>3</v>
      </c>
      <c r="K791" s="1" t="s">
        <v>19</v>
      </c>
      <c r="L791" s="1" t="s">
        <v>62</v>
      </c>
      <c r="M791" s="1">
        <f>orders[[#This Row],[Ship Date]]-orders[[#This Row],[Order Date]]</f>
        <v>2</v>
      </c>
      <c r="N791" s="1">
        <f>WEEKNUM(orders[[#This Row],[Order Date]])</f>
        <v>6</v>
      </c>
      <c r="O791" s="1" t="str" cm="1">
        <f t="array" ref="O791">_xlfn.IFS(orders[[#This Row],[Customer Gender]]="M","Male", orders[[#This Row],[Customer Gender]]="F","Female", orders[[#This Row],[Customer Gender]]="O","Other", TRUE,"Unknown")</f>
        <v>Female</v>
      </c>
    </row>
    <row r="792" spans="1:15">
      <c r="A792" s="1" t="s">
        <v>885</v>
      </c>
      <c r="B792" s="1" t="s">
        <v>42</v>
      </c>
      <c r="C792" s="1">
        <v>3</v>
      </c>
      <c r="D792" s="1">
        <v>31.3</v>
      </c>
      <c r="E792" s="11">
        <v>93.9</v>
      </c>
      <c r="F792" s="3">
        <v>45691</v>
      </c>
      <c r="G792" s="3">
        <v>45692</v>
      </c>
      <c r="H792" s="1" t="s">
        <v>23</v>
      </c>
      <c r="I792" s="1" t="s">
        <v>18</v>
      </c>
      <c r="J792" s="1">
        <v>4</v>
      </c>
      <c r="K792" s="1" t="s">
        <v>19</v>
      </c>
      <c r="L792" s="1" t="s">
        <v>103</v>
      </c>
      <c r="M792" s="1">
        <f>orders[[#This Row],[Ship Date]]-orders[[#This Row],[Order Date]]</f>
        <v>1</v>
      </c>
      <c r="N792" s="1">
        <f>WEEKNUM(orders[[#This Row],[Order Date]])</f>
        <v>6</v>
      </c>
      <c r="O792" s="1" t="str" cm="1">
        <f t="array" ref="O792">_xlfn.IFS(orders[[#This Row],[Customer Gender]]="M","Male", orders[[#This Row],[Customer Gender]]="F","Female", orders[[#This Row],[Customer Gender]]="O","Other", TRUE,"Unknown")</f>
        <v>Male</v>
      </c>
    </row>
    <row r="793" spans="1:15">
      <c r="A793" s="1" t="s">
        <v>886</v>
      </c>
      <c r="B793" s="1" t="s">
        <v>16</v>
      </c>
      <c r="C793" s="1">
        <v>3</v>
      </c>
      <c r="D793" s="1">
        <v>22.1</v>
      </c>
      <c r="E793" s="11">
        <v>66.300000000000011</v>
      </c>
      <c r="F793" s="3">
        <v>45691</v>
      </c>
      <c r="G793" s="3">
        <v>45695</v>
      </c>
      <c r="H793" s="1" t="s">
        <v>23</v>
      </c>
      <c r="I793" s="1" t="s">
        <v>18</v>
      </c>
      <c r="J793" s="1">
        <v>4</v>
      </c>
      <c r="K793" s="1" t="s">
        <v>19</v>
      </c>
      <c r="L793" s="1" t="s">
        <v>103</v>
      </c>
      <c r="M793" s="1">
        <f>orders[[#This Row],[Ship Date]]-orders[[#This Row],[Order Date]]</f>
        <v>4</v>
      </c>
      <c r="N793" s="1">
        <f>WEEKNUM(orders[[#This Row],[Order Date]])</f>
        <v>6</v>
      </c>
      <c r="O793" s="1" t="str" cm="1">
        <f t="array" ref="O793">_xlfn.IFS(orders[[#This Row],[Customer Gender]]="M","Male", orders[[#This Row],[Customer Gender]]="F","Female", orders[[#This Row],[Customer Gender]]="O","Other", TRUE,"Unknown")</f>
        <v>Male</v>
      </c>
    </row>
    <row r="794" spans="1:15">
      <c r="A794" s="1" t="s">
        <v>887</v>
      </c>
      <c r="B794" s="1" t="s">
        <v>26</v>
      </c>
      <c r="C794" s="1">
        <v>14</v>
      </c>
      <c r="D794" s="1">
        <v>99.4</v>
      </c>
      <c r="E794" s="11">
        <v>1391.6000000000001</v>
      </c>
      <c r="F794" s="3">
        <v>45691</v>
      </c>
      <c r="G794" s="3">
        <v>45692</v>
      </c>
      <c r="H794" s="1" t="s">
        <v>23</v>
      </c>
      <c r="I794" s="1" t="s">
        <v>35</v>
      </c>
      <c r="J794" s="1">
        <v>4</v>
      </c>
      <c r="K794" s="1" t="s">
        <v>19</v>
      </c>
      <c r="L794" s="1" t="s">
        <v>77</v>
      </c>
      <c r="M794" s="1">
        <f>orders[[#This Row],[Ship Date]]-orders[[#This Row],[Order Date]]</f>
        <v>1</v>
      </c>
      <c r="N794" s="1">
        <f>WEEKNUM(orders[[#This Row],[Order Date]])</f>
        <v>6</v>
      </c>
      <c r="O794" s="1" t="str" cm="1">
        <f t="array" ref="O794">_xlfn.IFS(orders[[#This Row],[Customer Gender]]="M","Male", orders[[#This Row],[Customer Gender]]="F","Female", orders[[#This Row],[Customer Gender]]="O","Other", TRUE,"Unknown")</f>
        <v>Male</v>
      </c>
    </row>
    <row r="795" spans="1:15">
      <c r="A795" s="1" t="s">
        <v>888</v>
      </c>
      <c r="B795" s="1" t="s">
        <v>42</v>
      </c>
      <c r="C795" s="1">
        <v>6</v>
      </c>
      <c r="D795" s="1">
        <v>66.599999999999994</v>
      </c>
      <c r="E795" s="11">
        <v>399.59999999999997</v>
      </c>
      <c r="F795" s="3">
        <v>45691</v>
      </c>
      <c r="G795" s="3">
        <v>45692</v>
      </c>
      <c r="H795" s="1" t="s">
        <v>27</v>
      </c>
      <c r="I795" s="1" t="s">
        <v>18</v>
      </c>
      <c r="J795" s="1">
        <v>4</v>
      </c>
      <c r="K795" s="1" t="s">
        <v>19</v>
      </c>
      <c r="L795" s="1" t="s">
        <v>77</v>
      </c>
      <c r="M795" s="1">
        <f>orders[[#This Row],[Ship Date]]-orders[[#This Row],[Order Date]]</f>
        <v>1</v>
      </c>
      <c r="N795" s="1">
        <f>WEEKNUM(orders[[#This Row],[Order Date]])</f>
        <v>6</v>
      </c>
      <c r="O795" s="1" t="str" cm="1">
        <f t="array" ref="O795">_xlfn.IFS(orders[[#This Row],[Customer Gender]]="M","Male", orders[[#This Row],[Customer Gender]]="F","Female", orders[[#This Row],[Customer Gender]]="O","Other", TRUE,"Unknown")</f>
        <v>Female</v>
      </c>
    </row>
    <row r="796" spans="1:15">
      <c r="A796" s="1" t="s">
        <v>889</v>
      </c>
      <c r="B796" s="1" t="s">
        <v>44</v>
      </c>
      <c r="C796" s="1">
        <v>2</v>
      </c>
      <c r="D796" s="1">
        <v>22.6</v>
      </c>
      <c r="E796" s="11">
        <v>45.2</v>
      </c>
      <c r="F796" s="3">
        <v>45691</v>
      </c>
      <c r="G796" s="3">
        <v>45694</v>
      </c>
      <c r="H796" s="1" t="s">
        <v>23</v>
      </c>
      <c r="I796" s="1" t="s">
        <v>18</v>
      </c>
      <c r="J796" s="1">
        <v>4</v>
      </c>
      <c r="K796" s="1" t="s">
        <v>19</v>
      </c>
      <c r="L796" s="1" t="s">
        <v>77</v>
      </c>
      <c r="M796" s="1">
        <f>orders[[#This Row],[Ship Date]]-orders[[#This Row],[Order Date]]</f>
        <v>3</v>
      </c>
      <c r="N796" s="1">
        <f>WEEKNUM(orders[[#This Row],[Order Date]])</f>
        <v>6</v>
      </c>
      <c r="O796" s="1" t="str" cm="1">
        <f t="array" ref="O796">_xlfn.IFS(orders[[#This Row],[Customer Gender]]="M","Male", orders[[#This Row],[Customer Gender]]="F","Female", orders[[#This Row],[Customer Gender]]="O","Other", TRUE,"Unknown")</f>
        <v>Male</v>
      </c>
    </row>
    <row r="797" spans="1:15">
      <c r="A797" s="1" t="s">
        <v>890</v>
      </c>
      <c r="B797" s="1" t="s">
        <v>26</v>
      </c>
      <c r="C797" s="1">
        <v>18</v>
      </c>
      <c r="D797" s="1">
        <v>66.8</v>
      </c>
      <c r="E797" s="11">
        <v>1202.3999999999999</v>
      </c>
      <c r="F797" s="3">
        <v>45691</v>
      </c>
      <c r="G797" s="3">
        <v>45692</v>
      </c>
      <c r="H797" s="1" t="s">
        <v>27</v>
      </c>
      <c r="I797" s="1" t="s">
        <v>18</v>
      </c>
      <c r="J797" s="1">
        <v>2</v>
      </c>
      <c r="K797" s="1" t="s">
        <v>19</v>
      </c>
      <c r="L797" s="1" t="s">
        <v>82</v>
      </c>
      <c r="M797" s="1">
        <f>orders[[#This Row],[Ship Date]]-orders[[#This Row],[Order Date]]</f>
        <v>1</v>
      </c>
      <c r="N797" s="1">
        <f>WEEKNUM(orders[[#This Row],[Order Date]])</f>
        <v>6</v>
      </c>
      <c r="O797" s="1" t="str" cm="1">
        <f t="array" ref="O797">_xlfn.IFS(orders[[#This Row],[Customer Gender]]="M","Male", orders[[#This Row],[Customer Gender]]="F","Female", orders[[#This Row],[Customer Gender]]="O","Other", TRUE,"Unknown")</f>
        <v>Female</v>
      </c>
    </row>
    <row r="798" spans="1:15">
      <c r="A798" s="1" t="s">
        <v>891</v>
      </c>
      <c r="B798" s="1" t="s">
        <v>16</v>
      </c>
      <c r="C798" s="1">
        <v>4</v>
      </c>
      <c r="D798" s="1">
        <v>20.8</v>
      </c>
      <c r="E798" s="11">
        <v>83.2</v>
      </c>
      <c r="F798" s="3">
        <v>45691</v>
      </c>
      <c r="G798" s="3">
        <v>45698</v>
      </c>
      <c r="H798" s="1" t="s">
        <v>23</v>
      </c>
      <c r="I798" s="1" t="s">
        <v>35</v>
      </c>
      <c r="J798" s="1">
        <v>2</v>
      </c>
      <c r="K798" s="1" t="s">
        <v>19</v>
      </c>
      <c r="L798" s="1" t="s">
        <v>24</v>
      </c>
      <c r="M798" s="1">
        <f>orders[[#This Row],[Ship Date]]-orders[[#This Row],[Order Date]]</f>
        <v>7</v>
      </c>
      <c r="N798" s="1">
        <f>WEEKNUM(orders[[#This Row],[Order Date]])</f>
        <v>6</v>
      </c>
      <c r="O798" s="1" t="str" cm="1">
        <f t="array" ref="O798">_xlfn.IFS(orders[[#This Row],[Customer Gender]]="M","Male", orders[[#This Row],[Customer Gender]]="F","Female", orders[[#This Row],[Customer Gender]]="O","Other", TRUE,"Unknown")</f>
        <v>Male</v>
      </c>
    </row>
    <row r="799" spans="1:15">
      <c r="A799" s="1" t="s">
        <v>892</v>
      </c>
      <c r="B799" s="1" t="s">
        <v>26</v>
      </c>
      <c r="C799" s="1">
        <v>7</v>
      </c>
      <c r="D799" s="1">
        <v>102.5</v>
      </c>
      <c r="E799" s="11">
        <v>717.5</v>
      </c>
      <c r="F799" s="3">
        <v>45691</v>
      </c>
      <c r="G799" s="3">
        <v>45692</v>
      </c>
      <c r="H799" s="1" t="s">
        <v>27</v>
      </c>
      <c r="I799" s="1" t="s">
        <v>70</v>
      </c>
      <c r="J799" s="1">
        <v>5</v>
      </c>
      <c r="K799" s="1" t="s">
        <v>19</v>
      </c>
      <c r="L799" s="1" t="s">
        <v>33</v>
      </c>
      <c r="M799" s="1">
        <f>orders[[#This Row],[Ship Date]]-orders[[#This Row],[Order Date]]</f>
        <v>1</v>
      </c>
      <c r="N799" s="1">
        <f>WEEKNUM(orders[[#This Row],[Order Date]])</f>
        <v>6</v>
      </c>
      <c r="O799" s="1" t="str" cm="1">
        <f t="array" ref="O799">_xlfn.IFS(orders[[#This Row],[Customer Gender]]="M","Male", orders[[#This Row],[Customer Gender]]="F","Female", orders[[#This Row],[Customer Gender]]="O","Other", TRUE,"Unknown")</f>
        <v>Female</v>
      </c>
    </row>
    <row r="800" spans="1:15">
      <c r="A800" s="1" t="s">
        <v>893</v>
      </c>
      <c r="B800" s="1" t="s">
        <v>16</v>
      </c>
      <c r="C800" s="1">
        <v>18</v>
      </c>
      <c r="D800" s="1">
        <v>24.8</v>
      </c>
      <c r="E800" s="11">
        <v>446.40000000000003</v>
      </c>
      <c r="F800" s="3">
        <v>45691</v>
      </c>
      <c r="G800" s="3">
        <v>45695</v>
      </c>
      <c r="H800" s="1" t="s">
        <v>27</v>
      </c>
      <c r="I800" s="1" t="s">
        <v>18</v>
      </c>
      <c r="J800" s="1">
        <v>4</v>
      </c>
      <c r="K800" s="1" t="s">
        <v>19</v>
      </c>
      <c r="L800" s="1" t="s">
        <v>33</v>
      </c>
      <c r="M800" s="1">
        <f>orders[[#This Row],[Ship Date]]-orders[[#This Row],[Order Date]]</f>
        <v>4</v>
      </c>
      <c r="N800" s="1">
        <f>WEEKNUM(orders[[#This Row],[Order Date]])</f>
        <v>6</v>
      </c>
      <c r="O800" s="1" t="str" cm="1">
        <f t="array" ref="O800">_xlfn.IFS(orders[[#This Row],[Customer Gender]]="M","Male", orders[[#This Row],[Customer Gender]]="F","Female", orders[[#This Row],[Customer Gender]]="O","Other", TRUE,"Unknown")</f>
        <v>Female</v>
      </c>
    </row>
    <row r="801" spans="1:15">
      <c r="A801" s="1" t="s">
        <v>894</v>
      </c>
      <c r="B801" s="1" t="s">
        <v>32</v>
      </c>
      <c r="C801" s="1">
        <v>31</v>
      </c>
      <c r="D801" s="1">
        <v>31.4</v>
      </c>
      <c r="E801" s="11">
        <v>973.4</v>
      </c>
      <c r="F801" s="3">
        <v>45691</v>
      </c>
      <c r="G801" s="3">
        <v>45692</v>
      </c>
      <c r="H801" s="1" t="s">
        <v>27</v>
      </c>
      <c r="I801" s="1" t="s">
        <v>51</v>
      </c>
      <c r="J801" s="1">
        <v>4</v>
      </c>
      <c r="K801" s="1" t="s">
        <v>19</v>
      </c>
      <c r="L801" s="1" t="s">
        <v>33</v>
      </c>
      <c r="M801" s="1">
        <f>orders[[#This Row],[Ship Date]]-orders[[#This Row],[Order Date]]</f>
        <v>1</v>
      </c>
      <c r="N801" s="1">
        <f>WEEKNUM(orders[[#This Row],[Order Date]])</f>
        <v>6</v>
      </c>
      <c r="O801" s="1" t="str" cm="1">
        <f t="array" ref="O801">_xlfn.IFS(orders[[#This Row],[Customer Gender]]="M","Male", orders[[#This Row],[Customer Gender]]="F","Female", orders[[#This Row],[Customer Gender]]="O","Other", TRUE,"Unknown")</f>
        <v>Female</v>
      </c>
    </row>
    <row r="802" spans="1:15">
      <c r="A802" s="1" t="s">
        <v>895</v>
      </c>
      <c r="B802" s="1" t="s">
        <v>46</v>
      </c>
      <c r="C802" s="1">
        <v>5</v>
      </c>
      <c r="D802" s="1">
        <v>59.3</v>
      </c>
      <c r="E802" s="11">
        <v>296.5</v>
      </c>
      <c r="F802" s="3">
        <v>45691</v>
      </c>
      <c r="G802" s="3">
        <v>45694</v>
      </c>
      <c r="H802" s="1" t="s">
        <v>23</v>
      </c>
      <c r="I802" s="1" t="s">
        <v>35</v>
      </c>
      <c r="J802" s="1">
        <v>5</v>
      </c>
      <c r="K802" s="1" t="s">
        <v>19</v>
      </c>
      <c r="L802" s="1" t="s">
        <v>545</v>
      </c>
      <c r="M802" s="1">
        <f>orders[[#This Row],[Ship Date]]-orders[[#This Row],[Order Date]]</f>
        <v>3</v>
      </c>
      <c r="N802" s="1">
        <f>WEEKNUM(orders[[#This Row],[Order Date]])</f>
        <v>6</v>
      </c>
      <c r="O802" s="1" t="str" cm="1">
        <f t="array" ref="O802">_xlfn.IFS(orders[[#This Row],[Customer Gender]]="M","Male", orders[[#This Row],[Customer Gender]]="F","Female", orders[[#This Row],[Customer Gender]]="O","Other", TRUE,"Unknown")</f>
        <v>Male</v>
      </c>
    </row>
    <row r="803" spans="1:15">
      <c r="A803" s="1" t="s">
        <v>896</v>
      </c>
      <c r="B803" s="1" t="s">
        <v>67</v>
      </c>
      <c r="C803" s="1">
        <v>6</v>
      </c>
      <c r="D803" s="1">
        <v>39</v>
      </c>
      <c r="E803" s="11">
        <v>234</v>
      </c>
      <c r="F803" s="3">
        <v>45691</v>
      </c>
      <c r="G803" s="3">
        <v>45694</v>
      </c>
      <c r="H803" s="1" t="s">
        <v>23</v>
      </c>
      <c r="I803" s="1" t="s">
        <v>35</v>
      </c>
      <c r="J803" s="1">
        <v>4</v>
      </c>
      <c r="K803" s="1" t="s">
        <v>19</v>
      </c>
      <c r="L803" s="1" t="s">
        <v>55</v>
      </c>
      <c r="M803" s="1">
        <f>orders[[#This Row],[Ship Date]]-orders[[#This Row],[Order Date]]</f>
        <v>3</v>
      </c>
      <c r="N803" s="1">
        <f>WEEKNUM(orders[[#This Row],[Order Date]])</f>
        <v>6</v>
      </c>
      <c r="O803" s="1" t="str" cm="1">
        <f t="array" ref="O803">_xlfn.IFS(orders[[#This Row],[Customer Gender]]="M","Male", orders[[#This Row],[Customer Gender]]="F","Female", orders[[#This Row],[Customer Gender]]="O","Other", TRUE,"Unknown")</f>
        <v>Male</v>
      </c>
    </row>
    <row r="804" spans="1:15">
      <c r="A804" s="1" t="s">
        <v>897</v>
      </c>
      <c r="B804" s="1" t="s">
        <v>37</v>
      </c>
      <c r="C804" s="1">
        <v>6</v>
      </c>
      <c r="D804" s="1">
        <v>98.6</v>
      </c>
      <c r="E804" s="11">
        <v>591.59999999999991</v>
      </c>
      <c r="F804" s="3">
        <v>45691</v>
      </c>
      <c r="G804" s="3">
        <v>45693</v>
      </c>
      <c r="H804" s="1" t="s">
        <v>27</v>
      </c>
      <c r="I804" s="1" t="s">
        <v>35</v>
      </c>
      <c r="J804" s="1">
        <v>4</v>
      </c>
      <c r="K804" s="1" t="s">
        <v>19</v>
      </c>
      <c r="L804" s="1" t="s">
        <v>55</v>
      </c>
      <c r="M804" s="1">
        <f>orders[[#This Row],[Ship Date]]-orders[[#This Row],[Order Date]]</f>
        <v>2</v>
      </c>
      <c r="N804" s="1">
        <f>WEEKNUM(orders[[#This Row],[Order Date]])</f>
        <v>6</v>
      </c>
      <c r="O804" s="1" t="str" cm="1">
        <f t="array" ref="O804">_xlfn.IFS(orders[[#This Row],[Customer Gender]]="M","Male", orders[[#This Row],[Customer Gender]]="F","Female", orders[[#This Row],[Customer Gender]]="O","Other", TRUE,"Unknown")</f>
        <v>Female</v>
      </c>
    </row>
    <row r="805" spans="1:15">
      <c r="A805" s="1" t="s">
        <v>898</v>
      </c>
      <c r="B805" s="1" t="s">
        <v>44</v>
      </c>
      <c r="C805" s="1">
        <v>1</v>
      </c>
      <c r="D805" s="1">
        <v>20</v>
      </c>
      <c r="E805" s="11">
        <v>20</v>
      </c>
      <c r="F805" s="3">
        <v>45692</v>
      </c>
      <c r="G805" s="3">
        <v>45693</v>
      </c>
      <c r="H805" s="1" t="s">
        <v>23</v>
      </c>
      <c r="I805" s="1" t="s">
        <v>51</v>
      </c>
      <c r="J805" s="1">
        <v>5</v>
      </c>
      <c r="K805" s="1" t="s">
        <v>19</v>
      </c>
      <c r="L805" s="1" t="s">
        <v>62</v>
      </c>
      <c r="M805" s="1">
        <f>orders[[#This Row],[Ship Date]]-orders[[#This Row],[Order Date]]</f>
        <v>1</v>
      </c>
      <c r="N805" s="1">
        <f>WEEKNUM(orders[[#This Row],[Order Date]])</f>
        <v>6</v>
      </c>
      <c r="O805" s="1" t="str" cm="1">
        <f t="array" ref="O805">_xlfn.IFS(orders[[#This Row],[Customer Gender]]="M","Male", orders[[#This Row],[Customer Gender]]="F","Female", orders[[#This Row],[Customer Gender]]="O","Other", TRUE,"Unknown")</f>
        <v>Male</v>
      </c>
    </row>
    <row r="806" spans="1:15">
      <c r="A806" s="1" t="s">
        <v>899</v>
      </c>
      <c r="B806" s="1" t="s">
        <v>22</v>
      </c>
      <c r="C806" s="1">
        <v>2</v>
      </c>
      <c r="D806" s="1">
        <v>42.9</v>
      </c>
      <c r="E806" s="11">
        <v>85.8</v>
      </c>
      <c r="F806" s="3">
        <v>45692</v>
      </c>
      <c r="G806" s="3">
        <v>45694</v>
      </c>
      <c r="H806" s="1" t="s">
        <v>27</v>
      </c>
      <c r="I806" s="1" t="s">
        <v>18</v>
      </c>
      <c r="J806" s="1">
        <v>5</v>
      </c>
      <c r="K806" s="1" t="s">
        <v>19</v>
      </c>
      <c r="L806" s="1" t="s">
        <v>62</v>
      </c>
      <c r="M806" s="1">
        <f>orders[[#This Row],[Ship Date]]-orders[[#This Row],[Order Date]]</f>
        <v>2</v>
      </c>
      <c r="N806" s="1">
        <f>WEEKNUM(orders[[#This Row],[Order Date]])</f>
        <v>6</v>
      </c>
      <c r="O806" s="1" t="str" cm="1">
        <f t="array" ref="O806">_xlfn.IFS(orders[[#This Row],[Customer Gender]]="M","Male", orders[[#This Row],[Customer Gender]]="F","Female", orders[[#This Row],[Customer Gender]]="O","Other", TRUE,"Unknown")</f>
        <v>Female</v>
      </c>
    </row>
    <row r="807" spans="1:15">
      <c r="A807" s="1" t="s">
        <v>900</v>
      </c>
      <c r="B807" s="1" t="s">
        <v>42</v>
      </c>
      <c r="C807" s="1">
        <v>7</v>
      </c>
      <c r="D807" s="1">
        <v>55.6</v>
      </c>
      <c r="E807" s="11">
        <v>389.2</v>
      </c>
      <c r="F807" s="3">
        <v>45692</v>
      </c>
      <c r="G807" s="3">
        <v>45694</v>
      </c>
      <c r="H807" s="1" t="s">
        <v>27</v>
      </c>
      <c r="I807" s="1" t="s">
        <v>40</v>
      </c>
      <c r="J807" s="1">
        <v>3</v>
      </c>
      <c r="K807" s="1" t="s">
        <v>19</v>
      </c>
      <c r="L807" s="1" t="s">
        <v>62</v>
      </c>
      <c r="M807" s="1">
        <f>orders[[#This Row],[Ship Date]]-orders[[#This Row],[Order Date]]</f>
        <v>2</v>
      </c>
      <c r="N807" s="1">
        <f>WEEKNUM(orders[[#This Row],[Order Date]])</f>
        <v>6</v>
      </c>
      <c r="O807" s="1" t="str" cm="1">
        <f t="array" ref="O807">_xlfn.IFS(orders[[#This Row],[Customer Gender]]="M","Male", orders[[#This Row],[Customer Gender]]="F","Female", orders[[#This Row],[Customer Gender]]="O","Other", TRUE,"Unknown")</f>
        <v>Female</v>
      </c>
    </row>
    <row r="808" spans="1:15">
      <c r="A808" s="1" t="s">
        <v>901</v>
      </c>
      <c r="B808" s="1" t="s">
        <v>44</v>
      </c>
      <c r="C808" s="1">
        <v>4</v>
      </c>
      <c r="D808" s="1">
        <v>19.2</v>
      </c>
      <c r="E808" s="11">
        <v>76.8</v>
      </c>
      <c r="F808" s="3">
        <v>45692</v>
      </c>
      <c r="G808" s="3">
        <v>45697</v>
      </c>
      <c r="H808" s="1" t="s">
        <v>27</v>
      </c>
      <c r="I808" s="1" t="s">
        <v>18</v>
      </c>
      <c r="J808" s="1">
        <v>4</v>
      </c>
      <c r="K808" s="1" t="s">
        <v>19</v>
      </c>
      <c r="L808" s="1" t="s">
        <v>429</v>
      </c>
      <c r="M808" s="1">
        <f>orders[[#This Row],[Ship Date]]-orders[[#This Row],[Order Date]]</f>
        <v>5</v>
      </c>
      <c r="N808" s="1">
        <f>WEEKNUM(orders[[#This Row],[Order Date]])</f>
        <v>6</v>
      </c>
      <c r="O808" s="1" t="str" cm="1">
        <f t="array" ref="O808">_xlfn.IFS(orders[[#This Row],[Customer Gender]]="M","Male", orders[[#This Row],[Customer Gender]]="F","Female", orders[[#This Row],[Customer Gender]]="O","Other", TRUE,"Unknown")</f>
        <v>Female</v>
      </c>
    </row>
    <row r="809" spans="1:15">
      <c r="A809" s="1" t="s">
        <v>902</v>
      </c>
      <c r="B809" s="1" t="s">
        <v>37</v>
      </c>
      <c r="C809" s="1">
        <v>2</v>
      </c>
      <c r="D809" s="1">
        <v>28.8</v>
      </c>
      <c r="E809" s="11">
        <v>57.6</v>
      </c>
      <c r="F809" s="3">
        <v>45692</v>
      </c>
      <c r="G809" s="3">
        <v>45694</v>
      </c>
      <c r="H809" s="1" t="s">
        <v>23</v>
      </c>
      <c r="I809" s="1" t="s">
        <v>35</v>
      </c>
      <c r="J809" s="1">
        <v>4</v>
      </c>
      <c r="K809" s="1" t="s">
        <v>19</v>
      </c>
      <c r="L809" s="1" t="s">
        <v>108</v>
      </c>
      <c r="M809" s="1">
        <f>orders[[#This Row],[Ship Date]]-orders[[#This Row],[Order Date]]</f>
        <v>2</v>
      </c>
      <c r="N809" s="1">
        <f>WEEKNUM(orders[[#This Row],[Order Date]])</f>
        <v>6</v>
      </c>
      <c r="O809" s="1" t="str" cm="1">
        <f t="array" ref="O809">_xlfn.IFS(orders[[#This Row],[Customer Gender]]="M","Male", orders[[#This Row],[Customer Gender]]="F","Female", orders[[#This Row],[Customer Gender]]="O","Other", TRUE,"Unknown")</f>
        <v>Male</v>
      </c>
    </row>
    <row r="810" spans="1:15">
      <c r="A810" s="1" t="s">
        <v>903</v>
      </c>
      <c r="B810" s="1" t="s">
        <v>32</v>
      </c>
      <c r="C810" s="1">
        <v>1</v>
      </c>
      <c r="D810" s="1">
        <v>29.7</v>
      </c>
      <c r="E810" s="11">
        <v>29.7</v>
      </c>
      <c r="F810" s="3">
        <v>45692</v>
      </c>
      <c r="G810" s="3">
        <v>45694</v>
      </c>
      <c r="H810" s="1" t="s">
        <v>27</v>
      </c>
      <c r="I810" s="1" t="s">
        <v>40</v>
      </c>
      <c r="J810" s="1">
        <v>2</v>
      </c>
      <c r="K810" s="1" t="s">
        <v>19</v>
      </c>
      <c r="L810" s="1" t="s">
        <v>113</v>
      </c>
      <c r="M810" s="1">
        <f>orders[[#This Row],[Ship Date]]-orders[[#This Row],[Order Date]]</f>
        <v>2</v>
      </c>
      <c r="N810" s="1">
        <f>WEEKNUM(orders[[#This Row],[Order Date]])</f>
        <v>6</v>
      </c>
      <c r="O810" s="1" t="str" cm="1">
        <f t="array" ref="O810">_xlfn.IFS(orders[[#This Row],[Customer Gender]]="M","Male", orders[[#This Row],[Customer Gender]]="F","Female", orders[[#This Row],[Customer Gender]]="O","Other", TRUE,"Unknown")</f>
        <v>Female</v>
      </c>
    </row>
    <row r="811" spans="1:15">
      <c r="A811" s="1" t="s">
        <v>904</v>
      </c>
      <c r="B811" s="1" t="s">
        <v>39</v>
      </c>
      <c r="C811" s="1">
        <v>6</v>
      </c>
      <c r="D811" s="1">
        <v>63.3</v>
      </c>
      <c r="E811" s="11">
        <v>379.79999999999995</v>
      </c>
      <c r="F811" s="3">
        <v>45692</v>
      </c>
      <c r="G811" s="3">
        <v>45693</v>
      </c>
      <c r="H811" s="1" t="s">
        <v>17</v>
      </c>
      <c r="I811" s="1" t="s">
        <v>18</v>
      </c>
      <c r="J811" s="1">
        <v>5</v>
      </c>
      <c r="K811" s="1" t="s">
        <v>19</v>
      </c>
      <c r="L811" s="1" t="s">
        <v>115</v>
      </c>
      <c r="M811" s="1">
        <f>orders[[#This Row],[Ship Date]]-orders[[#This Row],[Order Date]]</f>
        <v>1</v>
      </c>
      <c r="N811" s="1">
        <f>WEEKNUM(orders[[#This Row],[Order Date]])</f>
        <v>6</v>
      </c>
      <c r="O811" s="1" t="str" cm="1">
        <f t="array" ref="O811">_xlfn.IFS(orders[[#This Row],[Customer Gender]]="M","Male", orders[[#This Row],[Customer Gender]]="F","Female", orders[[#This Row],[Customer Gender]]="O","Other", TRUE,"Unknown")</f>
        <v>Unknown</v>
      </c>
    </row>
    <row r="812" spans="1:15">
      <c r="A812" s="1" t="s">
        <v>905</v>
      </c>
      <c r="B812" s="1" t="s">
        <v>32</v>
      </c>
      <c r="C812" s="1">
        <v>1</v>
      </c>
      <c r="D812" s="1">
        <v>46</v>
      </c>
      <c r="E812" s="11">
        <v>46</v>
      </c>
      <c r="F812" s="3">
        <v>45692</v>
      </c>
      <c r="G812" s="3">
        <v>45693</v>
      </c>
      <c r="H812" s="1" t="s">
        <v>27</v>
      </c>
      <c r="I812" s="1" t="s">
        <v>18</v>
      </c>
      <c r="J812" s="1">
        <v>5</v>
      </c>
      <c r="K812" s="1" t="s">
        <v>19</v>
      </c>
      <c r="L812" s="1" t="s">
        <v>115</v>
      </c>
      <c r="M812" s="1">
        <f>orders[[#This Row],[Ship Date]]-orders[[#This Row],[Order Date]]</f>
        <v>1</v>
      </c>
      <c r="N812" s="1">
        <f>WEEKNUM(orders[[#This Row],[Order Date]])</f>
        <v>6</v>
      </c>
      <c r="O812" s="1" t="str" cm="1">
        <f t="array" ref="O812">_xlfn.IFS(orders[[#This Row],[Customer Gender]]="M","Male", orders[[#This Row],[Customer Gender]]="F","Female", orders[[#This Row],[Customer Gender]]="O","Other", TRUE,"Unknown")</f>
        <v>Female</v>
      </c>
    </row>
    <row r="813" spans="1:15">
      <c r="A813" s="1" t="s">
        <v>906</v>
      </c>
      <c r="B813" s="1" t="s">
        <v>67</v>
      </c>
      <c r="C813" s="1">
        <v>3</v>
      </c>
      <c r="D813" s="1">
        <v>38</v>
      </c>
      <c r="E813" s="11">
        <v>114</v>
      </c>
      <c r="F813" s="3">
        <v>45692</v>
      </c>
      <c r="G813" s="3">
        <v>45694</v>
      </c>
      <c r="H813" s="1" t="s">
        <v>27</v>
      </c>
      <c r="I813" s="1" t="s">
        <v>35</v>
      </c>
      <c r="J813" s="1">
        <v>5</v>
      </c>
      <c r="K813" s="1" t="s">
        <v>19</v>
      </c>
      <c r="L813" s="1" t="s">
        <v>115</v>
      </c>
      <c r="M813" s="1">
        <f>orders[[#This Row],[Ship Date]]-orders[[#This Row],[Order Date]]</f>
        <v>2</v>
      </c>
      <c r="N813" s="1">
        <f>WEEKNUM(orders[[#This Row],[Order Date]])</f>
        <v>6</v>
      </c>
      <c r="O813" s="1" t="str" cm="1">
        <f t="array" ref="O813">_xlfn.IFS(orders[[#This Row],[Customer Gender]]="M","Male", orders[[#This Row],[Customer Gender]]="F","Female", orders[[#This Row],[Customer Gender]]="O","Other", TRUE,"Unknown")</f>
        <v>Female</v>
      </c>
    </row>
    <row r="814" spans="1:15">
      <c r="A814" s="1" t="s">
        <v>907</v>
      </c>
      <c r="B814" s="1" t="s">
        <v>54</v>
      </c>
      <c r="C814" s="1">
        <v>13</v>
      </c>
      <c r="D814" s="1">
        <v>34.6</v>
      </c>
      <c r="E814" s="11">
        <v>449.8</v>
      </c>
      <c r="F814" s="3">
        <v>45692</v>
      </c>
      <c r="G814" s="3">
        <v>45694</v>
      </c>
      <c r="H814" s="1" t="s">
        <v>27</v>
      </c>
      <c r="I814" s="1" t="s">
        <v>18</v>
      </c>
      <c r="J814" s="1">
        <v>3</v>
      </c>
      <c r="K814" s="1" t="s">
        <v>19</v>
      </c>
      <c r="L814" s="1" t="s">
        <v>115</v>
      </c>
      <c r="M814" s="1">
        <f>orders[[#This Row],[Ship Date]]-orders[[#This Row],[Order Date]]</f>
        <v>2</v>
      </c>
      <c r="N814" s="1">
        <f>WEEKNUM(orders[[#This Row],[Order Date]])</f>
        <v>6</v>
      </c>
      <c r="O814" s="1" t="str" cm="1">
        <f t="array" ref="O814">_xlfn.IFS(orders[[#This Row],[Customer Gender]]="M","Male", orders[[#This Row],[Customer Gender]]="F","Female", orders[[#This Row],[Customer Gender]]="O","Other", TRUE,"Unknown")</f>
        <v>Female</v>
      </c>
    </row>
    <row r="815" spans="1:15">
      <c r="A815" s="1" t="s">
        <v>908</v>
      </c>
      <c r="B815" s="1" t="s">
        <v>30</v>
      </c>
      <c r="C815" s="1">
        <v>10</v>
      </c>
      <c r="D815" s="1">
        <v>79.7</v>
      </c>
      <c r="E815" s="11">
        <v>797</v>
      </c>
      <c r="F815" s="3">
        <v>45692</v>
      </c>
      <c r="G815" s="3">
        <v>45693</v>
      </c>
      <c r="H815" s="1" t="s">
        <v>27</v>
      </c>
      <c r="I815" s="1" t="s">
        <v>70</v>
      </c>
      <c r="J815" s="1">
        <v>3</v>
      </c>
      <c r="K815" s="1" t="s">
        <v>19</v>
      </c>
      <c r="L815" s="1" t="s">
        <v>115</v>
      </c>
      <c r="M815" s="1">
        <f>orders[[#This Row],[Ship Date]]-orders[[#This Row],[Order Date]]</f>
        <v>1</v>
      </c>
      <c r="N815" s="1">
        <f>WEEKNUM(orders[[#This Row],[Order Date]])</f>
        <v>6</v>
      </c>
      <c r="O815" s="1" t="str" cm="1">
        <f t="array" ref="O815">_xlfn.IFS(orders[[#This Row],[Customer Gender]]="M","Male", orders[[#This Row],[Customer Gender]]="F","Female", orders[[#This Row],[Customer Gender]]="O","Other", TRUE,"Unknown")</f>
        <v>Female</v>
      </c>
    </row>
    <row r="816" spans="1:15">
      <c r="A816" s="1" t="s">
        <v>909</v>
      </c>
      <c r="B816" s="1" t="s">
        <v>44</v>
      </c>
      <c r="C816" s="1">
        <v>8</v>
      </c>
      <c r="D816" s="1">
        <v>30.5</v>
      </c>
      <c r="E816" s="11">
        <v>244</v>
      </c>
      <c r="F816" s="3">
        <v>45692</v>
      </c>
      <c r="G816" s="3">
        <v>45696</v>
      </c>
      <c r="H816" s="1" t="s">
        <v>23</v>
      </c>
      <c r="I816" s="1" t="s">
        <v>51</v>
      </c>
      <c r="J816" s="1">
        <v>4</v>
      </c>
      <c r="K816" s="1" t="s">
        <v>19</v>
      </c>
      <c r="L816" s="1" t="s">
        <v>24</v>
      </c>
      <c r="M816" s="1">
        <f>orders[[#This Row],[Ship Date]]-orders[[#This Row],[Order Date]]</f>
        <v>4</v>
      </c>
      <c r="N816" s="1">
        <f>WEEKNUM(orders[[#This Row],[Order Date]])</f>
        <v>6</v>
      </c>
      <c r="O816" s="1" t="str" cm="1">
        <f t="array" ref="O816">_xlfn.IFS(orders[[#This Row],[Customer Gender]]="M","Male", orders[[#This Row],[Customer Gender]]="F","Female", orders[[#This Row],[Customer Gender]]="O","Other", TRUE,"Unknown")</f>
        <v>Male</v>
      </c>
    </row>
    <row r="817" spans="1:15">
      <c r="A817" s="1" t="s">
        <v>910</v>
      </c>
      <c r="B817" s="1" t="s">
        <v>16</v>
      </c>
      <c r="C817" s="1">
        <v>2</v>
      </c>
      <c r="D817" s="1">
        <v>20.8</v>
      </c>
      <c r="E817" s="11">
        <v>41.6</v>
      </c>
      <c r="F817" s="3">
        <v>45692</v>
      </c>
      <c r="G817" s="3">
        <v>45693</v>
      </c>
      <c r="H817" s="1" t="s">
        <v>27</v>
      </c>
      <c r="I817" s="1" t="s">
        <v>18</v>
      </c>
      <c r="J817" s="1">
        <v>4</v>
      </c>
      <c r="K817" s="1" t="s">
        <v>19</v>
      </c>
      <c r="L817" s="1" t="s">
        <v>28</v>
      </c>
      <c r="M817" s="1">
        <f>orders[[#This Row],[Ship Date]]-orders[[#This Row],[Order Date]]</f>
        <v>1</v>
      </c>
      <c r="N817" s="1">
        <f>WEEKNUM(orders[[#This Row],[Order Date]])</f>
        <v>6</v>
      </c>
      <c r="O817" s="1" t="str" cm="1">
        <f t="array" ref="O817">_xlfn.IFS(orders[[#This Row],[Customer Gender]]="M","Male", orders[[#This Row],[Customer Gender]]="F","Female", orders[[#This Row],[Customer Gender]]="O","Other", TRUE,"Unknown")</f>
        <v>Female</v>
      </c>
    </row>
    <row r="818" spans="1:15">
      <c r="A818" s="1" t="s">
        <v>911</v>
      </c>
      <c r="B818" s="1" t="s">
        <v>67</v>
      </c>
      <c r="C818" s="1">
        <v>7</v>
      </c>
      <c r="D818" s="1">
        <v>48.5</v>
      </c>
      <c r="E818" s="11">
        <v>339.5</v>
      </c>
      <c r="F818" s="3">
        <v>45692</v>
      </c>
      <c r="G818" s="3">
        <v>45696</v>
      </c>
      <c r="H818" s="1" t="s">
        <v>27</v>
      </c>
      <c r="I818" s="1" t="s">
        <v>40</v>
      </c>
      <c r="J818" s="1">
        <v>5</v>
      </c>
      <c r="K818" s="1" t="s">
        <v>19</v>
      </c>
      <c r="L818" s="1" t="s">
        <v>28</v>
      </c>
      <c r="M818" s="1">
        <f>orders[[#This Row],[Ship Date]]-orders[[#This Row],[Order Date]]</f>
        <v>4</v>
      </c>
      <c r="N818" s="1">
        <f>WEEKNUM(orders[[#This Row],[Order Date]])</f>
        <v>6</v>
      </c>
      <c r="O818" s="1" t="str" cm="1">
        <f t="array" ref="O818">_xlfn.IFS(orders[[#This Row],[Customer Gender]]="M","Male", orders[[#This Row],[Customer Gender]]="F","Female", orders[[#This Row],[Customer Gender]]="O","Other", TRUE,"Unknown")</f>
        <v>Female</v>
      </c>
    </row>
    <row r="819" spans="1:15">
      <c r="A819" s="1" t="s">
        <v>912</v>
      </c>
      <c r="B819" s="1" t="s">
        <v>26</v>
      </c>
      <c r="C819" s="1">
        <v>4</v>
      </c>
      <c r="D819" s="1">
        <v>61.8</v>
      </c>
      <c r="E819" s="11">
        <v>247.2</v>
      </c>
      <c r="F819" s="3">
        <v>45692</v>
      </c>
      <c r="G819" s="3">
        <v>45696</v>
      </c>
      <c r="H819" s="1" t="s">
        <v>27</v>
      </c>
      <c r="I819" s="1" t="s">
        <v>70</v>
      </c>
      <c r="J819" s="1">
        <v>4</v>
      </c>
      <c r="K819" s="1" t="s">
        <v>19</v>
      </c>
      <c r="L819" s="1" t="s">
        <v>147</v>
      </c>
      <c r="M819" s="1">
        <f>orders[[#This Row],[Ship Date]]-orders[[#This Row],[Order Date]]</f>
        <v>4</v>
      </c>
      <c r="N819" s="1">
        <f>WEEKNUM(orders[[#This Row],[Order Date]])</f>
        <v>6</v>
      </c>
      <c r="O819" s="1" t="str" cm="1">
        <f t="array" ref="O819">_xlfn.IFS(orders[[#This Row],[Customer Gender]]="M","Male", orders[[#This Row],[Customer Gender]]="F","Female", orders[[#This Row],[Customer Gender]]="O","Other", TRUE,"Unknown")</f>
        <v>Female</v>
      </c>
    </row>
    <row r="820" spans="1:15">
      <c r="A820" s="1" t="s">
        <v>913</v>
      </c>
      <c r="B820" s="1" t="s">
        <v>54</v>
      </c>
      <c r="C820" s="1">
        <v>1</v>
      </c>
      <c r="D820" s="1">
        <v>46.1</v>
      </c>
      <c r="E820" s="11">
        <v>46.1</v>
      </c>
      <c r="F820" s="3">
        <v>45692</v>
      </c>
      <c r="G820" s="3">
        <v>45693</v>
      </c>
      <c r="H820" s="1" t="s">
        <v>89</v>
      </c>
      <c r="I820" s="1" t="s">
        <v>40</v>
      </c>
      <c r="J820" s="1">
        <v>4</v>
      </c>
      <c r="K820" s="1" t="s">
        <v>19</v>
      </c>
      <c r="L820" s="1" t="s">
        <v>33</v>
      </c>
      <c r="M820" s="1">
        <f>orders[[#This Row],[Ship Date]]-orders[[#This Row],[Order Date]]</f>
        <v>1</v>
      </c>
      <c r="N820" s="1">
        <f>WEEKNUM(orders[[#This Row],[Order Date]])</f>
        <v>6</v>
      </c>
      <c r="O820" s="1" t="str" cm="1">
        <f t="array" ref="O820">_xlfn.IFS(orders[[#This Row],[Customer Gender]]="M","Male", orders[[#This Row],[Customer Gender]]="F","Female", orders[[#This Row],[Customer Gender]]="O","Other", TRUE,"Unknown")</f>
        <v>Other</v>
      </c>
    </row>
    <row r="821" spans="1:15">
      <c r="A821" s="1" t="s">
        <v>914</v>
      </c>
      <c r="B821" s="1" t="s">
        <v>32</v>
      </c>
      <c r="C821" s="1">
        <v>6</v>
      </c>
      <c r="D821" s="1">
        <v>44</v>
      </c>
      <c r="E821" s="11">
        <v>264</v>
      </c>
      <c r="F821" s="3">
        <v>45692</v>
      </c>
      <c r="G821" s="3">
        <v>45693</v>
      </c>
      <c r="H821" s="1" t="s">
        <v>27</v>
      </c>
      <c r="I821" s="1" t="s">
        <v>18</v>
      </c>
      <c r="J821" s="1">
        <v>4</v>
      </c>
      <c r="K821" s="1" t="s">
        <v>19</v>
      </c>
      <c r="L821" s="1" t="s">
        <v>33</v>
      </c>
      <c r="M821" s="1">
        <f>orders[[#This Row],[Ship Date]]-orders[[#This Row],[Order Date]]</f>
        <v>1</v>
      </c>
      <c r="N821" s="1">
        <f>WEEKNUM(orders[[#This Row],[Order Date]])</f>
        <v>6</v>
      </c>
      <c r="O821" s="1" t="str" cm="1">
        <f t="array" ref="O821">_xlfn.IFS(orders[[#This Row],[Customer Gender]]="M","Male", orders[[#This Row],[Customer Gender]]="F","Female", orders[[#This Row],[Customer Gender]]="O","Other", TRUE,"Unknown")</f>
        <v>Female</v>
      </c>
    </row>
    <row r="822" spans="1:15">
      <c r="A822" s="1" t="s">
        <v>915</v>
      </c>
      <c r="B822" s="1" t="s">
        <v>146</v>
      </c>
      <c r="C822" s="1">
        <v>2</v>
      </c>
      <c r="D822" s="1">
        <v>95.7</v>
      </c>
      <c r="E822" s="11">
        <v>191.4</v>
      </c>
      <c r="F822" s="3">
        <v>45692</v>
      </c>
      <c r="G822" s="3">
        <v>45698</v>
      </c>
      <c r="H822" s="1" t="s">
        <v>27</v>
      </c>
      <c r="I822" s="1" t="s">
        <v>51</v>
      </c>
      <c r="J822" s="1">
        <v>5</v>
      </c>
      <c r="K822" s="1" t="s">
        <v>19</v>
      </c>
      <c r="L822" s="1" t="s">
        <v>33</v>
      </c>
      <c r="M822" s="1">
        <f>orders[[#This Row],[Ship Date]]-orders[[#This Row],[Order Date]]</f>
        <v>6</v>
      </c>
      <c r="N822" s="1">
        <f>WEEKNUM(orders[[#This Row],[Order Date]])</f>
        <v>6</v>
      </c>
      <c r="O822" s="1" t="str" cm="1">
        <f t="array" ref="O822">_xlfn.IFS(orders[[#This Row],[Customer Gender]]="M","Male", orders[[#This Row],[Customer Gender]]="F","Female", orders[[#This Row],[Customer Gender]]="O","Other", TRUE,"Unknown")</f>
        <v>Female</v>
      </c>
    </row>
    <row r="823" spans="1:15">
      <c r="A823" s="1" t="s">
        <v>916</v>
      </c>
      <c r="B823" s="1" t="s">
        <v>42</v>
      </c>
      <c r="C823" s="1">
        <v>5</v>
      </c>
      <c r="D823" s="1">
        <v>46.4</v>
      </c>
      <c r="E823" s="11">
        <v>232</v>
      </c>
      <c r="F823" s="3">
        <v>45692</v>
      </c>
      <c r="G823" s="3">
        <v>45695</v>
      </c>
      <c r="H823" s="1" t="s">
        <v>27</v>
      </c>
      <c r="I823" s="1" t="s">
        <v>18</v>
      </c>
      <c r="J823" s="1">
        <v>4</v>
      </c>
      <c r="K823" s="1" t="s">
        <v>19</v>
      </c>
      <c r="L823" s="1" t="s">
        <v>33</v>
      </c>
      <c r="M823" s="1">
        <f>orders[[#This Row],[Ship Date]]-orders[[#This Row],[Order Date]]</f>
        <v>3</v>
      </c>
      <c r="N823" s="1">
        <f>WEEKNUM(orders[[#This Row],[Order Date]])</f>
        <v>6</v>
      </c>
      <c r="O823" s="1" t="str" cm="1">
        <f t="array" ref="O823">_xlfn.IFS(orders[[#This Row],[Customer Gender]]="M","Male", orders[[#This Row],[Customer Gender]]="F","Female", orders[[#This Row],[Customer Gender]]="O","Other", TRUE,"Unknown")</f>
        <v>Female</v>
      </c>
    </row>
    <row r="824" spans="1:15">
      <c r="A824" s="1" t="s">
        <v>917</v>
      </c>
      <c r="B824" s="1" t="s">
        <v>39</v>
      </c>
      <c r="C824" s="1">
        <v>2</v>
      </c>
      <c r="D824" s="1">
        <v>47.2</v>
      </c>
      <c r="E824" s="11">
        <v>94.4</v>
      </c>
      <c r="F824" s="3">
        <v>45692</v>
      </c>
      <c r="G824" s="3">
        <v>45694</v>
      </c>
      <c r="H824" s="1" t="s">
        <v>27</v>
      </c>
      <c r="I824" s="1" t="s">
        <v>18</v>
      </c>
      <c r="J824" s="1">
        <v>5</v>
      </c>
      <c r="K824" s="1" t="s">
        <v>19</v>
      </c>
      <c r="L824" s="1" t="s">
        <v>33</v>
      </c>
      <c r="M824" s="1">
        <f>orders[[#This Row],[Ship Date]]-orders[[#This Row],[Order Date]]</f>
        <v>2</v>
      </c>
      <c r="N824" s="1">
        <f>WEEKNUM(orders[[#This Row],[Order Date]])</f>
        <v>6</v>
      </c>
      <c r="O824" s="1" t="str" cm="1">
        <f t="array" ref="O824">_xlfn.IFS(orders[[#This Row],[Customer Gender]]="M","Male", orders[[#This Row],[Customer Gender]]="F","Female", orders[[#This Row],[Customer Gender]]="O","Other", TRUE,"Unknown")</f>
        <v>Female</v>
      </c>
    </row>
    <row r="825" spans="1:15">
      <c r="A825" s="1" t="s">
        <v>918</v>
      </c>
      <c r="B825" s="1" t="s">
        <v>42</v>
      </c>
      <c r="C825" s="1">
        <v>2</v>
      </c>
      <c r="D825" s="1">
        <v>58.6</v>
      </c>
      <c r="E825" s="11">
        <v>117.2</v>
      </c>
      <c r="F825" s="3">
        <v>45692</v>
      </c>
      <c r="G825" s="3">
        <v>45693</v>
      </c>
      <c r="H825" s="1" t="s">
        <v>27</v>
      </c>
      <c r="I825" s="1" t="s">
        <v>40</v>
      </c>
      <c r="J825" s="1">
        <v>3</v>
      </c>
      <c r="K825" s="1" t="s">
        <v>19</v>
      </c>
      <c r="L825" s="1" t="s">
        <v>33</v>
      </c>
      <c r="M825" s="1">
        <f>orders[[#This Row],[Ship Date]]-orders[[#This Row],[Order Date]]</f>
        <v>1</v>
      </c>
      <c r="N825" s="1">
        <f>WEEKNUM(orders[[#This Row],[Order Date]])</f>
        <v>6</v>
      </c>
      <c r="O825" s="1" t="str" cm="1">
        <f t="array" ref="O825">_xlfn.IFS(orders[[#This Row],[Customer Gender]]="M","Male", orders[[#This Row],[Customer Gender]]="F","Female", orders[[#This Row],[Customer Gender]]="O","Other", TRUE,"Unknown")</f>
        <v>Female</v>
      </c>
    </row>
    <row r="826" spans="1:15">
      <c r="A826" s="1" t="s">
        <v>919</v>
      </c>
      <c r="B826" s="1" t="s">
        <v>32</v>
      </c>
      <c r="C826" s="1">
        <v>3</v>
      </c>
      <c r="D826" s="1">
        <v>57</v>
      </c>
      <c r="E826" s="11">
        <v>171</v>
      </c>
      <c r="F826" s="3">
        <v>45692</v>
      </c>
      <c r="G826" s="3">
        <v>45693</v>
      </c>
      <c r="H826" s="1" t="s">
        <v>23</v>
      </c>
      <c r="I826" s="1" t="s">
        <v>18</v>
      </c>
      <c r="J826" s="1">
        <v>5</v>
      </c>
      <c r="K826" s="1" t="s">
        <v>19</v>
      </c>
      <c r="L826" s="1" t="s">
        <v>33</v>
      </c>
      <c r="M826" s="1">
        <f>orders[[#This Row],[Ship Date]]-orders[[#This Row],[Order Date]]</f>
        <v>1</v>
      </c>
      <c r="N826" s="1">
        <f>WEEKNUM(orders[[#This Row],[Order Date]])</f>
        <v>6</v>
      </c>
      <c r="O826" s="1" t="str" cm="1">
        <f t="array" ref="O826">_xlfn.IFS(orders[[#This Row],[Customer Gender]]="M","Male", orders[[#This Row],[Customer Gender]]="F","Female", orders[[#This Row],[Customer Gender]]="O","Other", TRUE,"Unknown")</f>
        <v>Male</v>
      </c>
    </row>
    <row r="827" spans="1:15">
      <c r="A827" s="1" t="s">
        <v>920</v>
      </c>
      <c r="B827" s="1" t="s">
        <v>44</v>
      </c>
      <c r="C827" s="1">
        <v>4</v>
      </c>
      <c r="D827" s="1">
        <v>28.9</v>
      </c>
      <c r="E827" s="11">
        <v>115.6</v>
      </c>
      <c r="F827" s="3">
        <v>45692</v>
      </c>
      <c r="G827" s="3">
        <v>45696</v>
      </c>
      <c r="H827" s="1" t="s">
        <v>23</v>
      </c>
      <c r="I827" s="1" t="s">
        <v>40</v>
      </c>
      <c r="J827" s="1">
        <v>4</v>
      </c>
      <c r="K827" s="1" t="s">
        <v>19</v>
      </c>
      <c r="L827" s="1" t="s">
        <v>33</v>
      </c>
      <c r="M827" s="1">
        <f>orders[[#This Row],[Ship Date]]-orders[[#This Row],[Order Date]]</f>
        <v>4</v>
      </c>
      <c r="N827" s="1">
        <f>WEEKNUM(orders[[#This Row],[Order Date]])</f>
        <v>6</v>
      </c>
      <c r="O827" s="1" t="str" cm="1">
        <f t="array" ref="O827">_xlfn.IFS(orders[[#This Row],[Customer Gender]]="M","Male", orders[[#This Row],[Customer Gender]]="F","Female", orders[[#This Row],[Customer Gender]]="O","Other", TRUE,"Unknown")</f>
        <v>Male</v>
      </c>
    </row>
    <row r="828" spans="1:15">
      <c r="A828" s="1" t="s">
        <v>921</v>
      </c>
      <c r="B828" s="1" t="s">
        <v>69</v>
      </c>
      <c r="C828" s="1">
        <v>5</v>
      </c>
      <c r="D828" s="1">
        <v>60.7</v>
      </c>
      <c r="E828" s="11">
        <v>303.5</v>
      </c>
      <c r="F828" s="3">
        <v>45692</v>
      </c>
      <c r="G828" s="3">
        <v>45696</v>
      </c>
      <c r="H828" s="1" t="s">
        <v>17</v>
      </c>
      <c r="I828" s="1" t="s">
        <v>35</v>
      </c>
      <c r="J828" s="1">
        <v>3</v>
      </c>
      <c r="K828" s="1" t="s">
        <v>19</v>
      </c>
      <c r="L828" s="1" t="s">
        <v>33</v>
      </c>
      <c r="M828" s="1">
        <f>orders[[#This Row],[Ship Date]]-orders[[#This Row],[Order Date]]</f>
        <v>4</v>
      </c>
      <c r="N828" s="1">
        <f>WEEKNUM(orders[[#This Row],[Order Date]])</f>
        <v>6</v>
      </c>
      <c r="O828" s="1" t="str" cm="1">
        <f t="array" ref="O828">_xlfn.IFS(orders[[#This Row],[Customer Gender]]="M","Male", orders[[#This Row],[Customer Gender]]="F","Female", orders[[#This Row],[Customer Gender]]="O","Other", TRUE,"Unknown")</f>
        <v>Unknown</v>
      </c>
    </row>
    <row r="829" spans="1:15">
      <c r="A829" s="1" t="s">
        <v>922</v>
      </c>
      <c r="B829" s="1" t="s">
        <v>39</v>
      </c>
      <c r="C829" s="1">
        <v>5</v>
      </c>
      <c r="D829" s="1">
        <v>60.8</v>
      </c>
      <c r="E829" s="11">
        <v>304</v>
      </c>
      <c r="F829" s="3">
        <v>45692</v>
      </c>
      <c r="G829" s="3">
        <v>45696</v>
      </c>
      <c r="H829" s="1" t="s">
        <v>23</v>
      </c>
      <c r="I829" s="1" t="s">
        <v>18</v>
      </c>
      <c r="J829" s="1">
        <v>3</v>
      </c>
      <c r="K829" s="1" t="s">
        <v>19</v>
      </c>
      <c r="L829" s="1" t="s">
        <v>33</v>
      </c>
      <c r="M829" s="1">
        <f>orders[[#This Row],[Ship Date]]-orders[[#This Row],[Order Date]]</f>
        <v>4</v>
      </c>
      <c r="N829" s="1">
        <f>WEEKNUM(orders[[#This Row],[Order Date]])</f>
        <v>6</v>
      </c>
      <c r="O829" s="1" t="str" cm="1">
        <f t="array" ref="O829">_xlfn.IFS(orders[[#This Row],[Customer Gender]]="M","Male", orders[[#This Row],[Customer Gender]]="F","Female", orders[[#This Row],[Customer Gender]]="O","Other", TRUE,"Unknown")</f>
        <v>Male</v>
      </c>
    </row>
    <row r="830" spans="1:15">
      <c r="A830" s="1" t="s">
        <v>923</v>
      </c>
      <c r="B830" s="1" t="s">
        <v>39</v>
      </c>
      <c r="C830" s="1">
        <v>5</v>
      </c>
      <c r="D830" s="1">
        <v>64.599999999999994</v>
      </c>
      <c r="E830" s="11">
        <v>323</v>
      </c>
      <c r="F830" s="3">
        <v>45692</v>
      </c>
      <c r="G830" s="3">
        <v>45693</v>
      </c>
      <c r="H830" s="1" t="s">
        <v>27</v>
      </c>
      <c r="I830" s="1" t="s">
        <v>51</v>
      </c>
      <c r="J830" s="1">
        <v>4</v>
      </c>
      <c r="K830" s="1" t="s">
        <v>19</v>
      </c>
      <c r="L830" s="1" t="s">
        <v>33</v>
      </c>
      <c r="M830" s="1">
        <f>orders[[#This Row],[Ship Date]]-orders[[#This Row],[Order Date]]</f>
        <v>1</v>
      </c>
      <c r="N830" s="1">
        <f>WEEKNUM(orders[[#This Row],[Order Date]])</f>
        <v>6</v>
      </c>
      <c r="O830" s="1" t="str" cm="1">
        <f t="array" ref="O830">_xlfn.IFS(orders[[#This Row],[Customer Gender]]="M","Male", orders[[#This Row],[Customer Gender]]="F","Female", orders[[#This Row],[Customer Gender]]="O","Other", TRUE,"Unknown")</f>
        <v>Female</v>
      </c>
    </row>
    <row r="831" spans="1:15">
      <c r="A831" s="1" t="s">
        <v>924</v>
      </c>
      <c r="B831" s="1" t="s">
        <v>44</v>
      </c>
      <c r="C831" s="1">
        <v>1</v>
      </c>
      <c r="D831" s="1">
        <v>21.9</v>
      </c>
      <c r="E831" s="11">
        <v>21.9</v>
      </c>
      <c r="F831" s="3">
        <v>45692</v>
      </c>
      <c r="G831" s="3">
        <v>45695</v>
      </c>
      <c r="H831" s="1" t="s">
        <v>23</v>
      </c>
      <c r="I831" s="1" t="s">
        <v>35</v>
      </c>
      <c r="J831" s="1">
        <v>5</v>
      </c>
      <c r="K831" s="1" t="s">
        <v>19</v>
      </c>
      <c r="L831" s="1" t="s">
        <v>49</v>
      </c>
      <c r="M831" s="1">
        <f>orders[[#This Row],[Ship Date]]-orders[[#This Row],[Order Date]]</f>
        <v>3</v>
      </c>
      <c r="N831" s="1">
        <f>WEEKNUM(orders[[#This Row],[Order Date]])</f>
        <v>6</v>
      </c>
      <c r="O831" s="1" t="str" cm="1">
        <f t="array" ref="O831">_xlfn.IFS(orders[[#This Row],[Customer Gender]]="M","Male", orders[[#This Row],[Customer Gender]]="F","Female", orders[[#This Row],[Customer Gender]]="O","Other", TRUE,"Unknown")</f>
        <v>Male</v>
      </c>
    </row>
    <row r="832" spans="1:15">
      <c r="A832" s="1" t="s">
        <v>925</v>
      </c>
      <c r="B832" s="1" t="s">
        <v>32</v>
      </c>
      <c r="C832" s="1">
        <v>12</v>
      </c>
      <c r="D832" s="1">
        <v>33.4</v>
      </c>
      <c r="E832" s="11">
        <v>400.79999999999995</v>
      </c>
      <c r="F832" s="3">
        <v>45692</v>
      </c>
      <c r="G832" s="3">
        <v>45694</v>
      </c>
      <c r="H832" s="1" t="s">
        <v>27</v>
      </c>
      <c r="I832" s="1" t="s">
        <v>18</v>
      </c>
      <c r="J832" s="1">
        <v>4</v>
      </c>
      <c r="K832" s="1" t="s">
        <v>19</v>
      </c>
      <c r="L832" s="1" t="s">
        <v>158</v>
      </c>
      <c r="M832" s="1">
        <f>orders[[#This Row],[Ship Date]]-orders[[#This Row],[Order Date]]</f>
        <v>2</v>
      </c>
      <c r="N832" s="1">
        <f>WEEKNUM(orders[[#This Row],[Order Date]])</f>
        <v>6</v>
      </c>
      <c r="O832" s="1" t="str" cm="1">
        <f t="array" ref="O832">_xlfn.IFS(orders[[#This Row],[Customer Gender]]="M","Male", orders[[#This Row],[Customer Gender]]="F","Female", orders[[#This Row],[Customer Gender]]="O","Other", TRUE,"Unknown")</f>
        <v>Female</v>
      </c>
    </row>
    <row r="833" spans="1:15">
      <c r="A833" s="1" t="s">
        <v>926</v>
      </c>
      <c r="B833" s="1" t="s">
        <v>26</v>
      </c>
      <c r="C833" s="1">
        <v>1</v>
      </c>
      <c r="D833" s="1">
        <v>51.7</v>
      </c>
      <c r="E833" s="11">
        <v>51.7</v>
      </c>
      <c r="F833" s="3">
        <v>45692</v>
      </c>
      <c r="G833" s="3">
        <v>45693</v>
      </c>
      <c r="H833" s="1" t="s">
        <v>17</v>
      </c>
      <c r="I833" s="1" t="s">
        <v>18</v>
      </c>
      <c r="J833" s="1">
        <v>4</v>
      </c>
      <c r="K833" s="1" t="s">
        <v>19</v>
      </c>
      <c r="L833" s="1" t="s">
        <v>55</v>
      </c>
      <c r="M833" s="1">
        <f>orders[[#This Row],[Ship Date]]-orders[[#This Row],[Order Date]]</f>
        <v>1</v>
      </c>
      <c r="N833" s="1">
        <f>WEEKNUM(orders[[#This Row],[Order Date]])</f>
        <v>6</v>
      </c>
      <c r="O833" s="1" t="str" cm="1">
        <f t="array" ref="O833">_xlfn.IFS(orders[[#This Row],[Customer Gender]]="M","Male", orders[[#This Row],[Customer Gender]]="F","Female", orders[[#This Row],[Customer Gender]]="O","Other", TRUE,"Unknown")</f>
        <v>Unknown</v>
      </c>
    </row>
    <row r="834" spans="1:15">
      <c r="A834" s="1" t="s">
        <v>927</v>
      </c>
      <c r="B834" s="1" t="s">
        <v>22</v>
      </c>
      <c r="C834" s="1">
        <v>4</v>
      </c>
      <c r="D834" s="1">
        <v>84.9</v>
      </c>
      <c r="E834" s="11">
        <v>339.6</v>
      </c>
      <c r="F834" s="3">
        <v>45692</v>
      </c>
      <c r="G834" s="3">
        <v>45693</v>
      </c>
      <c r="H834" s="1" t="s">
        <v>27</v>
      </c>
      <c r="I834" s="1" t="s">
        <v>35</v>
      </c>
      <c r="J834" s="1">
        <v>3</v>
      </c>
      <c r="K834" s="1" t="s">
        <v>19</v>
      </c>
      <c r="L834" s="1" t="s">
        <v>55</v>
      </c>
      <c r="M834" s="1">
        <f>orders[[#This Row],[Ship Date]]-orders[[#This Row],[Order Date]]</f>
        <v>1</v>
      </c>
      <c r="N834" s="1">
        <f>WEEKNUM(orders[[#This Row],[Order Date]])</f>
        <v>6</v>
      </c>
      <c r="O834" s="1" t="str" cm="1">
        <f t="array" ref="O834">_xlfn.IFS(orders[[#This Row],[Customer Gender]]="M","Male", orders[[#This Row],[Customer Gender]]="F","Female", orders[[#This Row],[Customer Gender]]="O","Other", TRUE,"Unknown")</f>
        <v>Female</v>
      </c>
    </row>
    <row r="835" spans="1:15">
      <c r="A835" s="1" t="s">
        <v>928</v>
      </c>
      <c r="B835" s="1" t="s">
        <v>22</v>
      </c>
      <c r="C835" s="1">
        <v>11</v>
      </c>
      <c r="D835" s="1">
        <v>62.3</v>
      </c>
      <c r="E835" s="11">
        <v>685.3</v>
      </c>
      <c r="F835" s="3">
        <v>45692</v>
      </c>
      <c r="G835" s="3">
        <v>45693</v>
      </c>
      <c r="H835" s="1" t="s">
        <v>27</v>
      </c>
      <c r="I835" s="1" t="s">
        <v>40</v>
      </c>
      <c r="J835" s="1">
        <v>5</v>
      </c>
      <c r="K835" s="1" t="s">
        <v>19</v>
      </c>
      <c r="L835" s="1" t="s">
        <v>59</v>
      </c>
      <c r="M835" s="1">
        <f>orders[[#This Row],[Ship Date]]-orders[[#This Row],[Order Date]]</f>
        <v>1</v>
      </c>
      <c r="N835" s="1">
        <f>WEEKNUM(orders[[#This Row],[Order Date]])</f>
        <v>6</v>
      </c>
      <c r="O835" s="1" t="str" cm="1">
        <f t="array" ref="O835">_xlfn.IFS(orders[[#This Row],[Customer Gender]]="M","Male", orders[[#This Row],[Customer Gender]]="F","Female", orders[[#This Row],[Customer Gender]]="O","Other", TRUE,"Unknown")</f>
        <v>Female</v>
      </c>
    </row>
    <row r="836" spans="1:15">
      <c r="A836" s="1" t="s">
        <v>929</v>
      </c>
      <c r="B836" s="1" t="s">
        <v>32</v>
      </c>
      <c r="C836" s="1">
        <v>1</v>
      </c>
      <c r="D836" s="1">
        <v>50.7</v>
      </c>
      <c r="E836" s="11">
        <v>50.7</v>
      </c>
      <c r="F836" s="3">
        <v>45692</v>
      </c>
      <c r="G836" s="3">
        <v>45694</v>
      </c>
      <c r="H836" s="1" t="s">
        <v>23</v>
      </c>
      <c r="I836" s="1" t="s">
        <v>40</v>
      </c>
      <c r="J836" s="1">
        <v>5</v>
      </c>
      <c r="K836" s="1" t="s">
        <v>19</v>
      </c>
      <c r="L836" s="1" t="s">
        <v>62</v>
      </c>
      <c r="M836" s="1">
        <f>orders[[#This Row],[Ship Date]]-orders[[#This Row],[Order Date]]</f>
        <v>2</v>
      </c>
      <c r="N836" s="1">
        <f>WEEKNUM(orders[[#This Row],[Order Date]])</f>
        <v>6</v>
      </c>
      <c r="O836" s="1" t="str" cm="1">
        <f t="array" ref="O836">_xlfn.IFS(orders[[#This Row],[Customer Gender]]="M","Male", orders[[#This Row],[Customer Gender]]="F","Female", orders[[#This Row],[Customer Gender]]="O","Other", TRUE,"Unknown")</f>
        <v>Male</v>
      </c>
    </row>
    <row r="837" spans="1:15">
      <c r="A837" s="1" t="s">
        <v>930</v>
      </c>
      <c r="B837" s="1" t="s">
        <v>146</v>
      </c>
      <c r="C837" s="1">
        <v>1</v>
      </c>
      <c r="D837" s="1">
        <v>39.5</v>
      </c>
      <c r="E837" s="11">
        <v>39.5</v>
      </c>
      <c r="F837" s="3">
        <v>45692</v>
      </c>
      <c r="G837" s="3">
        <v>45693</v>
      </c>
      <c r="H837" s="1" t="s">
        <v>23</v>
      </c>
      <c r="I837" s="1" t="s">
        <v>70</v>
      </c>
      <c r="J837" s="1">
        <v>3</v>
      </c>
      <c r="K837" s="1" t="s">
        <v>19</v>
      </c>
      <c r="L837" s="1" t="s">
        <v>62</v>
      </c>
      <c r="M837" s="1">
        <f>orders[[#This Row],[Ship Date]]-orders[[#This Row],[Order Date]]</f>
        <v>1</v>
      </c>
      <c r="N837" s="1">
        <f>WEEKNUM(orders[[#This Row],[Order Date]])</f>
        <v>6</v>
      </c>
      <c r="O837" s="1" t="str" cm="1">
        <f t="array" ref="O837">_xlfn.IFS(orders[[#This Row],[Customer Gender]]="M","Male", orders[[#This Row],[Customer Gender]]="F","Female", orders[[#This Row],[Customer Gender]]="O","Other", TRUE,"Unknown")</f>
        <v>Male</v>
      </c>
    </row>
    <row r="838" spans="1:15">
      <c r="A838" s="1" t="s">
        <v>931</v>
      </c>
      <c r="B838" s="1" t="s">
        <v>69</v>
      </c>
      <c r="C838" s="1">
        <v>3</v>
      </c>
      <c r="D838" s="1">
        <v>30.9</v>
      </c>
      <c r="E838" s="11">
        <v>92.699999999999989</v>
      </c>
      <c r="F838" s="3">
        <v>45692</v>
      </c>
      <c r="G838" s="3">
        <v>45693</v>
      </c>
      <c r="H838" s="1" t="s">
        <v>17</v>
      </c>
      <c r="I838" s="1" t="s">
        <v>70</v>
      </c>
      <c r="J838" s="1">
        <v>5</v>
      </c>
      <c r="K838" s="1" t="s">
        <v>19</v>
      </c>
      <c r="L838" s="1" t="s">
        <v>62</v>
      </c>
      <c r="M838" s="1">
        <f>orders[[#This Row],[Ship Date]]-orders[[#This Row],[Order Date]]</f>
        <v>1</v>
      </c>
      <c r="N838" s="1">
        <f>WEEKNUM(orders[[#This Row],[Order Date]])</f>
        <v>6</v>
      </c>
      <c r="O838" s="1" t="str" cm="1">
        <f t="array" ref="O838">_xlfn.IFS(orders[[#This Row],[Customer Gender]]="M","Male", orders[[#This Row],[Customer Gender]]="F","Female", orders[[#This Row],[Customer Gender]]="O","Other", TRUE,"Unknown")</f>
        <v>Unknown</v>
      </c>
    </row>
    <row r="839" spans="1:15">
      <c r="A839" s="1" t="s">
        <v>932</v>
      </c>
      <c r="B839" s="1" t="s">
        <v>22</v>
      </c>
      <c r="C839" s="1">
        <v>7</v>
      </c>
      <c r="D839" s="1">
        <v>36.4</v>
      </c>
      <c r="E839" s="11">
        <v>254.79999999999998</v>
      </c>
      <c r="F839" s="3">
        <v>45692</v>
      </c>
      <c r="G839" s="3">
        <v>45695</v>
      </c>
      <c r="H839" s="1" t="s">
        <v>27</v>
      </c>
      <c r="I839" s="1" t="s">
        <v>18</v>
      </c>
      <c r="J839" s="1">
        <v>5</v>
      </c>
      <c r="K839" s="1" t="s">
        <v>19</v>
      </c>
      <c r="L839" s="1" t="s">
        <v>62</v>
      </c>
      <c r="M839" s="1">
        <f>orders[[#This Row],[Ship Date]]-orders[[#This Row],[Order Date]]</f>
        <v>3</v>
      </c>
      <c r="N839" s="1">
        <f>WEEKNUM(orders[[#This Row],[Order Date]])</f>
        <v>6</v>
      </c>
      <c r="O839" s="1" t="str" cm="1">
        <f t="array" ref="O839">_xlfn.IFS(orders[[#This Row],[Customer Gender]]="M","Male", orders[[#This Row],[Customer Gender]]="F","Female", orders[[#This Row],[Customer Gender]]="O","Other", TRUE,"Unknown")</f>
        <v>Female</v>
      </c>
    </row>
    <row r="840" spans="1:15">
      <c r="A840" s="1" t="s">
        <v>933</v>
      </c>
      <c r="B840" s="1" t="s">
        <v>39</v>
      </c>
      <c r="C840" s="1">
        <v>8</v>
      </c>
      <c r="D840" s="1">
        <v>105.6</v>
      </c>
      <c r="E840" s="11">
        <v>844.8</v>
      </c>
      <c r="F840" s="3">
        <v>45692</v>
      </c>
      <c r="G840" s="3">
        <v>45702</v>
      </c>
      <c r="H840" s="1" t="s">
        <v>27</v>
      </c>
      <c r="I840" s="1" t="s">
        <v>18</v>
      </c>
      <c r="J840" s="1">
        <v>4</v>
      </c>
      <c r="K840" s="1" t="s">
        <v>19</v>
      </c>
      <c r="L840" s="1" t="s">
        <v>62</v>
      </c>
      <c r="M840" s="1">
        <f>orders[[#This Row],[Ship Date]]-orders[[#This Row],[Order Date]]</f>
        <v>10</v>
      </c>
      <c r="N840" s="1">
        <f>WEEKNUM(orders[[#This Row],[Order Date]])</f>
        <v>6</v>
      </c>
      <c r="O840" s="1" t="str" cm="1">
        <f t="array" ref="O840">_xlfn.IFS(orders[[#This Row],[Customer Gender]]="M","Male", orders[[#This Row],[Customer Gender]]="F","Female", orders[[#This Row],[Customer Gender]]="O","Other", TRUE,"Unknown")</f>
        <v>Female</v>
      </c>
    </row>
    <row r="841" spans="1:15">
      <c r="A841" s="1" t="s">
        <v>934</v>
      </c>
      <c r="B841" s="1" t="s">
        <v>44</v>
      </c>
      <c r="C841" s="1">
        <v>2</v>
      </c>
      <c r="D841" s="1">
        <v>22.1</v>
      </c>
      <c r="E841" s="11">
        <v>44.2</v>
      </c>
      <c r="F841" s="3">
        <v>45692</v>
      </c>
      <c r="G841" s="3">
        <v>45693</v>
      </c>
      <c r="H841" s="1" t="s">
        <v>27</v>
      </c>
      <c r="I841" s="1" t="s">
        <v>18</v>
      </c>
      <c r="J841" s="1">
        <v>5</v>
      </c>
      <c r="K841" s="1" t="s">
        <v>19</v>
      </c>
      <c r="L841" s="1" t="s">
        <v>103</v>
      </c>
      <c r="M841" s="1">
        <f>orders[[#This Row],[Ship Date]]-orders[[#This Row],[Order Date]]</f>
        <v>1</v>
      </c>
      <c r="N841" s="1">
        <f>WEEKNUM(orders[[#This Row],[Order Date]])</f>
        <v>6</v>
      </c>
      <c r="O841" s="1" t="str" cm="1">
        <f t="array" ref="O841">_xlfn.IFS(orders[[#This Row],[Customer Gender]]="M","Male", orders[[#This Row],[Customer Gender]]="F","Female", orders[[#This Row],[Customer Gender]]="O","Other", TRUE,"Unknown")</f>
        <v>Female</v>
      </c>
    </row>
    <row r="842" spans="1:15">
      <c r="A842" s="1" t="s">
        <v>935</v>
      </c>
      <c r="B842" s="1" t="s">
        <v>16</v>
      </c>
      <c r="C842" s="1">
        <v>3</v>
      </c>
      <c r="D842" s="1">
        <v>22.6</v>
      </c>
      <c r="E842" s="11">
        <v>67.800000000000011</v>
      </c>
      <c r="F842" s="3">
        <v>45692</v>
      </c>
      <c r="G842" s="3">
        <v>45693</v>
      </c>
      <c r="H842" s="1" t="s">
        <v>27</v>
      </c>
      <c r="I842" s="1" t="s">
        <v>40</v>
      </c>
      <c r="J842" s="1">
        <v>4</v>
      </c>
      <c r="K842" s="1" t="s">
        <v>19</v>
      </c>
      <c r="L842" s="1" t="s">
        <v>103</v>
      </c>
      <c r="M842" s="1">
        <f>orders[[#This Row],[Ship Date]]-orders[[#This Row],[Order Date]]</f>
        <v>1</v>
      </c>
      <c r="N842" s="1">
        <f>WEEKNUM(orders[[#This Row],[Order Date]])</f>
        <v>6</v>
      </c>
      <c r="O842" s="1" t="str" cm="1">
        <f t="array" ref="O842">_xlfn.IFS(orders[[#This Row],[Customer Gender]]="M","Male", orders[[#This Row],[Customer Gender]]="F","Female", orders[[#This Row],[Customer Gender]]="O","Other", TRUE,"Unknown")</f>
        <v>Female</v>
      </c>
    </row>
    <row r="843" spans="1:15">
      <c r="A843" s="1" t="s">
        <v>936</v>
      </c>
      <c r="B843" s="1" t="s">
        <v>54</v>
      </c>
      <c r="C843" s="1">
        <v>6</v>
      </c>
      <c r="D843" s="1">
        <v>26.3</v>
      </c>
      <c r="E843" s="11">
        <v>157.80000000000001</v>
      </c>
      <c r="F843" s="3">
        <v>45692</v>
      </c>
      <c r="G843" s="3">
        <v>45692</v>
      </c>
      <c r="H843" s="1" t="s">
        <v>27</v>
      </c>
      <c r="I843" s="1" t="s">
        <v>40</v>
      </c>
      <c r="J843" s="1">
        <v>4</v>
      </c>
      <c r="K843" s="1" t="s">
        <v>19</v>
      </c>
      <c r="L843" s="1" t="s">
        <v>72</v>
      </c>
      <c r="M843" s="1">
        <f>orders[[#This Row],[Ship Date]]-orders[[#This Row],[Order Date]]</f>
        <v>0</v>
      </c>
      <c r="N843" s="1">
        <f>WEEKNUM(orders[[#This Row],[Order Date]])</f>
        <v>6</v>
      </c>
      <c r="O843" s="1" t="str" cm="1">
        <f t="array" ref="O843">_xlfn.IFS(orders[[#This Row],[Customer Gender]]="M","Male", orders[[#This Row],[Customer Gender]]="F","Female", orders[[#This Row],[Customer Gender]]="O","Other", TRUE,"Unknown")</f>
        <v>Female</v>
      </c>
    </row>
    <row r="844" spans="1:15">
      <c r="A844" s="1" t="s">
        <v>937</v>
      </c>
      <c r="B844" s="1" t="s">
        <v>22</v>
      </c>
      <c r="C844" s="1">
        <v>4</v>
      </c>
      <c r="D844" s="1">
        <v>37.799999999999997</v>
      </c>
      <c r="E844" s="11">
        <v>151.19999999999999</v>
      </c>
      <c r="F844" s="3">
        <v>45692</v>
      </c>
      <c r="G844" s="3">
        <v>45693</v>
      </c>
      <c r="H844" s="1" t="s">
        <v>27</v>
      </c>
      <c r="I844" s="1" t="s">
        <v>18</v>
      </c>
      <c r="J844" s="1">
        <v>5</v>
      </c>
      <c r="K844" s="1" t="s">
        <v>19</v>
      </c>
      <c r="L844" s="1" t="s">
        <v>77</v>
      </c>
      <c r="M844" s="1">
        <f>orders[[#This Row],[Ship Date]]-orders[[#This Row],[Order Date]]</f>
        <v>1</v>
      </c>
      <c r="N844" s="1">
        <f>WEEKNUM(orders[[#This Row],[Order Date]])</f>
        <v>6</v>
      </c>
      <c r="O844" s="1" t="str" cm="1">
        <f t="array" ref="O844">_xlfn.IFS(orders[[#This Row],[Customer Gender]]="M","Male", orders[[#This Row],[Customer Gender]]="F","Female", orders[[#This Row],[Customer Gender]]="O","Other", TRUE,"Unknown")</f>
        <v>Female</v>
      </c>
    </row>
    <row r="845" spans="1:15">
      <c r="A845" s="1" t="s">
        <v>938</v>
      </c>
      <c r="B845" s="1" t="s">
        <v>39</v>
      </c>
      <c r="C845" s="1">
        <v>17</v>
      </c>
      <c r="D845" s="1">
        <v>96</v>
      </c>
      <c r="E845" s="11">
        <v>1632</v>
      </c>
      <c r="F845" s="3">
        <v>45692</v>
      </c>
      <c r="G845" s="3">
        <v>45695</v>
      </c>
      <c r="H845" s="1" t="s">
        <v>27</v>
      </c>
      <c r="I845" s="1" t="s">
        <v>70</v>
      </c>
      <c r="J845" s="1">
        <v>3</v>
      </c>
      <c r="K845" s="1" t="s">
        <v>19</v>
      </c>
      <c r="L845" s="1" t="s">
        <v>108</v>
      </c>
      <c r="M845" s="1">
        <f>orders[[#This Row],[Ship Date]]-orders[[#This Row],[Order Date]]</f>
        <v>3</v>
      </c>
      <c r="N845" s="1">
        <f>WEEKNUM(orders[[#This Row],[Order Date]])</f>
        <v>6</v>
      </c>
      <c r="O845" s="1" t="str" cm="1">
        <f t="array" ref="O845">_xlfn.IFS(orders[[#This Row],[Customer Gender]]="M","Male", orders[[#This Row],[Customer Gender]]="F","Female", orders[[#This Row],[Customer Gender]]="O","Other", TRUE,"Unknown")</f>
        <v>Female</v>
      </c>
    </row>
    <row r="846" spans="1:15">
      <c r="A846" s="1" t="s">
        <v>939</v>
      </c>
      <c r="B846" s="1" t="s">
        <v>22</v>
      </c>
      <c r="C846" s="1">
        <v>1</v>
      </c>
      <c r="D846" s="1">
        <v>83.6</v>
      </c>
      <c r="E846" s="11">
        <v>83.6</v>
      </c>
      <c r="F846" s="3">
        <v>45692</v>
      </c>
      <c r="G846" s="3">
        <v>45695</v>
      </c>
      <c r="H846" s="1" t="s">
        <v>27</v>
      </c>
      <c r="I846" s="1" t="s">
        <v>40</v>
      </c>
      <c r="J846" s="1">
        <v>3</v>
      </c>
      <c r="K846" s="1" t="s">
        <v>19</v>
      </c>
      <c r="L846" s="1" t="s">
        <v>110</v>
      </c>
      <c r="M846" s="1">
        <f>orders[[#This Row],[Ship Date]]-orders[[#This Row],[Order Date]]</f>
        <v>3</v>
      </c>
      <c r="N846" s="1">
        <f>WEEKNUM(orders[[#This Row],[Order Date]])</f>
        <v>6</v>
      </c>
      <c r="O846" s="1" t="str" cm="1">
        <f t="array" ref="O846">_xlfn.IFS(orders[[#This Row],[Customer Gender]]="M","Male", orders[[#This Row],[Customer Gender]]="F","Female", orders[[#This Row],[Customer Gender]]="O","Other", TRUE,"Unknown")</f>
        <v>Female</v>
      </c>
    </row>
    <row r="847" spans="1:15">
      <c r="A847" s="1" t="s">
        <v>940</v>
      </c>
      <c r="B847" s="1" t="s">
        <v>26</v>
      </c>
      <c r="C847" s="1">
        <v>6</v>
      </c>
      <c r="D847" s="1">
        <v>72.599999999999994</v>
      </c>
      <c r="E847" s="11">
        <v>435.59999999999997</v>
      </c>
      <c r="F847" s="3">
        <v>45692</v>
      </c>
      <c r="G847" s="3">
        <v>45693</v>
      </c>
      <c r="H847" s="1" t="s">
        <v>27</v>
      </c>
      <c r="I847" s="1" t="s">
        <v>18</v>
      </c>
      <c r="J847" s="1">
        <v>4</v>
      </c>
      <c r="K847" s="1" t="s">
        <v>19</v>
      </c>
      <c r="L847" s="1" t="s">
        <v>115</v>
      </c>
      <c r="M847" s="1">
        <f>orders[[#This Row],[Ship Date]]-orders[[#This Row],[Order Date]]</f>
        <v>1</v>
      </c>
      <c r="N847" s="1">
        <f>WEEKNUM(orders[[#This Row],[Order Date]])</f>
        <v>6</v>
      </c>
      <c r="O847" s="1" t="str" cm="1">
        <f t="array" ref="O847">_xlfn.IFS(orders[[#This Row],[Customer Gender]]="M","Male", orders[[#This Row],[Customer Gender]]="F","Female", orders[[#This Row],[Customer Gender]]="O","Other", TRUE,"Unknown")</f>
        <v>Female</v>
      </c>
    </row>
    <row r="848" spans="1:15">
      <c r="A848" s="1" t="s">
        <v>941</v>
      </c>
      <c r="B848" s="1" t="s">
        <v>37</v>
      </c>
      <c r="C848" s="1">
        <v>20</v>
      </c>
      <c r="D848" s="1">
        <v>69.099999999999994</v>
      </c>
      <c r="E848" s="11">
        <v>1382</v>
      </c>
      <c r="F848" s="3">
        <v>45693</v>
      </c>
      <c r="G848" s="3">
        <v>45699</v>
      </c>
      <c r="H848" s="1" t="s">
        <v>23</v>
      </c>
      <c r="I848" s="1" t="s">
        <v>18</v>
      </c>
      <c r="J848" s="1">
        <v>5</v>
      </c>
      <c r="K848" s="1" t="s">
        <v>19</v>
      </c>
      <c r="L848" s="1" t="s">
        <v>115</v>
      </c>
      <c r="M848" s="1">
        <f>orders[[#This Row],[Ship Date]]-orders[[#This Row],[Order Date]]</f>
        <v>6</v>
      </c>
      <c r="N848" s="1">
        <f>WEEKNUM(orders[[#This Row],[Order Date]])</f>
        <v>6</v>
      </c>
      <c r="O848" s="1" t="str" cm="1">
        <f t="array" ref="O848">_xlfn.IFS(orders[[#This Row],[Customer Gender]]="M","Male", orders[[#This Row],[Customer Gender]]="F","Female", orders[[#This Row],[Customer Gender]]="O","Other", TRUE,"Unknown")</f>
        <v>Male</v>
      </c>
    </row>
    <row r="849" spans="1:15">
      <c r="A849" s="1" t="s">
        <v>942</v>
      </c>
      <c r="B849" s="1" t="s">
        <v>32</v>
      </c>
      <c r="C849" s="1">
        <v>2</v>
      </c>
      <c r="D849" s="1">
        <v>22.6</v>
      </c>
      <c r="E849" s="11">
        <v>45.2</v>
      </c>
      <c r="F849" s="3">
        <v>45693</v>
      </c>
      <c r="G849" s="3">
        <v>45695</v>
      </c>
      <c r="H849" s="1" t="s">
        <v>27</v>
      </c>
      <c r="I849" s="1" t="s">
        <v>35</v>
      </c>
      <c r="J849" s="1">
        <v>5</v>
      </c>
      <c r="K849" s="1" t="s">
        <v>19</v>
      </c>
      <c r="L849" s="1" t="s">
        <v>115</v>
      </c>
      <c r="M849" s="1">
        <f>orders[[#This Row],[Ship Date]]-orders[[#This Row],[Order Date]]</f>
        <v>2</v>
      </c>
      <c r="N849" s="1">
        <f>WEEKNUM(orders[[#This Row],[Order Date]])</f>
        <v>6</v>
      </c>
      <c r="O849" s="1" t="str" cm="1">
        <f t="array" ref="O849">_xlfn.IFS(orders[[#This Row],[Customer Gender]]="M","Male", orders[[#This Row],[Customer Gender]]="F","Female", orders[[#This Row],[Customer Gender]]="O","Other", TRUE,"Unknown")</f>
        <v>Female</v>
      </c>
    </row>
    <row r="850" spans="1:15">
      <c r="A850" s="1" t="s">
        <v>943</v>
      </c>
      <c r="B850" s="1" t="s">
        <v>39</v>
      </c>
      <c r="C850" s="1">
        <v>2</v>
      </c>
      <c r="D850" s="1">
        <v>45.3</v>
      </c>
      <c r="E850" s="11">
        <v>90.6</v>
      </c>
      <c r="F850" s="3">
        <v>45693</v>
      </c>
      <c r="G850" s="3">
        <v>45697</v>
      </c>
      <c r="H850" s="1" t="s">
        <v>23</v>
      </c>
      <c r="I850" s="1" t="s">
        <v>70</v>
      </c>
      <c r="J850" s="1">
        <v>5</v>
      </c>
      <c r="K850" s="1" t="s">
        <v>19</v>
      </c>
      <c r="L850" s="1" t="s">
        <v>115</v>
      </c>
      <c r="M850" s="1">
        <f>orders[[#This Row],[Ship Date]]-orders[[#This Row],[Order Date]]</f>
        <v>4</v>
      </c>
      <c r="N850" s="1">
        <f>WEEKNUM(orders[[#This Row],[Order Date]])</f>
        <v>6</v>
      </c>
      <c r="O850" s="1" t="str" cm="1">
        <f t="array" ref="O850">_xlfn.IFS(orders[[#This Row],[Customer Gender]]="M","Male", orders[[#This Row],[Customer Gender]]="F","Female", orders[[#This Row],[Customer Gender]]="O","Other", TRUE,"Unknown")</f>
        <v>Male</v>
      </c>
    </row>
    <row r="851" spans="1:15">
      <c r="A851" s="1" t="s">
        <v>944</v>
      </c>
      <c r="B851" s="1" t="s">
        <v>26</v>
      </c>
      <c r="C851" s="1">
        <v>2</v>
      </c>
      <c r="D851" s="1">
        <v>115.1</v>
      </c>
      <c r="E851" s="11">
        <v>230.2</v>
      </c>
      <c r="F851" s="3">
        <v>45693</v>
      </c>
      <c r="G851" s="3">
        <v>45694</v>
      </c>
      <c r="H851" s="1" t="s">
        <v>27</v>
      </c>
      <c r="I851" s="1" t="s">
        <v>35</v>
      </c>
      <c r="J851" s="1">
        <v>4</v>
      </c>
      <c r="K851" s="1" t="s">
        <v>19</v>
      </c>
      <c r="L851" s="1" t="s">
        <v>24</v>
      </c>
      <c r="M851" s="1">
        <f>orders[[#This Row],[Ship Date]]-orders[[#This Row],[Order Date]]</f>
        <v>1</v>
      </c>
      <c r="N851" s="1">
        <f>WEEKNUM(orders[[#This Row],[Order Date]])</f>
        <v>6</v>
      </c>
      <c r="O851" s="1" t="str" cm="1">
        <f t="array" ref="O851">_xlfn.IFS(orders[[#This Row],[Customer Gender]]="M","Male", orders[[#This Row],[Customer Gender]]="F","Female", orders[[#This Row],[Customer Gender]]="O","Other", TRUE,"Unknown")</f>
        <v>Female</v>
      </c>
    </row>
    <row r="852" spans="1:15">
      <c r="A852" s="1" t="s">
        <v>945</v>
      </c>
      <c r="B852" s="1" t="s">
        <v>146</v>
      </c>
      <c r="C852" s="1">
        <v>4</v>
      </c>
      <c r="D852" s="1">
        <v>79</v>
      </c>
      <c r="E852" s="11">
        <v>316</v>
      </c>
      <c r="F852" s="3">
        <v>45693</v>
      </c>
      <c r="G852" s="3">
        <v>45695</v>
      </c>
      <c r="H852" s="1" t="s">
        <v>23</v>
      </c>
      <c r="I852" s="1" t="s">
        <v>40</v>
      </c>
      <c r="J852" s="1">
        <v>2</v>
      </c>
      <c r="K852" s="1" t="s">
        <v>19</v>
      </c>
      <c r="L852" s="1" t="s">
        <v>24</v>
      </c>
      <c r="M852" s="1">
        <f>orders[[#This Row],[Ship Date]]-orders[[#This Row],[Order Date]]</f>
        <v>2</v>
      </c>
      <c r="N852" s="1">
        <f>WEEKNUM(orders[[#This Row],[Order Date]])</f>
        <v>6</v>
      </c>
      <c r="O852" s="1" t="str" cm="1">
        <f t="array" ref="O852">_xlfn.IFS(orders[[#This Row],[Customer Gender]]="M","Male", orders[[#This Row],[Customer Gender]]="F","Female", orders[[#This Row],[Customer Gender]]="O","Other", TRUE,"Unknown")</f>
        <v>Male</v>
      </c>
    </row>
    <row r="853" spans="1:15">
      <c r="A853" s="1" t="s">
        <v>946</v>
      </c>
      <c r="B853" s="1" t="s">
        <v>39</v>
      </c>
      <c r="C853" s="1">
        <v>5</v>
      </c>
      <c r="D853" s="1">
        <v>52.8</v>
      </c>
      <c r="E853" s="11">
        <v>264</v>
      </c>
      <c r="F853" s="3">
        <v>45693</v>
      </c>
      <c r="G853" s="3">
        <v>45694</v>
      </c>
      <c r="H853" s="1" t="s">
        <v>27</v>
      </c>
      <c r="I853" s="1" t="s">
        <v>18</v>
      </c>
      <c r="J853" s="1">
        <v>4</v>
      </c>
      <c r="K853" s="1" t="s">
        <v>19</v>
      </c>
      <c r="L853" s="1" t="s">
        <v>437</v>
      </c>
      <c r="M853" s="1">
        <f>orders[[#This Row],[Ship Date]]-orders[[#This Row],[Order Date]]</f>
        <v>1</v>
      </c>
      <c r="N853" s="1">
        <f>WEEKNUM(orders[[#This Row],[Order Date]])</f>
        <v>6</v>
      </c>
      <c r="O853" s="1" t="str" cm="1">
        <f t="array" ref="O853">_xlfn.IFS(orders[[#This Row],[Customer Gender]]="M","Male", orders[[#This Row],[Customer Gender]]="F","Female", orders[[#This Row],[Customer Gender]]="O","Other", TRUE,"Unknown")</f>
        <v>Female</v>
      </c>
    </row>
    <row r="854" spans="1:15">
      <c r="A854" s="1" t="s">
        <v>947</v>
      </c>
      <c r="B854" s="1" t="s">
        <v>44</v>
      </c>
      <c r="C854" s="1">
        <v>2</v>
      </c>
      <c r="D854" s="1">
        <v>34.1</v>
      </c>
      <c r="E854" s="11">
        <v>68.2</v>
      </c>
      <c r="F854" s="3">
        <v>45693</v>
      </c>
      <c r="G854" s="3">
        <v>45694</v>
      </c>
      <c r="H854" s="1" t="s">
        <v>23</v>
      </c>
      <c r="I854" s="1" t="s">
        <v>51</v>
      </c>
      <c r="J854" s="1">
        <v>5</v>
      </c>
      <c r="K854" s="1" t="s">
        <v>19</v>
      </c>
      <c r="L854" s="1" t="s">
        <v>587</v>
      </c>
      <c r="M854" s="1">
        <f>orders[[#This Row],[Ship Date]]-orders[[#This Row],[Order Date]]</f>
        <v>1</v>
      </c>
      <c r="N854" s="1">
        <f>WEEKNUM(orders[[#This Row],[Order Date]])</f>
        <v>6</v>
      </c>
      <c r="O854" s="1" t="str" cm="1">
        <f t="array" ref="O854">_xlfn.IFS(orders[[#This Row],[Customer Gender]]="M","Male", orders[[#This Row],[Customer Gender]]="F","Female", orders[[#This Row],[Customer Gender]]="O","Other", TRUE,"Unknown")</f>
        <v>Male</v>
      </c>
    </row>
    <row r="855" spans="1:15">
      <c r="A855" s="1" t="s">
        <v>948</v>
      </c>
      <c r="B855" s="1" t="s">
        <v>39</v>
      </c>
      <c r="C855" s="1">
        <v>5</v>
      </c>
      <c r="D855" s="1">
        <v>107.9</v>
      </c>
      <c r="E855" s="11">
        <v>539.5</v>
      </c>
      <c r="F855" s="3">
        <v>45693</v>
      </c>
      <c r="G855" s="3">
        <v>45693</v>
      </c>
      <c r="H855" s="1" t="s">
        <v>27</v>
      </c>
      <c r="I855" s="1" t="s">
        <v>18</v>
      </c>
      <c r="J855" s="1">
        <v>5</v>
      </c>
      <c r="K855" s="1" t="s">
        <v>19</v>
      </c>
      <c r="L855" s="1" t="s">
        <v>949</v>
      </c>
      <c r="M855" s="1">
        <f>orders[[#This Row],[Ship Date]]-orders[[#This Row],[Order Date]]</f>
        <v>0</v>
      </c>
      <c r="N855" s="1">
        <f>WEEKNUM(orders[[#This Row],[Order Date]])</f>
        <v>6</v>
      </c>
      <c r="O855" s="1" t="str" cm="1">
        <f t="array" ref="O855">_xlfn.IFS(orders[[#This Row],[Customer Gender]]="M","Male", orders[[#This Row],[Customer Gender]]="F","Female", orders[[#This Row],[Customer Gender]]="O","Other", TRUE,"Unknown")</f>
        <v>Female</v>
      </c>
    </row>
    <row r="856" spans="1:15">
      <c r="A856" s="1" t="s">
        <v>950</v>
      </c>
      <c r="B856" s="1" t="s">
        <v>44</v>
      </c>
      <c r="C856" s="1">
        <v>13</v>
      </c>
      <c r="D856" s="1">
        <v>48.5</v>
      </c>
      <c r="E856" s="11">
        <v>630.5</v>
      </c>
      <c r="F856" s="3">
        <v>45693</v>
      </c>
      <c r="G856" s="3">
        <v>45693</v>
      </c>
      <c r="H856" s="1" t="s">
        <v>23</v>
      </c>
      <c r="I856" s="1" t="s">
        <v>40</v>
      </c>
      <c r="J856" s="1">
        <v>5</v>
      </c>
      <c r="K856" s="1" t="s">
        <v>19</v>
      </c>
      <c r="L856" s="1" t="s">
        <v>33</v>
      </c>
      <c r="M856" s="1">
        <f>orders[[#This Row],[Ship Date]]-orders[[#This Row],[Order Date]]</f>
        <v>0</v>
      </c>
      <c r="N856" s="1">
        <f>WEEKNUM(orders[[#This Row],[Order Date]])</f>
        <v>6</v>
      </c>
      <c r="O856" s="1" t="str" cm="1">
        <f t="array" ref="O856">_xlfn.IFS(orders[[#This Row],[Customer Gender]]="M","Male", orders[[#This Row],[Customer Gender]]="F","Female", orders[[#This Row],[Customer Gender]]="O","Other", TRUE,"Unknown")</f>
        <v>Male</v>
      </c>
    </row>
    <row r="857" spans="1:15">
      <c r="A857" s="1" t="s">
        <v>951</v>
      </c>
      <c r="B857" s="1" t="s">
        <v>37</v>
      </c>
      <c r="C857" s="1">
        <v>3</v>
      </c>
      <c r="D857" s="1">
        <v>34.700000000000003</v>
      </c>
      <c r="E857" s="11">
        <v>104.10000000000001</v>
      </c>
      <c r="F857" s="3">
        <v>45693</v>
      </c>
      <c r="G857" s="3">
        <v>45694</v>
      </c>
      <c r="H857" s="1" t="s">
        <v>17</v>
      </c>
      <c r="I857" s="1" t="s">
        <v>70</v>
      </c>
      <c r="J857" s="1">
        <v>3</v>
      </c>
      <c r="K857" s="1" t="s">
        <v>19</v>
      </c>
      <c r="L857" s="1" t="s">
        <v>33</v>
      </c>
      <c r="M857" s="1">
        <f>orders[[#This Row],[Ship Date]]-orders[[#This Row],[Order Date]]</f>
        <v>1</v>
      </c>
      <c r="N857" s="1">
        <f>WEEKNUM(orders[[#This Row],[Order Date]])</f>
        <v>6</v>
      </c>
      <c r="O857" s="1" t="str" cm="1">
        <f t="array" ref="O857">_xlfn.IFS(orders[[#This Row],[Customer Gender]]="M","Male", orders[[#This Row],[Customer Gender]]="F","Female", orders[[#This Row],[Customer Gender]]="O","Other", TRUE,"Unknown")</f>
        <v>Unknown</v>
      </c>
    </row>
    <row r="858" spans="1:15">
      <c r="A858" s="1" t="s">
        <v>952</v>
      </c>
      <c r="B858" s="1" t="s">
        <v>44</v>
      </c>
      <c r="C858" s="1">
        <v>1</v>
      </c>
      <c r="D858" s="1">
        <v>16.8</v>
      </c>
      <c r="E858" s="11">
        <v>16.8</v>
      </c>
      <c r="F858" s="3">
        <v>45693</v>
      </c>
      <c r="G858" s="3">
        <v>45695</v>
      </c>
      <c r="H858" s="1" t="s">
        <v>27</v>
      </c>
      <c r="I858" s="1" t="s">
        <v>51</v>
      </c>
      <c r="J858" s="1">
        <v>4</v>
      </c>
      <c r="K858" s="1" t="s">
        <v>19</v>
      </c>
      <c r="L858" s="1" t="s">
        <v>33</v>
      </c>
      <c r="M858" s="1">
        <f>orders[[#This Row],[Ship Date]]-orders[[#This Row],[Order Date]]</f>
        <v>2</v>
      </c>
      <c r="N858" s="1">
        <f>WEEKNUM(orders[[#This Row],[Order Date]])</f>
        <v>6</v>
      </c>
      <c r="O858" s="1" t="str" cm="1">
        <f t="array" ref="O858">_xlfn.IFS(orders[[#This Row],[Customer Gender]]="M","Male", orders[[#This Row],[Customer Gender]]="F","Female", orders[[#This Row],[Customer Gender]]="O","Other", TRUE,"Unknown")</f>
        <v>Female</v>
      </c>
    </row>
    <row r="859" spans="1:15">
      <c r="A859" s="1" t="s">
        <v>953</v>
      </c>
      <c r="B859" s="1" t="s">
        <v>44</v>
      </c>
      <c r="C859" s="1">
        <v>6</v>
      </c>
      <c r="D859" s="1">
        <v>18.3</v>
      </c>
      <c r="E859" s="11">
        <v>109.80000000000001</v>
      </c>
      <c r="F859" s="3">
        <v>45693</v>
      </c>
      <c r="G859" s="3">
        <v>45696</v>
      </c>
      <c r="H859" s="1" t="s">
        <v>27</v>
      </c>
      <c r="I859" s="1" t="s">
        <v>18</v>
      </c>
      <c r="J859" s="1">
        <v>4</v>
      </c>
      <c r="K859" s="1" t="s">
        <v>19</v>
      </c>
      <c r="L859" s="1" t="s">
        <v>33</v>
      </c>
      <c r="M859" s="1">
        <f>orders[[#This Row],[Ship Date]]-orders[[#This Row],[Order Date]]</f>
        <v>3</v>
      </c>
      <c r="N859" s="1">
        <f>WEEKNUM(orders[[#This Row],[Order Date]])</f>
        <v>6</v>
      </c>
      <c r="O859" s="1" t="str" cm="1">
        <f t="array" ref="O859">_xlfn.IFS(orders[[#This Row],[Customer Gender]]="M","Male", orders[[#This Row],[Customer Gender]]="F","Female", orders[[#This Row],[Customer Gender]]="O","Other", TRUE,"Unknown")</f>
        <v>Female</v>
      </c>
    </row>
    <row r="860" spans="1:15">
      <c r="A860" s="1" t="s">
        <v>954</v>
      </c>
      <c r="B860" s="1" t="s">
        <v>146</v>
      </c>
      <c r="C860" s="1">
        <v>3</v>
      </c>
      <c r="D860" s="1">
        <v>55.9</v>
      </c>
      <c r="E860" s="11">
        <v>167.7</v>
      </c>
      <c r="F860" s="3">
        <v>45693</v>
      </c>
      <c r="G860" s="3">
        <v>45699</v>
      </c>
      <c r="H860" s="1" t="s">
        <v>23</v>
      </c>
      <c r="I860" s="1" t="s">
        <v>51</v>
      </c>
      <c r="J860" s="1">
        <v>3</v>
      </c>
      <c r="K860" s="1" t="s">
        <v>19</v>
      </c>
      <c r="L860" s="1" t="s">
        <v>33</v>
      </c>
      <c r="M860" s="1">
        <f>orders[[#This Row],[Ship Date]]-orders[[#This Row],[Order Date]]</f>
        <v>6</v>
      </c>
      <c r="N860" s="1">
        <f>WEEKNUM(orders[[#This Row],[Order Date]])</f>
        <v>6</v>
      </c>
      <c r="O860" s="1" t="str" cm="1">
        <f t="array" ref="O860">_xlfn.IFS(orders[[#This Row],[Customer Gender]]="M","Male", orders[[#This Row],[Customer Gender]]="F","Female", orders[[#This Row],[Customer Gender]]="O","Other", TRUE,"Unknown")</f>
        <v>Male</v>
      </c>
    </row>
    <row r="861" spans="1:15">
      <c r="A861" s="1" t="s">
        <v>955</v>
      </c>
      <c r="B861" s="1" t="s">
        <v>44</v>
      </c>
      <c r="C861" s="1">
        <v>3</v>
      </c>
      <c r="D861" s="1">
        <v>39.200000000000003</v>
      </c>
      <c r="E861" s="11">
        <v>117.60000000000001</v>
      </c>
      <c r="F861" s="3">
        <v>45693</v>
      </c>
      <c r="G861" s="3">
        <v>45695</v>
      </c>
      <c r="H861" s="1" t="s">
        <v>27</v>
      </c>
      <c r="I861" s="1" t="s">
        <v>18</v>
      </c>
      <c r="J861" s="1">
        <v>3</v>
      </c>
      <c r="K861" s="1" t="s">
        <v>19</v>
      </c>
      <c r="L861" s="1" t="s">
        <v>33</v>
      </c>
      <c r="M861" s="1">
        <f>orders[[#This Row],[Ship Date]]-orders[[#This Row],[Order Date]]</f>
        <v>2</v>
      </c>
      <c r="N861" s="1">
        <f>WEEKNUM(orders[[#This Row],[Order Date]])</f>
        <v>6</v>
      </c>
      <c r="O861" s="1" t="str" cm="1">
        <f t="array" ref="O861">_xlfn.IFS(orders[[#This Row],[Customer Gender]]="M","Male", orders[[#This Row],[Customer Gender]]="F","Female", orders[[#This Row],[Customer Gender]]="O","Other", TRUE,"Unknown")</f>
        <v>Female</v>
      </c>
    </row>
    <row r="862" spans="1:15">
      <c r="A862" s="1" t="s">
        <v>956</v>
      </c>
      <c r="B862" s="1" t="s">
        <v>123</v>
      </c>
      <c r="C862" s="1">
        <v>4</v>
      </c>
      <c r="D862" s="1">
        <v>66.5</v>
      </c>
      <c r="E862" s="11">
        <v>266</v>
      </c>
      <c r="F862" s="3">
        <v>45693</v>
      </c>
      <c r="G862" s="3">
        <v>45695</v>
      </c>
      <c r="H862" s="1" t="s">
        <v>17</v>
      </c>
      <c r="I862" s="1" t="s">
        <v>51</v>
      </c>
      <c r="J862" s="1">
        <v>3</v>
      </c>
      <c r="K862" s="1" t="s">
        <v>19</v>
      </c>
      <c r="L862" s="1" t="s">
        <v>33</v>
      </c>
      <c r="M862" s="1">
        <f>orders[[#This Row],[Ship Date]]-orders[[#This Row],[Order Date]]</f>
        <v>2</v>
      </c>
      <c r="N862" s="1">
        <f>WEEKNUM(orders[[#This Row],[Order Date]])</f>
        <v>6</v>
      </c>
      <c r="O862" s="1" t="str" cm="1">
        <f t="array" ref="O862">_xlfn.IFS(orders[[#This Row],[Customer Gender]]="M","Male", orders[[#This Row],[Customer Gender]]="F","Female", orders[[#This Row],[Customer Gender]]="O","Other", TRUE,"Unknown")</f>
        <v>Unknown</v>
      </c>
    </row>
    <row r="863" spans="1:15">
      <c r="A863" s="1" t="s">
        <v>957</v>
      </c>
      <c r="B863" s="1" t="s">
        <v>39</v>
      </c>
      <c r="C863" s="1">
        <v>6</v>
      </c>
      <c r="D863" s="1">
        <v>52.1</v>
      </c>
      <c r="E863" s="11">
        <v>312.60000000000002</v>
      </c>
      <c r="F863" s="3">
        <v>45693</v>
      </c>
      <c r="G863" s="3">
        <v>45695</v>
      </c>
      <c r="H863" s="1" t="s">
        <v>23</v>
      </c>
      <c r="I863" s="1" t="s">
        <v>35</v>
      </c>
      <c r="J863" s="1">
        <v>3</v>
      </c>
      <c r="K863" s="1" t="s">
        <v>19</v>
      </c>
      <c r="L863" s="1" t="s">
        <v>98</v>
      </c>
      <c r="M863" s="1">
        <f>orders[[#This Row],[Ship Date]]-orders[[#This Row],[Order Date]]</f>
        <v>2</v>
      </c>
      <c r="N863" s="1">
        <f>WEEKNUM(orders[[#This Row],[Order Date]])</f>
        <v>6</v>
      </c>
      <c r="O863" s="1" t="str" cm="1">
        <f t="array" ref="O863">_xlfn.IFS(orders[[#This Row],[Customer Gender]]="M","Male", orders[[#This Row],[Customer Gender]]="F","Female", orders[[#This Row],[Customer Gender]]="O","Other", TRUE,"Unknown")</f>
        <v>Male</v>
      </c>
    </row>
    <row r="864" spans="1:15">
      <c r="A864" s="1" t="s">
        <v>958</v>
      </c>
      <c r="B864" s="1" t="s">
        <v>44</v>
      </c>
      <c r="C864" s="1">
        <v>2</v>
      </c>
      <c r="D864" s="1">
        <v>19</v>
      </c>
      <c r="E864" s="11">
        <v>38</v>
      </c>
      <c r="F864" s="3">
        <v>45693</v>
      </c>
      <c r="G864" s="3">
        <v>45694</v>
      </c>
      <c r="H864" s="1" t="s">
        <v>23</v>
      </c>
      <c r="I864" s="1" t="s">
        <v>70</v>
      </c>
      <c r="J864" s="1">
        <v>5</v>
      </c>
      <c r="K864" s="1" t="s">
        <v>19</v>
      </c>
      <c r="L864" s="1" t="s">
        <v>55</v>
      </c>
      <c r="M864" s="1">
        <f>orders[[#This Row],[Ship Date]]-orders[[#This Row],[Order Date]]</f>
        <v>1</v>
      </c>
      <c r="N864" s="1">
        <f>WEEKNUM(orders[[#This Row],[Order Date]])</f>
        <v>6</v>
      </c>
      <c r="O864" s="1" t="str" cm="1">
        <f t="array" ref="O864">_xlfn.IFS(orders[[#This Row],[Customer Gender]]="M","Male", orders[[#This Row],[Customer Gender]]="F","Female", orders[[#This Row],[Customer Gender]]="O","Other", TRUE,"Unknown")</f>
        <v>Male</v>
      </c>
    </row>
    <row r="865" spans="1:15">
      <c r="A865" s="1" t="s">
        <v>959</v>
      </c>
      <c r="B865" s="1" t="s">
        <v>42</v>
      </c>
      <c r="C865" s="1">
        <v>3</v>
      </c>
      <c r="D865" s="1">
        <v>84.8</v>
      </c>
      <c r="E865" s="11">
        <v>254.39999999999998</v>
      </c>
      <c r="F865" s="3">
        <v>45693</v>
      </c>
      <c r="G865" s="3">
        <v>45695</v>
      </c>
      <c r="H865" s="1" t="s">
        <v>27</v>
      </c>
      <c r="I865" s="1" t="s">
        <v>40</v>
      </c>
      <c r="J865" s="1">
        <v>4</v>
      </c>
      <c r="K865" s="1" t="s">
        <v>19</v>
      </c>
      <c r="L865" s="1" t="s">
        <v>62</v>
      </c>
      <c r="M865" s="1">
        <f>orders[[#This Row],[Ship Date]]-orders[[#This Row],[Order Date]]</f>
        <v>2</v>
      </c>
      <c r="N865" s="1">
        <f>WEEKNUM(orders[[#This Row],[Order Date]])</f>
        <v>6</v>
      </c>
      <c r="O865" s="1" t="str" cm="1">
        <f t="array" ref="O865">_xlfn.IFS(orders[[#This Row],[Customer Gender]]="M","Male", orders[[#This Row],[Customer Gender]]="F","Female", orders[[#This Row],[Customer Gender]]="O","Other", TRUE,"Unknown")</f>
        <v>Female</v>
      </c>
    </row>
    <row r="866" spans="1:15">
      <c r="A866" s="1" t="s">
        <v>960</v>
      </c>
      <c r="B866" s="1" t="s">
        <v>26</v>
      </c>
      <c r="C866" s="1">
        <v>4</v>
      </c>
      <c r="D866" s="1">
        <v>63.9</v>
      </c>
      <c r="E866" s="11">
        <v>255.6</v>
      </c>
      <c r="F866" s="3">
        <v>45693</v>
      </c>
      <c r="G866" s="3">
        <v>45696</v>
      </c>
      <c r="H866" s="1" t="s">
        <v>27</v>
      </c>
      <c r="I866" s="1" t="s">
        <v>18</v>
      </c>
      <c r="J866" s="1">
        <v>4</v>
      </c>
      <c r="K866" s="1" t="s">
        <v>19</v>
      </c>
      <c r="L866" s="1" t="s">
        <v>62</v>
      </c>
      <c r="M866" s="1">
        <f>orders[[#This Row],[Ship Date]]-orders[[#This Row],[Order Date]]</f>
        <v>3</v>
      </c>
      <c r="N866" s="1">
        <f>WEEKNUM(orders[[#This Row],[Order Date]])</f>
        <v>6</v>
      </c>
      <c r="O866" s="1" t="str" cm="1">
        <f t="array" ref="O866">_xlfn.IFS(orders[[#This Row],[Customer Gender]]="M","Male", orders[[#This Row],[Customer Gender]]="F","Female", orders[[#This Row],[Customer Gender]]="O","Other", TRUE,"Unknown")</f>
        <v>Female</v>
      </c>
    </row>
    <row r="867" spans="1:15">
      <c r="A867" s="1" t="s">
        <v>961</v>
      </c>
      <c r="B867" s="1" t="s">
        <v>26</v>
      </c>
      <c r="C867" s="1">
        <v>3</v>
      </c>
      <c r="D867" s="1">
        <v>65.5</v>
      </c>
      <c r="E867" s="11">
        <v>196.5</v>
      </c>
      <c r="F867" s="3">
        <v>45693</v>
      </c>
      <c r="G867" s="3">
        <v>45693</v>
      </c>
      <c r="H867" s="1" t="s">
        <v>27</v>
      </c>
      <c r="I867" s="1" t="s">
        <v>35</v>
      </c>
      <c r="J867" s="1">
        <v>3</v>
      </c>
      <c r="K867" s="1" t="s">
        <v>19</v>
      </c>
      <c r="L867" s="1" t="s">
        <v>62</v>
      </c>
      <c r="M867" s="1">
        <f>orders[[#This Row],[Ship Date]]-orders[[#This Row],[Order Date]]</f>
        <v>0</v>
      </c>
      <c r="N867" s="1">
        <f>WEEKNUM(orders[[#This Row],[Order Date]])</f>
        <v>6</v>
      </c>
      <c r="O867" s="1" t="str" cm="1">
        <f t="array" ref="O867">_xlfn.IFS(orders[[#This Row],[Customer Gender]]="M","Male", orders[[#This Row],[Customer Gender]]="F","Female", orders[[#This Row],[Customer Gender]]="O","Other", TRUE,"Unknown")</f>
        <v>Female</v>
      </c>
    </row>
    <row r="868" spans="1:15">
      <c r="A868" s="1" t="s">
        <v>962</v>
      </c>
      <c r="B868" s="1" t="s">
        <v>69</v>
      </c>
      <c r="C868" s="1">
        <v>2</v>
      </c>
      <c r="D868" s="1">
        <v>116.2</v>
      </c>
      <c r="E868" s="11">
        <v>232.4</v>
      </c>
      <c r="F868" s="3">
        <v>45693</v>
      </c>
      <c r="G868" s="3">
        <v>45699</v>
      </c>
      <c r="H868" s="1" t="s">
        <v>23</v>
      </c>
      <c r="I868" s="1" t="s">
        <v>51</v>
      </c>
      <c r="J868" s="1">
        <v>4</v>
      </c>
      <c r="K868" s="1" t="s">
        <v>19</v>
      </c>
      <c r="L868" s="1" t="s">
        <v>103</v>
      </c>
      <c r="M868" s="1">
        <f>orders[[#This Row],[Ship Date]]-orders[[#This Row],[Order Date]]</f>
        <v>6</v>
      </c>
      <c r="N868" s="1">
        <f>WEEKNUM(orders[[#This Row],[Order Date]])</f>
        <v>6</v>
      </c>
      <c r="O868" s="1" t="str" cm="1">
        <f t="array" ref="O868">_xlfn.IFS(orders[[#This Row],[Customer Gender]]="M","Male", orders[[#This Row],[Customer Gender]]="F","Female", orders[[#This Row],[Customer Gender]]="O","Other", TRUE,"Unknown")</f>
        <v>Male</v>
      </c>
    </row>
    <row r="869" spans="1:15">
      <c r="A869" s="1" t="s">
        <v>963</v>
      </c>
      <c r="B869" s="1" t="s">
        <v>54</v>
      </c>
      <c r="C869" s="1">
        <v>4</v>
      </c>
      <c r="D869" s="1">
        <v>22.9</v>
      </c>
      <c r="E869" s="11">
        <v>91.6</v>
      </c>
      <c r="F869" s="3">
        <v>45693</v>
      </c>
      <c r="G869" s="3">
        <v>45695</v>
      </c>
      <c r="H869" s="1" t="s">
        <v>27</v>
      </c>
      <c r="I869" s="1" t="s">
        <v>40</v>
      </c>
      <c r="J869" s="1">
        <v>3</v>
      </c>
      <c r="K869" s="1" t="s">
        <v>19</v>
      </c>
      <c r="L869" s="1" t="s">
        <v>377</v>
      </c>
      <c r="M869" s="1">
        <f>orders[[#This Row],[Ship Date]]-orders[[#This Row],[Order Date]]</f>
        <v>2</v>
      </c>
      <c r="N869" s="1">
        <f>WEEKNUM(orders[[#This Row],[Order Date]])</f>
        <v>6</v>
      </c>
      <c r="O869" s="1" t="str" cm="1">
        <f t="array" ref="O869">_xlfn.IFS(orders[[#This Row],[Customer Gender]]="M","Male", orders[[#This Row],[Customer Gender]]="F","Female", orders[[#This Row],[Customer Gender]]="O","Other", TRUE,"Unknown")</f>
        <v>Female</v>
      </c>
    </row>
    <row r="870" spans="1:15">
      <c r="A870" s="1" t="s">
        <v>964</v>
      </c>
      <c r="B870" s="1" t="s">
        <v>54</v>
      </c>
      <c r="C870" s="1">
        <v>3</v>
      </c>
      <c r="D870" s="1">
        <v>53.7</v>
      </c>
      <c r="E870" s="11">
        <v>161.10000000000002</v>
      </c>
      <c r="F870" s="3">
        <v>45693</v>
      </c>
      <c r="G870" s="3">
        <v>45694</v>
      </c>
      <c r="H870" s="1" t="s">
        <v>23</v>
      </c>
      <c r="I870" s="1" t="s">
        <v>18</v>
      </c>
      <c r="J870" s="1">
        <v>2</v>
      </c>
      <c r="K870" s="1" t="s">
        <v>19</v>
      </c>
      <c r="L870" s="1" t="s">
        <v>108</v>
      </c>
      <c r="M870" s="1">
        <f>orders[[#This Row],[Ship Date]]-orders[[#This Row],[Order Date]]</f>
        <v>1</v>
      </c>
      <c r="N870" s="1">
        <f>WEEKNUM(orders[[#This Row],[Order Date]])</f>
        <v>6</v>
      </c>
      <c r="O870" s="1" t="str" cm="1">
        <f t="array" ref="O870">_xlfn.IFS(orders[[#This Row],[Customer Gender]]="M","Male", orders[[#This Row],[Customer Gender]]="F","Female", orders[[#This Row],[Customer Gender]]="O","Other", TRUE,"Unknown")</f>
        <v>Male</v>
      </c>
    </row>
    <row r="871" spans="1:15">
      <c r="A871" s="1" t="s">
        <v>965</v>
      </c>
      <c r="B871" s="1" t="s">
        <v>39</v>
      </c>
      <c r="C871" s="1">
        <v>5</v>
      </c>
      <c r="D871" s="1">
        <v>43.2</v>
      </c>
      <c r="E871" s="11">
        <v>216</v>
      </c>
      <c r="F871" s="3">
        <v>45693</v>
      </c>
      <c r="G871" s="3">
        <v>45695</v>
      </c>
      <c r="H871" s="1" t="s">
        <v>27</v>
      </c>
      <c r="I871" s="1" t="s">
        <v>18</v>
      </c>
      <c r="J871" s="1">
        <v>4</v>
      </c>
      <c r="K871" s="1" t="s">
        <v>19</v>
      </c>
      <c r="L871" s="1" t="s">
        <v>110</v>
      </c>
      <c r="M871" s="1">
        <f>orders[[#This Row],[Ship Date]]-orders[[#This Row],[Order Date]]</f>
        <v>2</v>
      </c>
      <c r="N871" s="1">
        <f>WEEKNUM(orders[[#This Row],[Order Date]])</f>
        <v>6</v>
      </c>
      <c r="O871" s="1" t="str" cm="1">
        <f t="array" ref="O871">_xlfn.IFS(orders[[#This Row],[Customer Gender]]="M","Male", orders[[#This Row],[Customer Gender]]="F","Female", orders[[#This Row],[Customer Gender]]="O","Other", TRUE,"Unknown")</f>
        <v>Female</v>
      </c>
    </row>
    <row r="872" spans="1:15">
      <c r="A872" s="1" t="s">
        <v>966</v>
      </c>
      <c r="B872" s="1" t="s">
        <v>22</v>
      </c>
      <c r="C872" s="1">
        <v>3</v>
      </c>
      <c r="D872" s="1">
        <v>84.5</v>
      </c>
      <c r="E872" s="11">
        <v>253.5</v>
      </c>
      <c r="F872" s="3">
        <v>45693</v>
      </c>
      <c r="G872" s="3">
        <v>45695</v>
      </c>
      <c r="H872" s="1" t="s">
        <v>23</v>
      </c>
      <c r="I872" s="1" t="s">
        <v>40</v>
      </c>
      <c r="J872" s="1">
        <v>5</v>
      </c>
      <c r="K872" s="1" t="s">
        <v>19</v>
      </c>
      <c r="L872" s="1" t="s">
        <v>967</v>
      </c>
      <c r="M872" s="1">
        <f>orders[[#This Row],[Ship Date]]-orders[[#This Row],[Order Date]]</f>
        <v>2</v>
      </c>
      <c r="N872" s="1">
        <f>WEEKNUM(orders[[#This Row],[Order Date]])</f>
        <v>6</v>
      </c>
      <c r="O872" s="1" t="str" cm="1">
        <f t="array" ref="O872">_xlfn.IFS(orders[[#This Row],[Customer Gender]]="M","Male", orders[[#This Row],[Customer Gender]]="F","Female", orders[[#This Row],[Customer Gender]]="O","Other", TRUE,"Unknown")</f>
        <v>Male</v>
      </c>
    </row>
    <row r="873" spans="1:15">
      <c r="A873" s="1" t="s">
        <v>968</v>
      </c>
      <c r="B873" s="1" t="s">
        <v>30</v>
      </c>
      <c r="C873" s="1">
        <v>2</v>
      </c>
      <c r="D873" s="1">
        <v>42.2</v>
      </c>
      <c r="E873" s="11">
        <v>84.4</v>
      </c>
      <c r="F873" s="3">
        <v>45693</v>
      </c>
      <c r="G873" s="3">
        <v>45694</v>
      </c>
      <c r="H873" s="1" t="s">
        <v>27</v>
      </c>
      <c r="I873" s="1" t="s">
        <v>35</v>
      </c>
      <c r="J873" s="1">
        <v>5</v>
      </c>
      <c r="K873" s="1" t="s">
        <v>19</v>
      </c>
      <c r="L873" s="1" t="s">
        <v>24</v>
      </c>
      <c r="M873" s="1">
        <f>orders[[#This Row],[Ship Date]]-orders[[#This Row],[Order Date]]</f>
        <v>1</v>
      </c>
      <c r="N873" s="1">
        <f>WEEKNUM(orders[[#This Row],[Order Date]])</f>
        <v>6</v>
      </c>
      <c r="O873" s="1" t="str" cm="1">
        <f t="array" ref="O873">_xlfn.IFS(orders[[#This Row],[Customer Gender]]="M","Male", orders[[#This Row],[Customer Gender]]="F","Female", orders[[#This Row],[Customer Gender]]="O","Other", TRUE,"Unknown")</f>
        <v>Female</v>
      </c>
    </row>
    <row r="874" spans="1:15">
      <c r="A874" s="1" t="s">
        <v>969</v>
      </c>
      <c r="B874" s="1" t="s">
        <v>26</v>
      </c>
      <c r="C874" s="1">
        <v>6</v>
      </c>
      <c r="D874" s="1">
        <v>94.7</v>
      </c>
      <c r="E874" s="11">
        <v>568.20000000000005</v>
      </c>
      <c r="F874" s="3">
        <v>45693</v>
      </c>
      <c r="G874" s="3">
        <v>45696</v>
      </c>
      <c r="H874" s="1" t="s">
        <v>27</v>
      </c>
      <c r="I874" s="1" t="s">
        <v>35</v>
      </c>
      <c r="J874" s="1">
        <v>5</v>
      </c>
      <c r="K874" s="1" t="s">
        <v>19</v>
      </c>
      <c r="L874" s="1" t="s">
        <v>28</v>
      </c>
      <c r="M874" s="1">
        <f>orders[[#This Row],[Ship Date]]-orders[[#This Row],[Order Date]]</f>
        <v>3</v>
      </c>
      <c r="N874" s="1">
        <f>WEEKNUM(orders[[#This Row],[Order Date]])</f>
        <v>6</v>
      </c>
      <c r="O874" s="1" t="str" cm="1">
        <f t="array" ref="O874">_xlfn.IFS(orders[[#This Row],[Customer Gender]]="M","Male", orders[[#This Row],[Customer Gender]]="F","Female", orders[[#This Row],[Customer Gender]]="O","Other", TRUE,"Unknown")</f>
        <v>Female</v>
      </c>
    </row>
    <row r="875" spans="1:15">
      <c r="A875" s="1" t="s">
        <v>970</v>
      </c>
      <c r="B875" s="1" t="s">
        <v>44</v>
      </c>
      <c r="C875" s="1">
        <v>18</v>
      </c>
      <c r="D875" s="1">
        <v>16.7</v>
      </c>
      <c r="E875" s="11">
        <v>300.59999999999997</v>
      </c>
      <c r="F875" s="3">
        <v>45693</v>
      </c>
      <c r="G875" s="3">
        <v>45705</v>
      </c>
      <c r="H875" s="1" t="s">
        <v>27</v>
      </c>
      <c r="I875" s="1" t="s">
        <v>18</v>
      </c>
      <c r="J875" s="1">
        <v>5</v>
      </c>
      <c r="K875" s="1" t="s">
        <v>19</v>
      </c>
      <c r="L875" s="1" t="s">
        <v>28</v>
      </c>
      <c r="M875" s="1">
        <f>orders[[#This Row],[Ship Date]]-orders[[#This Row],[Order Date]]</f>
        <v>12</v>
      </c>
      <c r="N875" s="1">
        <f>WEEKNUM(orders[[#This Row],[Order Date]])</f>
        <v>6</v>
      </c>
      <c r="O875" s="1" t="str" cm="1">
        <f t="array" ref="O875">_xlfn.IFS(orders[[#This Row],[Customer Gender]]="M","Male", orders[[#This Row],[Customer Gender]]="F","Female", orders[[#This Row],[Customer Gender]]="O","Other", TRUE,"Unknown")</f>
        <v>Female</v>
      </c>
    </row>
    <row r="876" spans="1:15">
      <c r="A876" s="1" t="s">
        <v>971</v>
      </c>
      <c r="B876" s="1" t="s">
        <v>26</v>
      </c>
      <c r="C876" s="1">
        <v>2</v>
      </c>
      <c r="D876" s="1">
        <v>83.6</v>
      </c>
      <c r="E876" s="11">
        <v>167.2</v>
      </c>
      <c r="F876" s="3">
        <v>45693</v>
      </c>
      <c r="G876" s="3">
        <v>45699</v>
      </c>
      <c r="H876" s="1" t="s">
        <v>27</v>
      </c>
      <c r="I876" s="1" t="s">
        <v>35</v>
      </c>
      <c r="J876" s="1">
        <v>4</v>
      </c>
      <c r="K876" s="1" t="s">
        <v>19</v>
      </c>
      <c r="L876" s="1" t="s">
        <v>33</v>
      </c>
      <c r="M876" s="1">
        <f>orders[[#This Row],[Ship Date]]-orders[[#This Row],[Order Date]]</f>
        <v>6</v>
      </c>
      <c r="N876" s="1">
        <f>WEEKNUM(orders[[#This Row],[Order Date]])</f>
        <v>6</v>
      </c>
      <c r="O876" s="1" t="str" cm="1">
        <f t="array" ref="O876">_xlfn.IFS(orders[[#This Row],[Customer Gender]]="M","Male", orders[[#This Row],[Customer Gender]]="F","Female", orders[[#This Row],[Customer Gender]]="O","Other", TRUE,"Unknown")</f>
        <v>Female</v>
      </c>
    </row>
    <row r="877" spans="1:15">
      <c r="A877" s="1" t="s">
        <v>972</v>
      </c>
      <c r="B877" s="1" t="s">
        <v>42</v>
      </c>
      <c r="C877" s="1">
        <v>6</v>
      </c>
      <c r="D877" s="1">
        <v>33.6</v>
      </c>
      <c r="E877" s="11">
        <v>201.60000000000002</v>
      </c>
      <c r="F877" s="3">
        <v>45694</v>
      </c>
      <c r="G877" s="3">
        <v>45695</v>
      </c>
      <c r="H877" s="1" t="s">
        <v>27</v>
      </c>
      <c r="I877" s="1" t="s">
        <v>51</v>
      </c>
      <c r="J877" s="1">
        <v>4</v>
      </c>
      <c r="K877" s="1" t="s">
        <v>19</v>
      </c>
      <c r="L877" s="1" t="s">
        <v>33</v>
      </c>
      <c r="M877" s="1">
        <f>orders[[#This Row],[Ship Date]]-orders[[#This Row],[Order Date]]</f>
        <v>1</v>
      </c>
      <c r="N877" s="1">
        <f>WEEKNUM(orders[[#This Row],[Order Date]])</f>
        <v>6</v>
      </c>
      <c r="O877" s="1" t="str" cm="1">
        <f t="array" ref="O877">_xlfn.IFS(orders[[#This Row],[Customer Gender]]="M","Male", orders[[#This Row],[Customer Gender]]="F","Female", orders[[#This Row],[Customer Gender]]="O","Other", TRUE,"Unknown")</f>
        <v>Female</v>
      </c>
    </row>
    <row r="878" spans="1:15">
      <c r="A878" s="1" t="s">
        <v>973</v>
      </c>
      <c r="B878" s="1" t="s">
        <v>42</v>
      </c>
      <c r="C878" s="1">
        <v>2</v>
      </c>
      <c r="D878" s="1">
        <v>64.7</v>
      </c>
      <c r="E878" s="11">
        <v>129.4</v>
      </c>
      <c r="F878" s="3">
        <v>45694</v>
      </c>
      <c r="G878" s="3">
        <v>45696</v>
      </c>
      <c r="H878" s="1" t="s">
        <v>23</v>
      </c>
      <c r="I878" s="1" t="s">
        <v>35</v>
      </c>
      <c r="J878" s="1">
        <v>5</v>
      </c>
      <c r="K878" s="1" t="s">
        <v>19</v>
      </c>
      <c r="L878" s="1" t="s">
        <v>33</v>
      </c>
      <c r="M878" s="1">
        <f>orders[[#This Row],[Ship Date]]-orders[[#This Row],[Order Date]]</f>
        <v>2</v>
      </c>
      <c r="N878" s="1">
        <f>WEEKNUM(orders[[#This Row],[Order Date]])</f>
        <v>6</v>
      </c>
      <c r="O878" s="1" t="str" cm="1">
        <f t="array" ref="O878">_xlfn.IFS(orders[[#This Row],[Customer Gender]]="M","Male", orders[[#This Row],[Customer Gender]]="F","Female", orders[[#This Row],[Customer Gender]]="O","Other", TRUE,"Unknown")</f>
        <v>Male</v>
      </c>
    </row>
    <row r="879" spans="1:15">
      <c r="A879" s="1" t="s">
        <v>974</v>
      </c>
      <c r="B879" s="1" t="s">
        <v>16</v>
      </c>
      <c r="C879" s="1">
        <v>3</v>
      </c>
      <c r="D879" s="1">
        <v>15.7</v>
      </c>
      <c r="E879" s="11">
        <v>47.099999999999994</v>
      </c>
      <c r="F879" s="3">
        <v>45694</v>
      </c>
      <c r="G879" s="3">
        <v>45700</v>
      </c>
      <c r="H879" s="1" t="s">
        <v>27</v>
      </c>
      <c r="I879" s="1" t="s">
        <v>18</v>
      </c>
      <c r="J879" s="1">
        <v>4</v>
      </c>
      <c r="K879" s="1" t="s">
        <v>19</v>
      </c>
      <c r="L879" s="1" t="s">
        <v>33</v>
      </c>
      <c r="M879" s="1">
        <f>orders[[#This Row],[Ship Date]]-orders[[#This Row],[Order Date]]</f>
        <v>6</v>
      </c>
      <c r="N879" s="1">
        <f>WEEKNUM(orders[[#This Row],[Order Date]])</f>
        <v>6</v>
      </c>
      <c r="O879" s="1" t="str" cm="1">
        <f t="array" ref="O879">_xlfn.IFS(orders[[#This Row],[Customer Gender]]="M","Male", orders[[#This Row],[Customer Gender]]="F","Female", orders[[#This Row],[Customer Gender]]="O","Other", TRUE,"Unknown")</f>
        <v>Female</v>
      </c>
    </row>
    <row r="880" spans="1:15">
      <c r="A880" s="1" t="s">
        <v>975</v>
      </c>
      <c r="B880" s="1" t="s">
        <v>123</v>
      </c>
      <c r="C880" s="1">
        <v>6</v>
      </c>
      <c r="D880" s="1">
        <v>49.4</v>
      </c>
      <c r="E880" s="11">
        <v>296.39999999999998</v>
      </c>
      <c r="F880" s="3">
        <v>45694</v>
      </c>
      <c r="G880" s="3">
        <v>45694</v>
      </c>
      <c r="H880" s="1" t="s">
        <v>23</v>
      </c>
      <c r="I880" s="1" t="s">
        <v>35</v>
      </c>
      <c r="J880" s="1">
        <v>4</v>
      </c>
      <c r="K880" s="1" t="s">
        <v>19</v>
      </c>
      <c r="L880" s="1" t="s">
        <v>33</v>
      </c>
      <c r="M880" s="1">
        <f>orders[[#This Row],[Ship Date]]-orders[[#This Row],[Order Date]]</f>
        <v>0</v>
      </c>
      <c r="N880" s="1">
        <f>WEEKNUM(orders[[#This Row],[Order Date]])</f>
        <v>6</v>
      </c>
      <c r="O880" s="1" t="str" cm="1">
        <f t="array" ref="O880">_xlfn.IFS(orders[[#This Row],[Customer Gender]]="M","Male", orders[[#This Row],[Customer Gender]]="F","Female", orders[[#This Row],[Customer Gender]]="O","Other", TRUE,"Unknown")</f>
        <v>Male</v>
      </c>
    </row>
    <row r="881" spans="1:15">
      <c r="A881" s="1" t="s">
        <v>976</v>
      </c>
      <c r="B881" s="1" t="s">
        <v>54</v>
      </c>
      <c r="C881" s="1">
        <v>6</v>
      </c>
      <c r="D881" s="1">
        <v>37</v>
      </c>
      <c r="E881" s="11">
        <v>222</v>
      </c>
      <c r="F881" s="3">
        <v>45694</v>
      </c>
      <c r="G881" s="3">
        <v>45697</v>
      </c>
      <c r="H881" s="1" t="s">
        <v>27</v>
      </c>
      <c r="I881" s="1" t="s">
        <v>35</v>
      </c>
      <c r="J881" s="1">
        <v>5</v>
      </c>
      <c r="K881" s="1" t="s">
        <v>19</v>
      </c>
      <c r="L881" s="1" t="s">
        <v>33</v>
      </c>
      <c r="M881" s="1">
        <f>orders[[#This Row],[Ship Date]]-orders[[#This Row],[Order Date]]</f>
        <v>3</v>
      </c>
      <c r="N881" s="1">
        <f>WEEKNUM(orders[[#This Row],[Order Date]])</f>
        <v>6</v>
      </c>
      <c r="O881" s="1" t="str" cm="1">
        <f t="array" ref="O881">_xlfn.IFS(orders[[#This Row],[Customer Gender]]="M","Male", orders[[#This Row],[Customer Gender]]="F","Female", orders[[#This Row],[Customer Gender]]="O","Other", TRUE,"Unknown")</f>
        <v>Female</v>
      </c>
    </row>
    <row r="882" spans="1:15">
      <c r="A882" s="1" t="s">
        <v>977</v>
      </c>
      <c r="B882" s="1" t="s">
        <v>26</v>
      </c>
      <c r="C882" s="1">
        <v>2</v>
      </c>
      <c r="D882" s="1">
        <v>83.7</v>
      </c>
      <c r="E882" s="11">
        <v>167.4</v>
      </c>
      <c r="F882" s="3">
        <v>45694</v>
      </c>
      <c r="G882" s="3">
        <v>45696</v>
      </c>
      <c r="H882" s="1" t="s">
        <v>27</v>
      </c>
      <c r="I882" s="1" t="s">
        <v>51</v>
      </c>
      <c r="J882" s="1">
        <v>5</v>
      </c>
      <c r="K882" s="1" t="s">
        <v>19</v>
      </c>
      <c r="L882" s="1" t="s">
        <v>33</v>
      </c>
      <c r="M882" s="1">
        <f>orders[[#This Row],[Ship Date]]-orders[[#This Row],[Order Date]]</f>
        <v>2</v>
      </c>
      <c r="N882" s="1">
        <f>WEEKNUM(orders[[#This Row],[Order Date]])</f>
        <v>6</v>
      </c>
      <c r="O882" s="1" t="str" cm="1">
        <f t="array" ref="O882">_xlfn.IFS(orders[[#This Row],[Customer Gender]]="M","Male", orders[[#This Row],[Customer Gender]]="F","Female", orders[[#This Row],[Customer Gender]]="O","Other", TRUE,"Unknown")</f>
        <v>Female</v>
      </c>
    </row>
    <row r="883" spans="1:15">
      <c r="A883" s="1" t="s">
        <v>978</v>
      </c>
      <c r="B883" s="1" t="s">
        <v>22</v>
      </c>
      <c r="C883" s="1">
        <v>5</v>
      </c>
      <c r="D883" s="1">
        <v>35.1</v>
      </c>
      <c r="E883" s="11">
        <v>175.5</v>
      </c>
      <c r="F883" s="3">
        <v>45694</v>
      </c>
      <c r="G883" s="3">
        <v>45695</v>
      </c>
      <c r="H883" s="1" t="s">
        <v>27</v>
      </c>
      <c r="I883" s="1" t="s">
        <v>18</v>
      </c>
      <c r="J883" s="1">
        <v>4</v>
      </c>
      <c r="K883" s="1" t="s">
        <v>19</v>
      </c>
      <c r="L883" s="1" t="s">
        <v>33</v>
      </c>
      <c r="M883" s="1">
        <f>orders[[#This Row],[Ship Date]]-orders[[#This Row],[Order Date]]</f>
        <v>1</v>
      </c>
      <c r="N883" s="1">
        <f>WEEKNUM(orders[[#This Row],[Order Date]])</f>
        <v>6</v>
      </c>
      <c r="O883" s="1" t="str" cm="1">
        <f t="array" ref="O883">_xlfn.IFS(orders[[#This Row],[Customer Gender]]="M","Male", orders[[#This Row],[Customer Gender]]="F","Female", orders[[#This Row],[Customer Gender]]="O","Other", TRUE,"Unknown")</f>
        <v>Female</v>
      </c>
    </row>
    <row r="884" spans="1:15">
      <c r="A884" s="1" t="s">
        <v>979</v>
      </c>
      <c r="B884" s="1" t="s">
        <v>128</v>
      </c>
      <c r="C884" s="1">
        <v>8</v>
      </c>
      <c r="D884" s="1">
        <v>74</v>
      </c>
      <c r="E884" s="11">
        <v>592</v>
      </c>
      <c r="F884" s="3">
        <v>45694</v>
      </c>
      <c r="G884" s="3">
        <v>45695</v>
      </c>
      <c r="H884" s="1" t="s">
        <v>27</v>
      </c>
      <c r="I884" s="1" t="s">
        <v>70</v>
      </c>
      <c r="J884" s="1">
        <v>4</v>
      </c>
      <c r="K884" s="1" t="s">
        <v>19</v>
      </c>
      <c r="L884" s="1" t="s">
        <v>364</v>
      </c>
      <c r="M884" s="1">
        <f>orders[[#This Row],[Ship Date]]-orders[[#This Row],[Order Date]]</f>
        <v>1</v>
      </c>
      <c r="N884" s="1">
        <f>WEEKNUM(orders[[#This Row],[Order Date]])</f>
        <v>6</v>
      </c>
      <c r="O884" s="1" t="str" cm="1">
        <f t="array" ref="O884">_xlfn.IFS(orders[[#This Row],[Customer Gender]]="M","Male", orders[[#This Row],[Customer Gender]]="F","Female", orders[[#This Row],[Customer Gender]]="O","Other", TRUE,"Unknown")</f>
        <v>Female</v>
      </c>
    </row>
    <row r="885" spans="1:15">
      <c r="A885" s="1" t="s">
        <v>980</v>
      </c>
      <c r="B885" s="1" t="s">
        <v>39</v>
      </c>
      <c r="C885" s="1">
        <v>24</v>
      </c>
      <c r="D885" s="1">
        <v>55.5</v>
      </c>
      <c r="E885" s="11">
        <v>1332</v>
      </c>
      <c r="F885" s="3">
        <v>45694</v>
      </c>
      <c r="G885" s="3">
        <v>45697</v>
      </c>
      <c r="H885" s="1" t="s">
        <v>23</v>
      </c>
      <c r="I885" s="1" t="s">
        <v>51</v>
      </c>
      <c r="J885" s="1">
        <v>4</v>
      </c>
      <c r="K885" s="1" t="s">
        <v>19</v>
      </c>
      <c r="L885" s="1" t="s">
        <v>802</v>
      </c>
      <c r="M885" s="1">
        <f>orders[[#This Row],[Ship Date]]-orders[[#This Row],[Order Date]]</f>
        <v>3</v>
      </c>
      <c r="N885" s="1">
        <f>WEEKNUM(orders[[#This Row],[Order Date]])</f>
        <v>6</v>
      </c>
      <c r="O885" s="1" t="str" cm="1">
        <f t="array" ref="O885">_xlfn.IFS(orders[[#This Row],[Customer Gender]]="M","Male", orders[[#This Row],[Customer Gender]]="F","Female", orders[[#This Row],[Customer Gender]]="O","Other", TRUE,"Unknown")</f>
        <v>Male</v>
      </c>
    </row>
    <row r="886" spans="1:15">
      <c r="A886" s="1" t="s">
        <v>981</v>
      </c>
      <c r="B886" s="1" t="s">
        <v>67</v>
      </c>
      <c r="C886" s="1">
        <v>2</v>
      </c>
      <c r="D886" s="1">
        <v>38.9</v>
      </c>
      <c r="E886" s="11">
        <v>77.8</v>
      </c>
      <c r="F886" s="3">
        <v>45694</v>
      </c>
      <c r="G886" s="3">
        <v>45696</v>
      </c>
      <c r="H886" s="1" t="s">
        <v>27</v>
      </c>
      <c r="I886" s="1" t="s">
        <v>35</v>
      </c>
      <c r="J886" s="1">
        <v>5</v>
      </c>
      <c r="K886" s="1" t="s">
        <v>19</v>
      </c>
      <c r="L886" s="1" t="s">
        <v>188</v>
      </c>
      <c r="M886" s="1">
        <f>orders[[#This Row],[Ship Date]]-orders[[#This Row],[Order Date]]</f>
        <v>2</v>
      </c>
      <c r="N886" s="1">
        <f>WEEKNUM(orders[[#This Row],[Order Date]])</f>
        <v>6</v>
      </c>
      <c r="O886" s="1" t="str" cm="1">
        <f t="array" ref="O886">_xlfn.IFS(orders[[#This Row],[Customer Gender]]="M","Male", orders[[#This Row],[Customer Gender]]="F","Female", orders[[#This Row],[Customer Gender]]="O","Other", TRUE,"Unknown")</f>
        <v>Female</v>
      </c>
    </row>
    <row r="887" spans="1:15">
      <c r="A887" s="1" t="s">
        <v>982</v>
      </c>
      <c r="B887" s="1" t="s">
        <v>128</v>
      </c>
      <c r="C887" s="1">
        <v>2</v>
      </c>
      <c r="D887" s="1">
        <v>64.599999999999994</v>
      </c>
      <c r="E887" s="11">
        <v>129.19999999999999</v>
      </c>
      <c r="F887" s="3">
        <v>45694</v>
      </c>
      <c r="G887" s="3">
        <v>45701</v>
      </c>
      <c r="H887" s="1" t="s">
        <v>23</v>
      </c>
      <c r="I887" s="1" t="s">
        <v>40</v>
      </c>
      <c r="J887" s="1">
        <v>3</v>
      </c>
      <c r="K887" s="1" t="s">
        <v>19</v>
      </c>
      <c r="L887" s="1" t="s">
        <v>188</v>
      </c>
      <c r="M887" s="1">
        <f>orders[[#This Row],[Ship Date]]-orders[[#This Row],[Order Date]]</f>
        <v>7</v>
      </c>
      <c r="N887" s="1">
        <f>WEEKNUM(orders[[#This Row],[Order Date]])</f>
        <v>6</v>
      </c>
      <c r="O887" s="1" t="str" cm="1">
        <f t="array" ref="O887">_xlfn.IFS(orders[[#This Row],[Customer Gender]]="M","Male", orders[[#This Row],[Customer Gender]]="F","Female", orders[[#This Row],[Customer Gender]]="O","Other", TRUE,"Unknown")</f>
        <v>Male</v>
      </c>
    </row>
    <row r="888" spans="1:15">
      <c r="A888" s="1" t="s">
        <v>983</v>
      </c>
      <c r="B888" s="1" t="s">
        <v>26</v>
      </c>
      <c r="C888" s="1">
        <v>3</v>
      </c>
      <c r="D888" s="1">
        <v>95.3</v>
      </c>
      <c r="E888" s="11">
        <v>285.89999999999998</v>
      </c>
      <c r="F888" s="3">
        <v>45694</v>
      </c>
      <c r="G888" s="3">
        <v>45695</v>
      </c>
      <c r="H888" s="1" t="s">
        <v>23</v>
      </c>
      <c r="I888" s="1" t="s">
        <v>18</v>
      </c>
      <c r="J888" s="1">
        <v>4</v>
      </c>
      <c r="K888" s="1" t="s">
        <v>19</v>
      </c>
      <c r="L888" s="1" t="s">
        <v>52</v>
      </c>
      <c r="M888" s="1">
        <f>orders[[#This Row],[Ship Date]]-orders[[#This Row],[Order Date]]</f>
        <v>1</v>
      </c>
      <c r="N888" s="1">
        <f>WEEKNUM(orders[[#This Row],[Order Date]])</f>
        <v>6</v>
      </c>
      <c r="O888" s="1" t="str" cm="1">
        <f t="array" ref="O888">_xlfn.IFS(orders[[#This Row],[Customer Gender]]="M","Male", orders[[#This Row],[Customer Gender]]="F","Female", orders[[#This Row],[Customer Gender]]="O","Other", TRUE,"Unknown")</f>
        <v>Male</v>
      </c>
    </row>
    <row r="889" spans="1:15">
      <c r="A889" s="1" t="s">
        <v>984</v>
      </c>
      <c r="B889" s="1" t="s">
        <v>76</v>
      </c>
      <c r="C889" s="1">
        <v>3</v>
      </c>
      <c r="D889" s="1">
        <v>25.8</v>
      </c>
      <c r="E889" s="11">
        <v>77.400000000000006</v>
      </c>
      <c r="F889" s="3">
        <v>45694</v>
      </c>
      <c r="G889" s="3">
        <v>45695</v>
      </c>
      <c r="H889" s="1" t="s">
        <v>27</v>
      </c>
      <c r="I889" s="1" t="s">
        <v>35</v>
      </c>
      <c r="J889" s="1">
        <v>3</v>
      </c>
      <c r="K889" s="1" t="s">
        <v>19</v>
      </c>
      <c r="L889" s="1" t="s">
        <v>55</v>
      </c>
      <c r="M889" s="1">
        <f>orders[[#This Row],[Ship Date]]-orders[[#This Row],[Order Date]]</f>
        <v>1</v>
      </c>
      <c r="N889" s="1">
        <f>WEEKNUM(orders[[#This Row],[Order Date]])</f>
        <v>6</v>
      </c>
      <c r="O889" s="1" t="str" cm="1">
        <f t="array" ref="O889">_xlfn.IFS(orders[[#This Row],[Customer Gender]]="M","Male", orders[[#This Row],[Customer Gender]]="F","Female", orders[[#This Row],[Customer Gender]]="O","Other", TRUE,"Unknown")</f>
        <v>Female</v>
      </c>
    </row>
    <row r="890" spans="1:15">
      <c r="A890" s="1" t="s">
        <v>985</v>
      </c>
      <c r="B890" s="1" t="s">
        <v>16</v>
      </c>
      <c r="C890" s="1">
        <v>2</v>
      </c>
      <c r="D890" s="1">
        <v>11.6</v>
      </c>
      <c r="E890" s="11">
        <v>23.2</v>
      </c>
      <c r="F890" s="3">
        <v>45694</v>
      </c>
      <c r="G890" s="3">
        <v>45698</v>
      </c>
      <c r="H890" s="1" t="s">
        <v>27</v>
      </c>
      <c r="I890" s="1" t="s">
        <v>35</v>
      </c>
      <c r="J890" s="1">
        <v>3</v>
      </c>
      <c r="K890" s="1" t="s">
        <v>19</v>
      </c>
      <c r="L890" s="1" t="s">
        <v>55</v>
      </c>
      <c r="M890" s="1">
        <f>orders[[#This Row],[Ship Date]]-orders[[#This Row],[Order Date]]</f>
        <v>4</v>
      </c>
      <c r="N890" s="1">
        <f>WEEKNUM(orders[[#This Row],[Order Date]])</f>
        <v>6</v>
      </c>
      <c r="O890" s="1" t="str" cm="1">
        <f t="array" ref="O890">_xlfn.IFS(orders[[#This Row],[Customer Gender]]="M","Male", orders[[#This Row],[Customer Gender]]="F","Female", orders[[#This Row],[Customer Gender]]="O","Other", TRUE,"Unknown")</f>
        <v>Female</v>
      </c>
    </row>
    <row r="891" spans="1:15">
      <c r="A891" s="1" t="s">
        <v>986</v>
      </c>
      <c r="B891" s="1" t="s">
        <v>42</v>
      </c>
      <c r="C891" s="1">
        <v>1</v>
      </c>
      <c r="D891" s="1">
        <v>52.3</v>
      </c>
      <c r="E891" s="11">
        <v>52.3</v>
      </c>
      <c r="F891" s="3">
        <v>45694</v>
      </c>
      <c r="G891" s="3">
        <v>45695</v>
      </c>
      <c r="H891" s="1" t="s">
        <v>27</v>
      </c>
      <c r="I891" s="1" t="s">
        <v>35</v>
      </c>
      <c r="J891" s="1">
        <v>4</v>
      </c>
      <c r="K891" s="1" t="s">
        <v>19</v>
      </c>
      <c r="L891" s="1" t="s">
        <v>62</v>
      </c>
      <c r="M891" s="1">
        <f>orders[[#This Row],[Ship Date]]-orders[[#This Row],[Order Date]]</f>
        <v>1</v>
      </c>
      <c r="N891" s="1">
        <f>WEEKNUM(orders[[#This Row],[Order Date]])</f>
        <v>6</v>
      </c>
      <c r="O891" s="1" t="str" cm="1">
        <f t="array" ref="O891">_xlfn.IFS(orders[[#This Row],[Customer Gender]]="M","Male", orders[[#This Row],[Customer Gender]]="F","Female", orders[[#This Row],[Customer Gender]]="O","Other", TRUE,"Unknown")</f>
        <v>Female</v>
      </c>
    </row>
    <row r="892" spans="1:15">
      <c r="A892" s="1" t="s">
        <v>987</v>
      </c>
      <c r="B892" s="1" t="s">
        <v>26</v>
      </c>
      <c r="C892" s="1">
        <v>10</v>
      </c>
      <c r="D892" s="1">
        <v>112.2</v>
      </c>
      <c r="E892" s="11">
        <v>1122</v>
      </c>
      <c r="F892" s="3">
        <v>45694</v>
      </c>
      <c r="G892" s="3">
        <v>45695</v>
      </c>
      <c r="H892" s="1" t="s">
        <v>27</v>
      </c>
      <c r="I892" s="1" t="s">
        <v>35</v>
      </c>
      <c r="J892" s="1">
        <v>3</v>
      </c>
      <c r="K892" s="1" t="s">
        <v>19</v>
      </c>
      <c r="L892" s="1" t="s">
        <v>62</v>
      </c>
      <c r="M892" s="1">
        <f>orders[[#This Row],[Ship Date]]-orders[[#This Row],[Order Date]]</f>
        <v>1</v>
      </c>
      <c r="N892" s="1">
        <f>WEEKNUM(orders[[#This Row],[Order Date]])</f>
        <v>6</v>
      </c>
      <c r="O892" s="1" t="str" cm="1">
        <f t="array" ref="O892">_xlfn.IFS(orders[[#This Row],[Customer Gender]]="M","Male", orders[[#This Row],[Customer Gender]]="F","Female", orders[[#This Row],[Customer Gender]]="O","Other", TRUE,"Unknown")</f>
        <v>Female</v>
      </c>
    </row>
    <row r="893" spans="1:15">
      <c r="A893" s="1" t="s">
        <v>988</v>
      </c>
      <c r="B893" s="1" t="s">
        <v>32</v>
      </c>
      <c r="C893" s="1">
        <v>5</v>
      </c>
      <c r="D893" s="1">
        <v>34.6</v>
      </c>
      <c r="E893" s="11">
        <v>173</v>
      </c>
      <c r="F893" s="3">
        <v>45694</v>
      </c>
      <c r="G893" s="3">
        <v>45696</v>
      </c>
      <c r="H893" s="1" t="s">
        <v>23</v>
      </c>
      <c r="I893" s="1" t="s">
        <v>40</v>
      </c>
      <c r="J893" s="1">
        <v>4</v>
      </c>
      <c r="K893" s="1" t="s">
        <v>19</v>
      </c>
      <c r="L893" s="1" t="s">
        <v>62</v>
      </c>
      <c r="M893" s="1">
        <f>orders[[#This Row],[Ship Date]]-orders[[#This Row],[Order Date]]</f>
        <v>2</v>
      </c>
      <c r="N893" s="1">
        <f>WEEKNUM(orders[[#This Row],[Order Date]])</f>
        <v>6</v>
      </c>
      <c r="O893" s="1" t="str" cm="1">
        <f t="array" ref="O893">_xlfn.IFS(orders[[#This Row],[Customer Gender]]="M","Male", orders[[#This Row],[Customer Gender]]="F","Female", orders[[#This Row],[Customer Gender]]="O","Other", TRUE,"Unknown")</f>
        <v>Male</v>
      </c>
    </row>
    <row r="894" spans="1:15">
      <c r="A894" s="1" t="s">
        <v>989</v>
      </c>
      <c r="B894" s="1" t="s">
        <v>81</v>
      </c>
      <c r="C894" s="1">
        <v>4</v>
      </c>
      <c r="D894" s="1">
        <v>20.100000000000001</v>
      </c>
      <c r="E894" s="11">
        <v>80.400000000000006</v>
      </c>
      <c r="F894" s="3">
        <v>45694</v>
      </c>
      <c r="G894" s="3">
        <v>45700</v>
      </c>
      <c r="H894" s="1" t="s">
        <v>23</v>
      </c>
      <c r="I894" s="1" t="s">
        <v>35</v>
      </c>
      <c r="J894" s="1">
        <v>5</v>
      </c>
      <c r="K894" s="1" t="s">
        <v>19</v>
      </c>
      <c r="L894" s="1" t="s">
        <v>62</v>
      </c>
      <c r="M894" s="1">
        <f>orders[[#This Row],[Ship Date]]-orders[[#This Row],[Order Date]]</f>
        <v>6</v>
      </c>
      <c r="N894" s="1">
        <f>WEEKNUM(orders[[#This Row],[Order Date]])</f>
        <v>6</v>
      </c>
      <c r="O894" s="1" t="str" cm="1">
        <f t="array" ref="O894">_xlfn.IFS(orders[[#This Row],[Customer Gender]]="M","Male", orders[[#This Row],[Customer Gender]]="F","Female", orders[[#This Row],[Customer Gender]]="O","Other", TRUE,"Unknown")</f>
        <v>Male</v>
      </c>
    </row>
    <row r="895" spans="1:15">
      <c r="A895" s="1" t="s">
        <v>990</v>
      </c>
      <c r="B895" s="1" t="s">
        <v>26</v>
      </c>
      <c r="C895" s="1">
        <v>4</v>
      </c>
      <c r="D895" s="1">
        <v>56.4</v>
      </c>
      <c r="E895" s="11">
        <v>225.6</v>
      </c>
      <c r="F895" s="3">
        <v>45694</v>
      </c>
      <c r="G895" s="3">
        <v>45696</v>
      </c>
      <c r="H895" s="1" t="s">
        <v>27</v>
      </c>
      <c r="I895" s="1" t="s">
        <v>40</v>
      </c>
      <c r="J895" s="1">
        <v>4</v>
      </c>
      <c r="K895" s="1" t="s">
        <v>19</v>
      </c>
      <c r="L895" s="1" t="s">
        <v>74</v>
      </c>
      <c r="M895" s="1">
        <f>orders[[#This Row],[Ship Date]]-orders[[#This Row],[Order Date]]</f>
        <v>2</v>
      </c>
      <c r="N895" s="1">
        <f>WEEKNUM(orders[[#This Row],[Order Date]])</f>
        <v>6</v>
      </c>
      <c r="O895" s="1" t="str" cm="1">
        <f t="array" ref="O895">_xlfn.IFS(orders[[#This Row],[Customer Gender]]="M","Male", orders[[#This Row],[Customer Gender]]="F","Female", orders[[#This Row],[Customer Gender]]="O","Other", TRUE,"Unknown")</f>
        <v>Female</v>
      </c>
    </row>
    <row r="896" spans="1:15">
      <c r="A896" s="1" t="s">
        <v>991</v>
      </c>
      <c r="B896" s="1" t="s">
        <v>76</v>
      </c>
      <c r="C896" s="1">
        <v>9</v>
      </c>
      <c r="D896" s="1">
        <v>55.3</v>
      </c>
      <c r="E896" s="11">
        <v>497.7</v>
      </c>
      <c r="F896" s="3">
        <v>45694</v>
      </c>
      <c r="G896" s="3">
        <v>45696</v>
      </c>
      <c r="H896" s="1" t="s">
        <v>27</v>
      </c>
      <c r="I896" s="1" t="s">
        <v>35</v>
      </c>
      <c r="J896" s="1">
        <v>2</v>
      </c>
      <c r="K896" s="1" t="s">
        <v>19</v>
      </c>
      <c r="L896" s="1" t="s">
        <v>77</v>
      </c>
      <c r="M896" s="1">
        <f>orders[[#This Row],[Ship Date]]-orders[[#This Row],[Order Date]]</f>
        <v>2</v>
      </c>
      <c r="N896" s="1">
        <f>WEEKNUM(orders[[#This Row],[Order Date]])</f>
        <v>6</v>
      </c>
      <c r="O896" s="1" t="str" cm="1">
        <f t="array" ref="O896">_xlfn.IFS(orders[[#This Row],[Customer Gender]]="M","Male", orders[[#This Row],[Customer Gender]]="F","Female", orders[[#This Row],[Customer Gender]]="O","Other", TRUE,"Unknown")</f>
        <v>Female</v>
      </c>
    </row>
    <row r="897" spans="1:15">
      <c r="A897" s="1" t="s">
        <v>992</v>
      </c>
      <c r="B897" s="1" t="s">
        <v>26</v>
      </c>
      <c r="C897" s="1">
        <v>28</v>
      </c>
      <c r="D897" s="1">
        <v>75.5</v>
      </c>
      <c r="E897" s="11">
        <v>2114</v>
      </c>
      <c r="F897" s="3">
        <v>45694</v>
      </c>
      <c r="G897" s="3">
        <v>45695</v>
      </c>
      <c r="H897" s="1" t="s">
        <v>27</v>
      </c>
      <c r="I897" s="1" t="s">
        <v>18</v>
      </c>
      <c r="J897" s="1">
        <v>4</v>
      </c>
      <c r="K897" s="1" t="s">
        <v>19</v>
      </c>
      <c r="L897" s="1" t="s">
        <v>77</v>
      </c>
      <c r="M897" s="1">
        <f>orders[[#This Row],[Ship Date]]-orders[[#This Row],[Order Date]]</f>
        <v>1</v>
      </c>
      <c r="N897" s="1">
        <f>WEEKNUM(orders[[#This Row],[Order Date]])</f>
        <v>6</v>
      </c>
      <c r="O897" s="1" t="str" cm="1">
        <f t="array" ref="O897">_xlfn.IFS(orders[[#This Row],[Customer Gender]]="M","Male", orders[[#This Row],[Customer Gender]]="F","Female", orders[[#This Row],[Customer Gender]]="O","Other", TRUE,"Unknown")</f>
        <v>Female</v>
      </c>
    </row>
    <row r="898" spans="1:15">
      <c r="A898" s="1" t="s">
        <v>993</v>
      </c>
      <c r="B898" s="1" t="s">
        <v>44</v>
      </c>
      <c r="C898" s="1">
        <v>1</v>
      </c>
      <c r="D898" s="1">
        <v>23.6</v>
      </c>
      <c r="E898" s="11">
        <v>23.6</v>
      </c>
      <c r="F898" s="3">
        <v>45694</v>
      </c>
      <c r="G898" s="3">
        <v>45699</v>
      </c>
      <c r="H898" s="1" t="s">
        <v>27</v>
      </c>
      <c r="I898" s="1" t="s">
        <v>18</v>
      </c>
      <c r="J898" s="1">
        <v>4</v>
      </c>
      <c r="K898" s="1" t="s">
        <v>19</v>
      </c>
      <c r="L898" s="1" t="s">
        <v>110</v>
      </c>
      <c r="M898" s="1">
        <f>orders[[#This Row],[Ship Date]]-orders[[#This Row],[Order Date]]</f>
        <v>5</v>
      </c>
      <c r="N898" s="1">
        <f>WEEKNUM(orders[[#This Row],[Order Date]])</f>
        <v>6</v>
      </c>
      <c r="O898" s="1" t="str" cm="1">
        <f t="array" ref="O898">_xlfn.IFS(orders[[#This Row],[Customer Gender]]="M","Male", orders[[#This Row],[Customer Gender]]="F","Female", orders[[#This Row],[Customer Gender]]="O","Other", TRUE,"Unknown")</f>
        <v>Female</v>
      </c>
    </row>
    <row r="899" spans="1:15">
      <c r="A899" s="1" t="s">
        <v>994</v>
      </c>
      <c r="B899" s="1" t="s">
        <v>46</v>
      </c>
      <c r="C899" s="1">
        <v>2</v>
      </c>
      <c r="D899" s="1">
        <v>70.7</v>
      </c>
      <c r="E899" s="11">
        <v>141.4</v>
      </c>
      <c r="F899" s="3">
        <v>45694</v>
      </c>
      <c r="G899" s="3">
        <v>45696</v>
      </c>
      <c r="H899" s="1" t="s">
        <v>27</v>
      </c>
      <c r="I899" s="1" t="s">
        <v>40</v>
      </c>
      <c r="J899" s="1">
        <v>4</v>
      </c>
      <c r="K899" s="1" t="s">
        <v>19</v>
      </c>
      <c r="L899" s="1" t="s">
        <v>110</v>
      </c>
      <c r="M899" s="1">
        <f>orders[[#This Row],[Ship Date]]-orders[[#This Row],[Order Date]]</f>
        <v>2</v>
      </c>
      <c r="N899" s="1">
        <f>WEEKNUM(orders[[#This Row],[Order Date]])</f>
        <v>6</v>
      </c>
      <c r="O899" s="1" t="str" cm="1">
        <f t="array" ref="O899">_xlfn.IFS(orders[[#This Row],[Customer Gender]]="M","Male", orders[[#This Row],[Customer Gender]]="F","Female", orders[[#This Row],[Customer Gender]]="O","Other", TRUE,"Unknown")</f>
        <v>Female</v>
      </c>
    </row>
    <row r="900" spans="1:15">
      <c r="A900" s="1" t="s">
        <v>995</v>
      </c>
      <c r="B900" s="1" t="s">
        <v>69</v>
      </c>
      <c r="C900" s="1">
        <v>2</v>
      </c>
      <c r="D900" s="1">
        <v>43.2</v>
      </c>
      <c r="E900" s="11">
        <v>86.4</v>
      </c>
      <c r="F900" s="3">
        <v>45694</v>
      </c>
      <c r="G900" s="3">
        <v>45695</v>
      </c>
      <c r="H900" s="1" t="s">
        <v>27</v>
      </c>
      <c r="I900" s="1" t="s">
        <v>40</v>
      </c>
      <c r="J900" s="1">
        <v>4</v>
      </c>
      <c r="K900" s="1" t="s">
        <v>19</v>
      </c>
      <c r="L900" s="1" t="s">
        <v>292</v>
      </c>
      <c r="M900" s="1">
        <f>orders[[#This Row],[Ship Date]]-orders[[#This Row],[Order Date]]</f>
        <v>1</v>
      </c>
      <c r="N900" s="1">
        <f>WEEKNUM(orders[[#This Row],[Order Date]])</f>
        <v>6</v>
      </c>
      <c r="O900" s="1" t="str" cm="1">
        <f t="array" ref="O900">_xlfn.IFS(orders[[#This Row],[Customer Gender]]="M","Male", orders[[#This Row],[Customer Gender]]="F","Female", orders[[#This Row],[Customer Gender]]="O","Other", TRUE,"Unknown")</f>
        <v>Female</v>
      </c>
    </row>
    <row r="901" spans="1:15">
      <c r="A901" s="1" t="s">
        <v>996</v>
      </c>
      <c r="B901" s="1" t="s">
        <v>46</v>
      </c>
      <c r="C901" s="1">
        <v>9</v>
      </c>
      <c r="D901" s="1">
        <v>70</v>
      </c>
      <c r="E901" s="11">
        <v>630</v>
      </c>
      <c r="F901" s="3">
        <v>45694</v>
      </c>
      <c r="G901" s="3">
        <v>45695</v>
      </c>
      <c r="H901" s="1" t="s">
        <v>17</v>
      </c>
      <c r="I901" s="1" t="s">
        <v>35</v>
      </c>
      <c r="J901" s="1">
        <v>4</v>
      </c>
      <c r="K901" s="1" t="s">
        <v>19</v>
      </c>
      <c r="L901" s="1" t="s">
        <v>997</v>
      </c>
      <c r="M901" s="1">
        <f>orders[[#This Row],[Ship Date]]-orders[[#This Row],[Order Date]]</f>
        <v>1</v>
      </c>
      <c r="N901" s="1">
        <f>WEEKNUM(orders[[#This Row],[Order Date]])</f>
        <v>6</v>
      </c>
      <c r="O901" s="1" t="str" cm="1">
        <f t="array" ref="O901">_xlfn.IFS(orders[[#This Row],[Customer Gender]]="M","Male", orders[[#This Row],[Customer Gender]]="F","Female", orders[[#This Row],[Customer Gender]]="O","Other", TRUE,"Unknown")</f>
        <v>Unknown</v>
      </c>
    </row>
    <row r="902" spans="1:15">
      <c r="A902" s="1" t="s">
        <v>998</v>
      </c>
      <c r="B902" s="1" t="s">
        <v>16</v>
      </c>
      <c r="C902" s="1">
        <v>2</v>
      </c>
      <c r="D902" s="1">
        <v>20.5</v>
      </c>
      <c r="E902" s="11">
        <v>41</v>
      </c>
      <c r="F902" s="3">
        <v>45694</v>
      </c>
      <c r="G902" s="3">
        <v>45696</v>
      </c>
      <c r="H902" s="1" t="s">
        <v>27</v>
      </c>
      <c r="I902" s="1" t="s">
        <v>40</v>
      </c>
      <c r="J902" s="1">
        <v>2</v>
      </c>
      <c r="K902" s="1" t="s">
        <v>19</v>
      </c>
      <c r="L902" s="1" t="s">
        <v>82</v>
      </c>
      <c r="M902" s="1">
        <f>orders[[#This Row],[Ship Date]]-orders[[#This Row],[Order Date]]</f>
        <v>2</v>
      </c>
      <c r="N902" s="1">
        <f>WEEKNUM(orders[[#This Row],[Order Date]])</f>
        <v>6</v>
      </c>
      <c r="O902" s="1" t="str" cm="1">
        <f t="array" ref="O902">_xlfn.IFS(orders[[#This Row],[Customer Gender]]="M","Male", orders[[#This Row],[Customer Gender]]="F","Female", orders[[#This Row],[Customer Gender]]="O","Other", TRUE,"Unknown")</f>
        <v>Female</v>
      </c>
    </row>
    <row r="903" spans="1:15">
      <c r="A903" s="1" t="s">
        <v>999</v>
      </c>
      <c r="B903" s="1" t="s">
        <v>16</v>
      </c>
      <c r="C903" s="1">
        <v>4</v>
      </c>
      <c r="D903" s="1">
        <v>29.1</v>
      </c>
      <c r="E903" s="11">
        <v>116.4</v>
      </c>
      <c r="F903" s="3">
        <v>45694</v>
      </c>
      <c r="G903" s="3">
        <v>45695</v>
      </c>
      <c r="H903" s="1" t="s">
        <v>27</v>
      </c>
      <c r="I903" s="1" t="s">
        <v>51</v>
      </c>
      <c r="J903" s="1">
        <v>4</v>
      </c>
      <c r="K903" s="1" t="s">
        <v>19</v>
      </c>
      <c r="L903" s="1" t="s">
        <v>243</v>
      </c>
      <c r="M903" s="1">
        <f>orders[[#This Row],[Ship Date]]-orders[[#This Row],[Order Date]]</f>
        <v>1</v>
      </c>
      <c r="N903" s="1">
        <f>WEEKNUM(orders[[#This Row],[Order Date]])</f>
        <v>6</v>
      </c>
      <c r="O903" s="1" t="str" cm="1">
        <f t="array" ref="O903">_xlfn.IFS(orders[[#This Row],[Customer Gender]]="M","Male", orders[[#This Row],[Customer Gender]]="F","Female", orders[[#This Row],[Customer Gender]]="O","Other", TRUE,"Unknown")</f>
        <v>Female</v>
      </c>
    </row>
    <row r="904" spans="1:15">
      <c r="A904" s="1" t="s">
        <v>1000</v>
      </c>
      <c r="B904" s="1" t="s">
        <v>39</v>
      </c>
      <c r="C904" s="1">
        <v>9</v>
      </c>
      <c r="D904" s="1">
        <v>53.6</v>
      </c>
      <c r="E904" s="11">
        <v>482.40000000000003</v>
      </c>
      <c r="F904" s="3">
        <v>45694</v>
      </c>
      <c r="G904" s="3">
        <v>45695</v>
      </c>
      <c r="H904" s="1" t="s">
        <v>23</v>
      </c>
      <c r="I904" s="1" t="s">
        <v>40</v>
      </c>
      <c r="J904" s="1">
        <v>3</v>
      </c>
      <c r="K904" s="1" t="s">
        <v>19</v>
      </c>
      <c r="L904" s="1" t="s">
        <v>33</v>
      </c>
      <c r="M904" s="1">
        <f>orders[[#This Row],[Ship Date]]-orders[[#This Row],[Order Date]]</f>
        <v>1</v>
      </c>
      <c r="N904" s="1">
        <f>WEEKNUM(orders[[#This Row],[Order Date]])</f>
        <v>6</v>
      </c>
      <c r="O904" s="1" t="str" cm="1">
        <f t="array" ref="O904">_xlfn.IFS(orders[[#This Row],[Customer Gender]]="M","Male", orders[[#This Row],[Customer Gender]]="F","Female", orders[[#This Row],[Customer Gender]]="O","Other", TRUE,"Unknown")</f>
        <v>Male</v>
      </c>
    </row>
    <row r="905" spans="1:15">
      <c r="A905" s="1" t="s">
        <v>1001</v>
      </c>
      <c r="B905" s="1" t="s">
        <v>39</v>
      </c>
      <c r="C905" s="1">
        <v>5</v>
      </c>
      <c r="D905" s="1">
        <v>72.3</v>
      </c>
      <c r="E905" s="11">
        <v>361.5</v>
      </c>
      <c r="F905" s="3">
        <v>45694</v>
      </c>
      <c r="G905" s="3">
        <v>45696</v>
      </c>
      <c r="H905" s="1" t="s">
        <v>27</v>
      </c>
      <c r="I905" s="1" t="s">
        <v>35</v>
      </c>
      <c r="J905" s="1">
        <v>4</v>
      </c>
      <c r="K905" s="1" t="s">
        <v>19</v>
      </c>
      <c r="L905" s="1" t="s">
        <v>33</v>
      </c>
      <c r="M905" s="1">
        <f>orders[[#This Row],[Ship Date]]-orders[[#This Row],[Order Date]]</f>
        <v>2</v>
      </c>
      <c r="N905" s="1">
        <f>WEEKNUM(orders[[#This Row],[Order Date]])</f>
        <v>6</v>
      </c>
      <c r="O905" s="1" t="str" cm="1">
        <f t="array" ref="O905">_xlfn.IFS(orders[[#This Row],[Customer Gender]]="M","Male", orders[[#This Row],[Customer Gender]]="F","Female", orders[[#This Row],[Customer Gender]]="O","Other", TRUE,"Unknown")</f>
        <v>Female</v>
      </c>
    </row>
    <row r="906" spans="1:15">
      <c r="A906" s="1" t="s">
        <v>1002</v>
      </c>
      <c r="B906" s="1" t="s">
        <v>76</v>
      </c>
      <c r="C906" s="1">
        <v>4</v>
      </c>
      <c r="D906" s="1">
        <v>22.6</v>
      </c>
      <c r="E906" s="11">
        <v>90.4</v>
      </c>
      <c r="F906" s="3">
        <v>45694</v>
      </c>
      <c r="G906" s="3">
        <v>45697</v>
      </c>
      <c r="H906" s="1" t="s">
        <v>89</v>
      </c>
      <c r="I906" s="1" t="s">
        <v>18</v>
      </c>
      <c r="J906" s="1">
        <v>3</v>
      </c>
      <c r="K906" s="1" t="s">
        <v>19</v>
      </c>
      <c r="L906" s="1" t="s">
        <v>33</v>
      </c>
      <c r="M906" s="1">
        <f>orders[[#This Row],[Ship Date]]-orders[[#This Row],[Order Date]]</f>
        <v>3</v>
      </c>
      <c r="N906" s="1">
        <f>WEEKNUM(orders[[#This Row],[Order Date]])</f>
        <v>6</v>
      </c>
      <c r="O906" s="1" t="str" cm="1">
        <f t="array" ref="O906">_xlfn.IFS(orders[[#This Row],[Customer Gender]]="M","Male", orders[[#This Row],[Customer Gender]]="F","Female", orders[[#This Row],[Customer Gender]]="O","Other", TRUE,"Unknown")</f>
        <v>Other</v>
      </c>
    </row>
    <row r="907" spans="1:15">
      <c r="A907" s="1" t="s">
        <v>1003</v>
      </c>
      <c r="B907" s="1" t="s">
        <v>46</v>
      </c>
      <c r="C907" s="1">
        <v>2</v>
      </c>
      <c r="D907" s="1">
        <v>44.2</v>
      </c>
      <c r="E907" s="11">
        <v>88.4</v>
      </c>
      <c r="F907" s="3">
        <v>45694</v>
      </c>
      <c r="G907" s="3">
        <v>45698</v>
      </c>
      <c r="H907" s="1" t="s">
        <v>17</v>
      </c>
      <c r="I907" s="1" t="s">
        <v>40</v>
      </c>
      <c r="J907" s="1">
        <v>2</v>
      </c>
      <c r="K907" s="1" t="s">
        <v>19</v>
      </c>
      <c r="L907" s="1" t="s">
        <v>33</v>
      </c>
      <c r="M907" s="1">
        <f>orders[[#This Row],[Ship Date]]-orders[[#This Row],[Order Date]]</f>
        <v>4</v>
      </c>
      <c r="N907" s="1">
        <f>WEEKNUM(orders[[#This Row],[Order Date]])</f>
        <v>6</v>
      </c>
      <c r="O907" s="1" t="str" cm="1">
        <f t="array" ref="O907">_xlfn.IFS(orders[[#This Row],[Customer Gender]]="M","Male", orders[[#This Row],[Customer Gender]]="F","Female", orders[[#This Row],[Customer Gender]]="O","Other", TRUE,"Unknown")</f>
        <v>Unknown</v>
      </c>
    </row>
    <row r="908" spans="1:15">
      <c r="A908" s="1" t="s">
        <v>1004</v>
      </c>
      <c r="B908" s="1" t="s">
        <v>46</v>
      </c>
      <c r="C908" s="1">
        <v>3</v>
      </c>
      <c r="D908" s="1">
        <v>94.1</v>
      </c>
      <c r="E908" s="11">
        <v>282.29999999999995</v>
      </c>
      <c r="F908" s="3">
        <v>45694</v>
      </c>
      <c r="G908" s="3">
        <v>45707</v>
      </c>
      <c r="H908" s="1" t="s">
        <v>27</v>
      </c>
      <c r="I908" s="1" t="s">
        <v>40</v>
      </c>
      <c r="J908" s="1">
        <v>5</v>
      </c>
      <c r="K908" s="1" t="s">
        <v>19</v>
      </c>
      <c r="L908" s="1" t="s">
        <v>33</v>
      </c>
      <c r="M908" s="1">
        <f>orders[[#This Row],[Ship Date]]-orders[[#This Row],[Order Date]]</f>
        <v>13</v>
      </c>
      <c r="N908" s="1">
        <f>WEEKNUM(orders[[#This Row],[Order Date]])</f>
        <v>6</v>
      </c>
      <c r="O908" s="1" t="str" cm="1">
        <f t="array" ref="O908">_xlfn.IFS(orders[[#This Row],[Customer Gender]]="M","Male", orders[[#This Row],[Customer Gender]]="F","Female", orders[[#This Row],[Customer Gender]]="O","Other", TRUE,"Unknown")</f>
        <v>Female</v>
      </c>
    </row>
    <row r="909" spans="1:15">
      <c r="A909" s="1" t="s">
        <v>1005</v>
      </c>
      <c r="B909" s="1" t="s">
        <v>44</v>
      </c>
      <c r="C909" s="1">
        <v>3</v>
      </c>
      <c r="D909" s="1">
        <v>17.899999999999999</v>
      </c>
      <c r="E909" s="11">
        <v>53.699999999999996</v>
      </c>
      <c r="F909" s="3">
        <v>45694</v>
      </c>
      <c r="G909" s="3">
        <v>45696</v>
      </c>
      <c r="H909" s="1" t="s">
        <v>23</v>
      </c>
      <c r="I909" s="1" t="s">
        <v>35</v>
      </c>
      <c r="J909" s="1">
        <v>3</v>
      </c>
      <c r="K909" s="1" t="s">
        <v>19</v>
      </c>
      <c r="L909" s="1" t="s">
        <v>33</v>
      </c>
      <c r="M909" s="1">
        <f>orders[[#This Row],[Ship Date]]-orders[[#This Row],[Order Date]]</f>
        <v>2</v>
      </c>
      <c r="N909" s="1">
        <f>WEEKNUM(orders[[#This Row],[Order Date]])</f>
        <v>6</v>
      </c>
      <c r="O909" s="1" t="str" cm="1">
        <f t="array" ref="O909">_xlfn.IFS(orders[[#This Row],[Customer Gender]]="M","Male", orders[[#This Row],[Customer Gender]]="F","Female", orders[[#This Row],[Customer Gender]]="O","Other", TRUE,"Unknown")</f>
        <v>Male</v>
      </c>
    </row>
    <row r="910" spans="1:15">
      <c r="A910" s="1" t="s">
        <v>1006</v>
      </c>
      <c r="B910" s="1" t="s">
        <v>69</v>
      </c>
      <c r="C910" s="1">
        <v>7</v>
      </c>
      <c r="D910" s="1">
        <v>52.7</v>
      </c>
      <c r="E910" s="11">
        <v>368.90000000000003</v>
      </c>
      <c r="F910" s="3">
        <v>45694</v>
      </c>
      <c r="G910" s="3">
        <v>45695</v>
      </c>
      <c r="H910" s="1" t="s">
        <v>23</v>
      </c>
      <c r="I910" s="1" t="s">
        <v>35</v>
      </c>
      <c r="J910" s="1">
        <v>3</v>
      </c>
      <c r="K910" s="1" t="s">
        <v>19</v>
      </c>
      <c r="L910" s="1" t="s">
        <v>33</v>
      </c>
      <c r="M910" s="1">
        <f>orders[[#This Row],[Ship Date]]-orders[[#This Row],[Order Date]]</f>
        <v>1</v>
      </c>
      <c r="N910" s="1">
        <f>WEEKNUM(orders[[#This Row],[Order Date]])</f>
        <v>6</v>
      </c>
      <c r="O910" s="1" t="str" cm="1">
        <f t="array" ref="O910">_xlfn.IFS(orders[[#This Row],[Customer Gender]]="M","Male", orders[[#This Row],[Customer Gender]]="F","Female", orders[[#This Row],[Customer Gender]]="O","Other", TRUE,"Unknown")</f>
        <v>Male</v>
      </c>
    </row>
    <row r="911" spans="1:15">
      <c r="A911" s="1" t="s">
        <v>1007</v>
      </c>
      <c r="B911" s="1" t="s">
        <v>44</v>
      </c>
      <c r="C911" s="1">
        <v>1</v>
      </c>
      <c r="D911" s="1">
        <v>36.799999999999997</v>
      </c>
      <c r="E911" s="11">
        <v>36.799999999999997</v>
      </c>
      <c r="F911" s="3">
        <v>45694</v>
      </c>
      <c r="G911" s="3">
        <v>45694</v>
      </c>
      <c r="H911" s="1" t="s">
        <v>17</v>
      </c>
      <c r="I911" s="1" t="s">
        <v>18</v>
      </c>
      <c r="J911" s="1">
        <v>5</v>
      </c>
      <c r="K911" s="1" t="s">
        <v>19</v>
      </c>
      <c r="L911" s="1" t="s">
        <v>33</v>
      </c>
      <c r="M911" s="1">
        <f>orders[[#This Row],[Ship Date]]-orders[[#This Row],[Order Date]]</f>
        <v>0</v>
      </c>
      <c r="N911" s="1">
        <f>WEEKNUM(orders[[#This Row],[Order Date]])</f>
        <v>6</v>
      </c>
      <c r="O911" s="1" t="str" cm="1">
        <f t="array" ref="O911">_xlfn.IFS(orders[[#This Row],[Customer Gender]]="M","Male", orders[[#This Row],[Customer Gender]]="F","Female", orders[[#This Row],[Customer Gender]]="O","Other", TRUE,"Unknown")</f>
        <v>Unknown</v>
      </c>
    </row>
    <row r="912" spans="1:15">
      <c r="A912" s="1" t="s">
        <v>1008</v>
      </c>
      <c r="B912" s="1" t="s">
        <v>32</v>
      </c>
      <c r="C912" s="1">
        <v>1</v>
      </c>
      <c r="D912" s="1">
        <v>52.5</v>
      </c>
      <c r="E912" s="11">
        <v>52.5</v>
      </c>
      <c r="F912" s="3">
        <v>45694</v>
      </c>
      <c r="G912" s="3">
        <v>45695</v>
      </c>
      <c r="H912" s="1" t="s">
        <v>23</v>
      </c>
      <c r="I912" s="1" t="s">
        <v>18</v>
      </c>
      <c r="J912" s="1">
        <v>3</v>
      </c>
      <c r="K912" s="1" t="s">
        <v>19</v>
      </c>
      <c r="L912" s="1" t="s">
        <v>55</v>
      </c>
      <c r="M912" s="1">
        <f>orders[[#This Row],[Ship Date]]-orders[[#This Row],[Order Date]]</f>
        <v>1</v>
      </c>
      <c r="N912" s="1">
        <f>WEEKNUM(orders[[#This Row],[Order Date]])</f>
        <v>6</v>
      </c>
      <c r="O912" s="1" t="str" cm="1">
        <f t="array" ref="O912">_xlfn.IFS(orders[[#This Row],[Customer Gender]]="M","Male", orders[[#This Row],[Customer Gender]]="F","Female", orders[[#This Row],[Customer Gender]]="O","Other", TRUE,"Unknown")</f>
        <v>Male</v>
      </c>
    </row>
    <row r="913" spans="1:15">
      <c r="A913" s="1" t="s">
        <v>1009</v>
      </c>
      <c r="B913" s="1" t="s">
        <v>26</v>
      </c>
      <c r="C913" s="1">
        <v>2</v>
      </c>
      <c r="D913" s="1">
        <v>133.80000000000001</v>
      </c>
      <c r="E913" s="11">
        <v>267.60000000000002</v>
      </c>
      <c r="F913" s="3">
        <v>45694</v>
      </c>
      <c r="G913" s="3">
        <v>45696</v>
      </c>
      <c r="H913" s="1" t="s">
        <v>23</v>
      </c>
      <c r="I913" s="1" t="s">
        <v>18</v>
      </c>
      <c r="J913" s="1">
        <v>3</v>
      </c>
      <c r="K913" s="1" t="s">
        <v>19</v>
      </c>
      <c r="L913" s="1" t="s">
        <v>59</v>
      </c>
      <c r="M913" s="1">
        <f>orders[[#This Row],[Ship Date]]-orders[[#This Row],[Order Date]]</f>
        <v>2</v>
      </c>
      <c r="N913" s="1">
        <f>WEEKNUM(orders[[#This Row],[Order Date]])</f>
        <v>6</v>
      </c>
      <c r="O913" s="1" t="str" cm="1">
        <f t="array" ref="O913">_xlfn.IFS(orders[[#This Row],[Customer Gender]]="M","Male", orders[[#This Row],[Customer Gender]]="F","Female", orders[[#This Row],[Customer Gender]]="O","Other", TRUE,"Unknown")</f>
        <v>Male</v>
      </c>
    </row>
    <row r="914" spans="1:15">
      <c r="A914" s="1" t="s">
        <v>1010</v>
      </c>
      <c r="B914" s="1" t="s">
        <v>39</v>
      </c>
      <c r="C914" s="1">
        <v>2</v>
      </c>
      <c r="D914" s="1">
        <v>53.2</v>
      </c>
      <c r="E914" s="11">
        <v>106.4</v>
      </c>
      <c r="F914" s="3">
        <v>45694</v>
      </c>
      <c r="G914" s="3">
        <v>45696</v>
      </c>
      <c r="H914" s="1" t="s">
        <v>23</v>
      </c>
      <c r="I914" s="1" t="s">
        <v>18</v>
      </c>
      <c r="J914" s="1">
        <v>4</v>
      </c>
      <c r="K914" s="1" t="s">
        <v>19</v>
      </c>
      <c r="L914" s="1" t="s">
        <v>103</v>
      </c>
      <c r="M914" s="1">
        <f>orders[[#This Row],[Ship Date]]-orders[[#This Row],[Order Date]]</f>
        <v>2</v>
      </c>
      <c r="N914" s="1">
        <f>WEEKNUM(orders[[#This Row],[Order Date]])</f>
        <v>6</v>
      </c>
      <c r="O914" s="1" t="str" cm="1">
        <f t="array" ref="O914">_xlfn.IFS(orders[[#This Row],[Customer Gender]]="M","Male", orders[[#This Row],[Customer Gender]]="F","Female", orders[[#This Row],[Customer Gender]]="O","Other", TRUE,"Unknown")</f>
        <v>Male</v>
      </c>
    </row>
    <row r="915" spans="1:15">
      <c r="A915" s="1" t="s">
        <v>1011</v>
      </c>
      <c r="B915" s="1" t="s">
        <v>81</v>
      </c>
      <c r="C915" s="1">
        <v>6</v>
      </c>
      <c r="D915" s="1">
        <v>18.7</v>
      </c>
      <c r="E915" s="11">
        <v>112.19999999999999</v>
      </c>
      <c r="F915" s="3">
        <v>45694</v>
      </c>
      <c r="G915" s="3">
        <v>45696</v>
      </c>
      <c r="H915" s="1" t="s">
        <v>17</v>
      </c>
      <c r="I915" s="1" t="s">
        <v>18</v>
      </c>
      <c r="J915" s="1">
        <v>3</v>
      </c>
      <c r="K915" s="1" t="s">
        <v>19</v>
      </c>
      <c r="L915" s="1" t="s">
        <v>74</v>
      </c>
      <c r="M915" s="1">
        <f>orders[[#This Row],[Ship Date]]-orders[[#This Row],[Order Date]]</f>
        <v>2</v>
      </c>
      <c r="N915" s="1">
        <f>WEEKNUM(orders[[#This Row],[Order Date]])</f>
        <v>6</v>
      </c>
      <c r="O915" s="1" t="str" cm="1">
        <f t="array" ref="O915">_xlfn.IFS(orders[[#This Row],[Customer Gender]]="M","Male", orders[[#This Row],[Customer Gender]]="F","Female", orders[[#This Row],[Customer Gender]]="O","Other", TRUE,"Unknown")</f>
        <v>Unknown</v>
      </c>
    </row>
    <row r="916" spans="1:15">
      <c r="A916" s="1" t="s">
        <v>1012</v>
      </c>
      <c r="B916" s="1" t="s">
        <v>39</v>
      </c>
      <c r="C916" s="1">
        <v>4</v>
      </c>
      <c r="D916" s="1">
        <v>108.8</v>
      </c>
      <c r="E916" s="11">
        <v>435.2</v>
      </c>
      <c r="F916" s="3">
        <v>45694</v>
      </c>
      <c r="G916" s="3">
        <v>45695</v>
      </c>
      <c r="H916" s="1" t="s">
        <v>27</v>
      </c>
      <c r="I916" s="1" t="s">
        <v>51</v>
      </c>
      <c r="J916" s="1">
        <v>5</v>
      </c>
      <c r="K916" s="1" t="s">
        <v>19</v>
      </c>
      <c r="L916" s="1" t="s">
        <v>77</v>
      </c>
      <c r="M916" s="1">
        <f>orders[[#This Row],[Ship Date]]-orders[[#This Row],[Order Date]]</f>
        <v>1</v>
      </c>
      <c r="N916" s="1">
        <f>WEEKNUM(orders[[#This Row],[Order Date]])</f>
        <v>6</v>
      </c>
      <c r="O916" s="1" t="str" cm="1">
        <f t="array" ref="O916">_xlfn.IFS(orders[[#This Row],[Customer Gender]]="M","Male", orders[[#This Row],[Customer Gender]]="F","Female", orders[[#This Row],[Customer Gender]]="O","Other", TRUE,"Unknown")</f>
        <v>Female</v>
      </c>
    </row>
    <row r="917" spans="1:15">
      <c r="A917" s="1" t="s">
        <v>1013</v>
      </c>
      <c r="B917" s="1" t="s">
        <v>123</v>
      </c>
      <c r="C917" s="1">
        <v>5</v>
      </c>
      <c r="D917" s="1">
        <v>38.5</v>
      </c>
      <c r="E917" s="11">
        <v>192.5</v>
      </c>
      <c r="F917" s="3">
        <v>45694</v>
      </c>
      <c r="G917" s="3">
        <v>45698</v>
      </c>
      <c r="H917" s="1" t="s">
        <v>27</v>
      </c>
      <c r="I917" s="1" t="s">
        <v>18</v>
      </c>
      <c r="J917" s="1">
        <v>3</v>
      </c>
      <c r="K917" s="1" t="s">
        <v>19</v>
      </c>
      <c r="L917" s="1" t="s">
        <v>84</v>
      </c>
      <c r="M917" s="1">
        <f>orders[[#This Row],[Ship Date]]-orders[[#This Row],[Order Date]]</f>
        <v>4</v>
      </c>
      <c r="N917" s="1">
        <f>WEEKNUM(orders[[#This Row],[Order Date]])</f>
        <v>6</v>
      </c>
      <c r="O917" s="1" t="str" cm="1">
        <f t="array" ref="O917">_xlfn.IFS(orders[[#This Row],[Customer Gender]]="M","Male", orders[[#This Row],[Customer Gender]]="F","Female", orders[[#This Row],[Customer Gender]]="O","Other", TRUE,"Unknown")</f>
        <v>Female</v>
      </c>
    </row>
    <row r="918" spans="1:15">
      <c r="A918" s="1" t="s">
        <v>1014</v>
      </c>
      <c r="B918" s="1" t="s">
        <v>54</v>
      </c>
      <c r="C918" s="1">
        <v>10</v>
      </c>
      <c r="D918" s="1">
        <v>46.5</v>
      </c>
      <c r="E918" s="11">
        <v>465</v>
      </c>
      <c r="F918" s="3">
        <v>45694</v>
      </c>
      <c r="G918" s="3">
        <v>45696</v>
      </c>
      <c r="H918" s="1" t="s">
        <v>23</v>
      </c>
      <c r="I918" s="1" t="s">
        <v>40</v>
      </c>
      <c r="J918" s="1">
        <v>3</v>
      </c>
      <c r="K918" s="1" t="s">
        <v>19</v>
      </c>
      <c r="L918" s="1" t="s">
        <v>28</v>
      </c>
      <c r="M918" s="1">
        <f>orders[[#This Row],[Ship Date]]-orders[[#This Row],[Order Date]]</f>
        <v>2</v>
      </c>
      <c r="N918" s="1">
        <f>WEEKNUM(orders[[#This Row],[Order Date]])</f>
        <v>6</v>
      </c>
      <c r="O918" s="1" t="str" cm="1">
        <f t="array" ref="O918">_xlfn.IFS(orders[[#This Row],[Customer Gender]]="M","Male", orders[[#This Row],[Customer Gender]]="F","Female", orders[[#This Row],[Customer Gender]]="O","Other", TRUE,"Unknown")</f>
        <v>Male</v>
      </c>
    </row>
    <row r="919" spans="1:15">
      <c r="A919" s="1" t="s">
        <v>1015</v>
      </c>
      <c r="B919" s="1" t="s">
        <v>26</v>
      </c>
      <c r="C919" s="1">
        <v>3</v>
      </c>
      <c r="D919" s="1">
        <v>75.8</v>
      </c>
      <c r="E919" s="11">
        <v>227.39999999999998</v>
      </c>
      <c r="F919" s="3">
        <v>45694</v>
      </c>
      <c r="G919" s="3">
        <v>45698</v>
      </c>
      <c r="H919" s="1" t="s">
        <v>27</v>
      </c>
      <c r="I919" s="1" t="s">
        <v>35</v>
      </c>
      <c r="J919" s="1">
        <v>2</v>
      </c>
      <c r="K919" s="1" t="s">
        <v>19</v>
      </c>
      <c r="L919" s="1" t="s">
        <v>587</v>
      </c>
      <c r="M919" s="1">
        <f>orders[[#This Row],[Ship Date]]-orders[[#This Row],[Order Date]]</f>
        <v>4</v>
      </c>
      <c r="N919" s="1">
        <f>WEEKNUM(orders[[#This Row],[Order Date]])</f>
        <v>6</v>
      </c>
      <c r="O919" s="1" t="str" cm="1">
        <f t="array" ref="O919">_xlfn.IFS(orders[[#This Row],[Customer Gender]]="M","Male", orders[[#This Row],[Customer Gender]]="F","Female", orders[[#This Row],[Customer Gender]]="O","Other", TRUE,"Unknown")</f>
        <v>Female</v>
      </c>
    </row>
    <row r="920" spans="1:15">
      <c r="A920" s="1" t="s">
        <v>1016</v>
      </c>
      <c r="B920" s="1" t="s">
        <v>44</v>
      </c>
      <c r="C920" s="1">
        <v>1</v>
      </c>
      <c r="D920" s="1">
        <v>20.9</v>
      </c>
      <c r="E920" s="11">
        <v>20.9</v>
      </c>
      <c r="F920" s="3">
        <v>45694</v>
      </c>
      <c r="G920" s="3">
        <v>45698</v>
      </c>
      <c r="H920" s="1" t="s">
        <v>23</v>
      </c>
      <c r="I920" s="1" t="s">
        <v>18</v>
      </c>
      <c r="J920" s="1">
        <v>4</v>
      </c>
      <c r="K920" s="1" t="s">
        <v>19</v>
      </c>
      <c r="L920" s="1" t="s">
        <v>147</v>
      </c>
      <c r="M920" s="1">
        <f>orders[[#This Row],[Ship Date]]-orders[[#This Row],[Order Date]]</f>
        <v>4</v>
      </c>
      <c r="N920" s="1">
        <f>WEEKNUM(orders[[#This Row],[Order Date]])</f>
        <v>6</v>
      </c>
      <c r="O920" s="1" t="str" cm="1">
        <f t="array" ref="O920">_xlfn.IFS(orders[[#This Row],[Customer Gender]]="M","Male", orders[[#This Row],[Customer Gender]]="F","Female", orders[[#This Row],[Customer Gender]]="O","Other", TRUE,"Unknown")</f>
        <v>Male</v>
      </c>
    </row>
    <row r="921" spans="1:15">
      <c r="A921" s="1" t="s">
        <v>1017</v>
      </c>
      <c r="B921" s="1" t="s">
        <v>146</v>
      </c>
      <c r="C921" s="1">
        <v>3</v>
      </c>
      <c r="D921" s="1">
        <v>47.4</v>
      </c>
      <c r="E921" s="11">
        <v>142.19999999999999</v>
      </c>
      <c r="F921" s="3">
        <v>45694</v>
      </c>
      <c r="G921" s="3">
        <v>45697</v>
      </c>
      <c r="H921" s="1" t="s">
        <v>27</v>
      </c>
      <c r="I921" s="1" t="s">
        <v>18</v>
      </c>
      <c r="J921" s="1">
        <v>4</v>
      </c>
      <c r="K921" s="1" t="s">
        <v>19</v>
      </c>
      <c r="L921" s="1" t="s">
        <v>33</v>
      </c>
      <c r="M921" s="1">
        <f>orders[[#This Row],[Ship Date]]-orders[[#This Row],[Order Date]]</f>
        <v>3</v>
      </c>
      <c r="N921" s="1">
        <f>WEEKNUM(orders[[#This Row],[Order Date]])</f>
        <v>6</v>
      </c>
      <c r="O921" s="1" t="str" cm="1">
        <f t="array" ref="O921">_xlfn.IFS(orders[[#This Row],[Customer Gender]]="M","Male", orders[[#This Row],[Customer Gender]]="F","Female", orders[[#This Row],[Customer Gender]]="O","Other", TRUE,"Unknown")</f>
        <v>Female</v>
      </c>
    </row>
    <row r="922" spans="1:15">
      <c r="A922" s="1" t="s">
        <v>1018</v>
      </c>
      <c r="B922" s="1" t="s">
        <v>46</v>
      </c>
      <c r="C922" s="1">
        <v>2</v>
      </c>
      <c r="D922" s="1">
        <v>53.8</v>
      </c>
      <c r="E922" s="11">
        <v>107.6</v>
      </c>
      <c r="F922" s="3">
        <v>45694</v>
      </c>
      <c r="G922" s="3">
        <v>45695</v>
      </c>
      <c r="H922" s="1" t="s">
        <v>17</v>
      </c>
      <c r="I922" s="1" t="s">
        <v>18</v>
      </c>
      <c r="J922" s="1">
        <v>3</v>
      </c>
      <c r="K922" s="1" t="s">
        <v>19</v>
      </c>
      <c r="L922" s="1" t="s">
        <v>33</v>
      </c>
      <c r="M922" s="1">
        <f>orders[[#This Row],[Ship Date]]-orders[[#This Row],[Order Date]]</f>
        <v>1</v>
      </c>
      <c r="N922" s="1">
        <f>WEEKNUM(orders[[#This Row],[Order Date]])</f>
        <v>6</v>
      </c>
      <c r="O922" s="1" t="str" cm="1">
        <f t="array" ref="O922">_xlfn.IFS(orders[[#This Row],[Customer Gender]]="M","Male", orders[[#This Row],[Customer Gender]]="F","Female", orders[[#This Row],[Customer Gender]]="O","Other", TRUE,"Unknown")</f>
        <v>Unknown</v>
      </c>
    </row>
    <row r="923" spans="1:15">
      <c r="A923" s="1" t="s">
        <v>1019</v>
      </c>
      <c r="B923" s="1" t="s">
        <v>44</v>
      </c>
      <c r="C923" s="1">
        <v>3</v>
      </c>
      <c r="D923" s="1">
        <v>24.6</v>
      </c>
      <c r="E923" s="11">
        <v>73.800000000000011</v>
      </c>
      <c r="F923" s="3">
        <v>45694</v>
      </c>
      <c r="G923" s="3">
        <v>45696</v>
      </c>
      <c r="H923" s="1" t="s">
        <v>89</v>
      </c>
      <c r="I923" s="1" t="s">
        <v>35</v>
      </c>
      <c r="J923" s="1">
        <v>5</v>
      </c>
      <c r="K923" s="1" t="s">
        <v>19</v>
      </c>
      <c r="L923" s="1" t="s">
        <v>33</v>
      </c>
      <c r="M923" s="1">
        <f>orders[[#This Row],[Ship Date]]-orders[[#This Row],[Order Date]]</f>
        <v>2</v>
      </c>
      <c r="N923" s="1">
        <f>WEEKNUM(orders[[#This Row],[Order Date]])</f>
        <v>6</v>
      </c>
      <c r="O923" s="1" t="str" cm="1">
        <f t="array" ref="O923">_xlfn.IFS(orders[[#This Row],[Customer Gender]]="M","Male", orders[[#This Row],[Customer Gender]]="F","Female", orders[[#This Row],[Customer Gender]]="O","Other", TRUE,"Unknown")</f>
        <v>Other</v>
      </c>
    </row>
    <row r="924" spans="1:15">
      <c r="A924" s="1" t="s">
        <v>1020</v>
      </c>
      <c r="B924" s="1" t="s">
        <v>46</v>
      </c>
      <c r="C924" s="1">
        <v>3</v>
      </c>
      <c r="D924" s="1">
        <v>70.900000000000006</v>
      </c>
      <c r="E924" s="11">
        <v>212.70000000000002</v>
      </c>
      <c r="F924" s="3">
        <v>45694</v>
      </c>
      <c r="G924" s="3">
        <v>45699</v>
      </c>
      <c r="H924" s="1" t="s">
        <v>27</v>
      </c>
      <c r="I924" s="1" t="s">
        <v>40</v>
      </c>
      <c r="J924" s="1">
        <v>5</v>
      </c>
      <c r="K924" s="1" t="s">
        <v>19</v>
      </c>
      <c r="L924" s="1" t="s">
        <v>33</v>
      </c>
      <c r="M924" s="1">
        <f>orders[[#This Row],[Ship Date]]-orders[[#This Row],[Order Date]]</f>
        <v>5</v>
      </c>
      <c r="N924" s="1">
        <f>WEEKNUM(orders[[#This Row],[Order Date]])</f>
        <v>6</v>
      </c>
      <c r="O924" s="1" t="str" cm="1">
        <f t="array" ref="O924">_xlfn.IFS(orders[[#This Row],[Customer Gender]]="M","Male", orders[[#This Row],[Customer Gender]]="F","Female", orders[[#This Row],[Customer Gender]]="O","Other", TRUE,"Unknown")</f>
        <v>Female</v>
      </c>
    </row>
    <row r="925" spans="1:15">
      <c r="A925" s="1" t="s">
        <v>1021</v>
      </c>
      <c r="B925" s="1" t="s">
        <v>135</v>
      </c>
      <c r="C925" s="1">
        <v>3</v>
      </c>
      <c r="D925" s="1">
        <v>31.9</v>
      </c>
      <c r="E925" s="11">
        <v>95.699999999999989</v>
      </c>
      <c r="F925" s="3">
        <v>45694</v>
      </c>
      <c r="G925" s="3">
        <v>45696</v>
      </c>
      <c r="H925" s="1" t="s">
        <v>27</v>
      </c>
      <c r="I925" s="1" t="s">
        <v>40</v>
      </c>
      <c r="J925" s="1">
        <v>5</v>
      </c>
      <c r="K925" s="1" t="s">
        <v>19</v>
      </c>
      <c r="L925" s="1" t="s">
        <v>33</v>
      </c>
      <c r="M925" s="1">
        <f>orders[[#This Row],[Ship Date]]-orders[[#This Row],[Order Date]]</f>
        <v>2</v>
      </c>
      <c r="N925" s="1">
        <f>WEEKNUM(orders[[#This Row],[Order Date]])</f>
        <v>6</v>
      </c>
      <c r="O925" s="1" t="str" cm="1">
        <f t="array" ref="O925">_xlfn.IFS(orders[[#This Row],[Customer Gender]]="M","Male", orders[[#This Row],[Customer Gender]]="F","Female", orders[[#This Row],[Customer Gender]]="O","Other", TRUE,"Unknown")</f>
        <v>Female</v>
      </c>
    </row>
    <row r="926" spans="1:15">
      <c r="A926" s="1" t="s">
        <v>1022</v>
      </c>
      <c r="B926" s="1" t="s">
        <v>16</v>
      </c>
      <c r="C926" s="1">
        <v>2</v>
      </c>
      <c r="D926" s="1">
        <v>20.399999999999999</v>
      </c>
      <c r="E926" s="11">
        <v>40.799999999999997</v>
      </c>
      <c r="F926" s="3">
        <v>45694</v>
      </c>
      <c r="G926" s="3">
        <v>45698</v>
      </c>
      <c r="H926" s="1" t="s">
        <v>23</v>
      </c>
      <c r="I926" s="1" t="s">
        <v>51</v>
      </c>
      <c r="J926" s="1">
        <v>5</v>
      </c>
      <c r="K926" s="1" t="s">
        <v>19</v>
      </c>
      <c r="L926" s="1" t="s">
        <v>33</v>
      </c>
      <c r="M926" s="1">
        <f>orders[[#This Row],[Ship Date]]-orders[[#This Row],[Order Date]]</f>
        <v>4</v>
      </c>
      <c r="N926" s="1">
        <f>WEEKNUM(orders[[#This Row],[Order Date]])</f>
        <v>6</v>
      </c>
      <c r="O926" s="1" t="str" cm="1">
        <f t="array" ref="O926">_xlfn.IFS(orders[[#This Row],[Customer Gender]]="M","Male", orders[[#This Row],[Customer Gender]]="F","Female", orders[[#This Row],[Customer Gender]]="O","Other", TRUE,"Unknown")</f>
        <v>Male</v>
      </c>
    </row>
    <row r="927" spans="1:15">
      <c r="A927" s="1" t="s">
        <v>1023</v>
      </c>
      <c r="B927" s="1" t="s">
        <v>44</v>
      </c>
      <c r="C927" s="1">
        <v>2</v>
      </c>
      <c r="D927" s="1">
        <v>18.600000000000001</v>
      </c>
      <c r="E927" s="11">
        <v>37.200000000000003</v>
      </c>
      <c r="F927" s="3">
        <v>45694</v>
      </c>
      <c r="G927" s="3">
        <v>45696</v>
      </c>
      <c r="H927" s="1" t="s">
        <v>17</v>
      </c>
      <c r="I927" s="1" t="s">
        <v>18</v>
      </c>
      <c r="J927" s="1">
        <v>3</v>
      </c>
      <c r="K927" s="1" t="s">
        <v>19</v>
      </c>
      <c r="L927" s="1" t="s">
        <v>33</v>
      </c>
      <c r="M927" s="1">
        <f>orders[[#This Row],[Ship Date]]-orders[[#This Row],[Order Date]]</f>
        <v>2</v>
      </c>
      <c r="N927" s="1">
        <f>WEEKNUM(orders[[#This Row],[Order Date]])</f>
        <v>6</v>
      </c>
      <c r="O927" s="1" t="str" cm="1">
        <f t="array" ref="O927">_xlfn.IFS(orders[[#This Row],[Customer Gender]]="M","Male", orders[[#This Row],[Customer Gender]]="F","Female", orders[[#This Row],[Customer Gender]]="O","Other", TRUE,"Unknown")</f>
        <v>Unknown</v>
      </c>
    </row>
    <row r="928" spans="1:15">
      <c r="A928" s="1" t="s">
        <v>1024</v>
      </c>
      <c r="B928" s="1" t="s">
        <v>32</v>
      </c>
      <c r="C928" s="1">
        <v>5</v>
      </c>
      <c r="D928" s="1">
        <v>48.3</v>
      </c>
      <c r="E928" s="11">
        <v>241.5</v>
      </c>
      <c r="F928" s="3">
        <v>45694</v>
      </c>
      <c r="G928" s="3">
        <v>45696</v>
      </c>
      <c r="H928" s="1" t="s">
        <v>27</v>
      </c>
      <c r="I928" s="1" t="s">
        <v>35</v>
      </c>
      <c r="J928" s="1">
        <v>4</v>
      </c>
      <c r="K928" s="1" t="s">
        <v>19</v>
      </c>
      <c r="L928" s="1" t="s">
        <v>33</v>
      </c>
      <c r="M928" s="1">
        <f>orders[[#This Row],[Ship Date]]-orders[[#This Row],[Order Date]]</f>
        <v>2</v>
      </c>
      <c r="N928" s="1">
        <f>WEEKNUM(orders[[#This Row],[Order Date]])</f>
        <v>6</v>
      </c>
      <c r="O928" s="1" t="str" cm="1">
        <f t="array" ref="O928">_xlfn.IFS(orders[[#This Row],[Customer Gender]]="M","Male", orders[[#This Row],[Customer Gender]]="F","Female", orders[[#This Row],[Customer Gender]]="O","Other", TRUE,"Unknown")</f>
        <v>Female</v>
      </c>
    </row>
    <row r="929" spans="1:15">
      <c r="A929" s="1" t="s">
        <v>1025</v>
      </c>
      <c r="B929" s="1" t="s">
        <v>16</v>
      </c>
      <c r="C929" s="1">
        <v>4</v>
      </c>
      <c r="D929" s="1">
        <v>27.7</v>
      </c>
      <c r="E929" s="11">
        <v>110.8</v>
      </c>
      <c r="F929" s="3">
        <v>45694</v>
      </c>
      <c r="G929" s="3">
        <v>45696</v>
      </c>
      <c r="H929" s="1" t="s">
        <v>27</v>
      </c>
      <c r="I929" s="1" t="s">
        <v>18</v>
      </c>
      <c r="J929" s="1">
        <v>4</v>
      </c>
      <c r="K929" s="1" t="s">
        <v>19</v>
      </c>
      <c r="L929" s="1" t="s">
        <v>33</v>
      </c>
      <c r="M929" s="1">
        <f>orders[[#This Row],[Ship Date]]-orders[[#This Row],[Order Date]]</f>
        <v>2</v>
      </c>
      <c r="N929" s="1">
        <f>WEEKNUM(orders[[#This Row],[Order Date]])</f>
        <v>6</v>
      </c>
      <c r="O929" s="1" t="str" cm="1">
        <f t="array" ref="O929">_xlfn.IFS(orders[[#This Row],[Customer Gender]]="M","Male", orders[[#This Row],[Customer Gender]]="F","Female", orders[[#This Row],[Customer Gender]]="O","Other", TRUE,"Unknown")</f>
        <v>Female</v>
      </c>
    </row>
    <row r="930" spans="1:15">
      <c r="A930" s="1" t="s">
        <v>1026</v>
      </c>
      <c r="B930" s="1" t="s">
        <v>32</v>
      </c>
      <c r="C930" s="1">
        <v>5</v>
      </c>
      <c r="D930" s="1">
        <v>22.5</v>
      </c>
      <c r="E930" s="11">
        <v>112.5</v>
      </c>
      <c r="F930" s="3">
        <v>45694</v>
      </c>
      <c r="G930" s="3">
        <v>45696</v>
      </c>
      <c r="H930" s="1" t="s">
        <v>27</v>
      </c>
      <c r="I930" s="1" t="s">
        <v>70</v>
      </c>
      <c r="J930" s="1">
        <v>5</v>
      </c>
      <c r="K930" s="1" t="s">
        <v>19</v>
      </c>
      <c r="L930" s="1" t="s">
        <v>33</v>
      </c>
      <c r="M930" s="1">
        <f>orders[[#This Row],[Ship Date]]-orders[[#This Row],[Order Date]]</f>
        <v>2</v>
      </c>
      <c r="N930" s="1">
        <f>WEEKNUM(orders[[#This Row],[Order Date]])</f>
        <v>6</v>
      </c>
      <c r="O930" s="1" t="str" cm="1">
        <f t="array" ref="O930">_xlfn.IFS(orders[[#This Row],[Customer Gender]]="M","Male", orders[[#This Row],[Customer Gender]]="F","Female", orders[[#This Row],[Customer Gender]]="O","Other", TRUE,"Unknown")</f>
        <v>Female</v>
      </c>
    </row>
    <row r="931" spans="1:15">
      <c r="A931" s="1" t="s">
        <v>1027</v>
      </c>
      <c r="B931" s="1" t="s">
        <v>135</v>
      </c>
      <c r="C931" s="1">
        <v>5</v>
      </c>
      <c r="D931" s="1">
        <v>21.6</v>
      </c>
      <c r="E931" s="11">
        <v>108</v>
      </c>
      <c r="F931" s="3">
        <v>45694</v>
      </c>
      <c r="G931" s="3">
        <v>45702</v>
      </c>
      <c r="H931" s="1" t="s">
        <v>27</v>
      </c>
      <c r="I931" s="1" t="s">
        <v>18</v>
      </c>
      <c r="J931" s="1">
        <v>3</v>
      </c>
      <c r="K931" s="1" t="s">
        <v>19</v>
      </c>
      <c r="L931" s="1" t="s">
        <v>33</v>
      </c>
      <c r="M931" s="1">
        <f>orders[[#This Row],[Ship Date]]-orders[[#This Row],[Order Date]]</f>
        <v>8</v>
      </c>
      <c r="N931" s="1">
        <f>WEEKNUM(orders[[#This Row],[Order Date]])</f>
        <v>6</v>
      </c>
      <c r="O931" s="1" t="str" cm="1">
        <f t="array" ref="O931">_xlfn.IFS(orders[[#This Row],[Customer Gender]]="M","Male", orders[[#This Row],[Customer Gender]]="F","Female", orders[[#This Row],[Customer Gender]]="O","Other", TRUE,"Unknown")</f>
        <v>Female</v>
      </c>
    </row>
    <row r="932" spans="1:15">
      <c r="A932" s="1" t="s">
        <v>1028</v>
      </c>
      <c r="B932" s="1" t="s">
        <v>54</v>
      </c>
      <c r="C932" s="1">
        <v>7</v>
      </c>
      <c r="D932" s="1">
        <v>26.3</v>
      </c>
      <c r="E932" s="11">
        <v>184.1</v>
      </c>
      <c r="F932" s="3">
        <v>45694</v>
      </c>
      <c r="G932" s="3">
        <v>45694</v>
      </c>
      <c r="H932" s="1" t="s">
        <v>27</v>
      </c>
      <c r="I932" s="1" t="s">
        <v>40</v>
      </c>
      <c r="J932" s="1">
        <v>3</v>
      </c>
      <c r="K932" s="1" t="s">
        <v>19</v>
      </c>
      <c r="L932" s="1" t="s">
        <v>33</v>
      </c>
      <c r="M932" s="1">
        <f>orders[[#This Row],[Ship Date]]-orders[[#This Row],[Order Date]]</f>
        <v>0</v>
      </c>
      <c r="N932" s="1">
        <f>WEEKNUM(orders[[#This Row],[Order Date]])</f>
        <v>6</v>
      </c>
      <c r="O932" s="1" t="str" cm="1">
        <f t="array" ref="O932">_xlfn.IFS(orders[[#This Row],[Customer Gender]]="M","Male", orders[[#This Row],[Customer Gender]]="F","Female", orders[[#This Row],[Customer Gender]]="O","Other", TRUE,"Unknown")</f>
        <v>Female</v>
      </c>
    </row>
    <row r="933" spans="1:15">
      <c r="A933" s="1" t="s">
        <v>1029</v>
      </c>
      <c r="B933" s="1" t="s">
        <v>39</v>
      </c>
      <c r="C933" s="1">
        <v>7</v>
      </c>
      <c r="D933" s="1">
        <v>103</v>
      </c>
      <c r="E933" s="11">
        <v>721</v>
      </c>
      <c r="F933" s="3">
        <v>45695</v>
      </c>
      <c r="G933" s="3">
        <v>45696</v>
      </c>
      <c r="H933" s="1" t="s">
        <v>23</v>
      </c>
      <c r="I933" s="1" t="s">
        <v>18</v>
      </c>
      <c r="J933" s="1">
        <v>5</v>
      </c>
      <c r="K933" s="1" t="s">
        <v>19</v>
      </c>
      <c r="L933" s="1" t="s">
        <v>55</v>
      </c>
      <c r="M933" s="1">
        <f>orders[[#This Row],[Ship Date]]-orders[[#This Row],[Order Date]]</f>
        <v>1</v>
      </c>
      <c r="N933" s="1">
        <f>WEEKNUM(orders[[#This Row],[Order Date]])</f>
        <v>6</v>
      </c>
      <c r="O933" s="1" t="str" cm="1">
        <f t="array" ref="O933">_xlfn.IFS(orders[[#This Row],[Customer Gender]]="M","Male", orders[[#This Row],[Customer Gender]]="F","Female", orders[[#This Row],[Customer Gender]]="O","Other", TRUE,"Unknown")</f>
        <v>Male</v>
      </c>
    </row>
    <row r="934" spans="1:15">
      <c r="A934" s="1" t="s">
        <v>1030</v>
      </c>
      <c r="B934" s="1" t="s">
        <v>37</v>
      </c>
      <c r="C934" s="1">
        <v>15</v>
      </c>
      <c r="D934" s="1">
        <v>46.6</v>
      </c>
      <c r="E934" s="11">
        <v>699</v>
      </c>
      <c r="F934" s="3">
        <v>45695</v>
      </c>
      <c r="G934" s="3">
        <v>45696</v>
      </c>
      <c r="H934" s="1" t="s">
        <v>27</v>
      </c>
      <c r="I934" s="1" t="s">
        <v>18</v>
      </c>
      <c r="J934" s="1">
        <v>3</v>
      </c>
      <c r="K934" s="1" t="s">
        <v>19</v>
      </c>
      <c r="L934" s="1" t="s">
        <v>55</v>
      </c>
      <c r="M934" s="1">
        <f>orders[[#This Row],[Ship Date]]-orders[[#This Row],[Order Date]]</f>
        <v>1</v>
      </c>
      <c r="N934" s="1">
        <f>WEEKNUM(orders[[#This Row],[Order Date]])</f>
        <v>6</v>
      </c>
      <c r="O934" s="1" t="str" cm="1">
        <f t="array" ref="O934">_xlfn.IFS(orders[[#This Row],[Customer Gender]]="M","Male", orders[[#This Row],[Customer Gender]]="F","Female", orders[[#This Row],[Customer Gender]]="O","Other", TRUE,"Unknown")</f>
        <v>Female</v>
      </c>
    </row>
    <row r="935" spans="1:15">
      <c r="A935" s="1" t="s">
        <v>1031</v>
      </c>
      <c r="B935" s="1" t="s">
        <v>16</v>
      </c>
      <c r="C935" s="1">
        <v>5</v>
      </c>
      <c r="D935" s="1">
        <v>32.200000000000003</v>
      </c>
      <c r="E935" s="11">
        <v>161</v>
      </c>
      <c r="F935" s="3">
        <v>45695</v>
      </c>
      <c r="G935" s="3">
        <v>45698</v>
      </c>
      <c r="H935" s="1" t="s">
        <v>27</v>
      </c>
      <c r="I935" s="1" t="s">
        <v>18</v>
      </c>
      <c r="J935" s="1">
        <v>5</v>
      </c>
      <c r="K935" s="1" t="s">
        <v>19</v>
      </c>
      <c r="L935" s="1" t="s">
        <v>342</v>
      </c>
      <c r="M935" s="1">
        <f>orders[[#This Row],[Ship Date]]-orders[[#This Row],[Order Date]]</f>
        <v>3</v>
      </c>
      <c r="N935" s="1">
        <f>WEEKNUM(orders[[#This Row],[Order Date]])</f>
        <v>6</v>
      </c>
      <c r="O935" s="1" t="str" cm="1">
        <f t="array" ref="O935">_xlfn.IFS(orders[[#This Row],[Customer Gender]]="M","Male", orders[[#This Row],[Customer Gender]]="F","Female", orders[[#This Row],[Customer Gender]]="O","Other", TRUE,"Unknown")</f>
        <v>Female</v>
      </c>
    </row>
    <row r="936" spans="1:15">
      <c r="A936" s="1" t="s">
        <v>1032</v>
      </c>
      <c r="B936" s="1" t="s">
        <v>44</v>
      </c>
      <c r="C936" s="1">
        <v>3</v>
      </c>
      <c r="D936" s="1">
        <v>22</v>
      </c>
      <c r="E936" s="11">
        <v>66</v>
      </c>
      <c r="F936" s="3">
        <v>45695</v>
      </c>
      <c r="G936" s="3">
        <v>45702</v>
      </c>
      <c r="H936" s="1" t="s">
        <v>23</v>
      </c>
      <c r="I936" s="1" t="s">
        <v>35</v>
      </c>
      <c r="J936" s="1">
        <v>4</v>
      </c>
      <c r="K936" s="1" t="s">
        <v>19</v>
      </c>
      <c r="L936" s="1" t="s">
        <v>59</v>
      </c>
      <c r="M936" s="1">
        <f>orders[[#This Row],[Ship Date]]-orders[[#This Row],[Order Date]]</f>
        <v>7</v>
      </c>
      <c r="N936" s="1">
        <f>WEEKNUM(orders[[#This Row],[Order Date]])</f>
        <v>6</v>
      </c>
      <c r="O936" s="1" t="str" cm="1">
        <f t="array" ref="O936">_xlfn.IFS(orders[[#This Row],[Customer Gender]]="M","Male", orders[[#This Row],[Customer Gender]]="F","Female", orders[[#This Row],[Customer Gender]]="O","Other", TRUE,"Unknown")</f>
        <v>Male</v>
      </c>
    </row>
    <row r="937" spans="1:15">
      <c r="A937" s="1" t="s">
        <v>1033</v>
      </c>
      <c r="B937" s="1" t="s">
        <v>16</v>
      </c>
      <c r="C937" s="1">
        <v>2</v>
      </c>
      <c r="D937" s="1">
        <v>25.2</v>
      </c>
      <c r="E937" s="11">
        <v>50.4</v>
      </c>
      <c r="F937" s="3">
        <v>45695</v>
      </c>
      <c r="G937" s="3">
        <v>45699</v>
      </c>
      <c r="H937" s="1" t="s">
        <v>27</v>
      </c>
      <c r="I937" s="1" t="s">
        <v>18</v>
      </c>
      <c r="J937" s="1">
        <v>4</v>
      </c>
      <c r="K937" s="1" t="s">
        <v>19</v>
      </c>
      <c r="L937" s="1" t="s">
        <v>59</v>
      </c>
      <c r="M937" s="1">
        <f>orders[[#This Row],[Ship Date]]-orders[[#This Row],[Order Date]]</f>
        <v>4</v>
      </c>
      <c r="N937" s="1">
        <f>WEEKNUM(orders[[#This Row],[Order Date]])</f>
        <v>6</v>
      </c>
      <c r="O937" s="1" t="str" cm="1">
        <f t="array" ref="O937">_xlfn.IFS(orders[[#This Row],[Customer Gender]]="M","Male", orders[[#This Row],[Customer Gender]]="F","Female", orders[[#This Row],[Customer Gender]]="O","Other", TRUE,"Unknown")</f>
        <v>Female</v>
      </c>
    </row>
    <row r="938" spans="1:15">
      <c r="A938" s="1" t="s">
        <v>1034</v>
      </c>
      <c r="B938" s="1" t="s">
        <v>22</v>
      </c>
      <c r="C938" s="1">
        <v>6</v>
      </c>
      <c r="D938" s="1">
        <v>68.7</v>
      </c>
      <c r="E938" s="11">
        <v>412.20000000000005</v>
      </c>
      <c r="F938" s="3">
        <v>45695</v>
      </c>
      <c r="G938" s="3">
        <v>45697</v>
      </c>
      <c r="H938" s="1" t="s">
        <v>23</v>
      </c>
      <c r="I938" s="1" t="s">
        <v>70</v>
      </c>
      <c r="J938" s="1">
        <v>4</v>
      </c>
      <c r="K938" s="1" t="s">
        <v>19</v>
      </c>
      <c r="L938" s="1" t="s">
        <v>62</v>
      </c>
      <c r="M938" s="1">
        <f>orders[[#This Row],[Ship Date]]-orders[[#This Row],[Order Date]]</f>
        <v>2</v>
      </c>
      <c r="N938" s="1">
        <f>WEEKNUM(orders[[#This Row],[Order Date]])</f>
        <v>6</v>
      </c>
      <c r="O938" s="1" t="str" cm="1">
        <f t="array" ref="O938">_xlfn.IFS(orders[[#This Row],[Customer Gender]]="M","Male", orders[[#This Row],[Customer Gender]]="F","Female", orders[[#This Row],[Customer Gender]]="O","Other", TRUE,"Unknown")</f>
        <v>Male</v>
      </c>
    </row>
    <row r="939" spans="1:15">
      <c r="A939" s="1" t="s">
        <v>1035</v>
      </c>
      <c r="B939" s="1" t="s">
        <v>16</v>
      </c>
      <c r="C939" s="1">
        <v>3</v>
      </c>
      <c r="D939" s="1">
        <v>22.2</v>
      </c>
      <c r="E939" s="11">
        <v>66.599999999999994</v>
      </c>
      <c r="F939" s="3">
        <v>45695</v>
      </c>
      <c r="G939" s="3">
        <v>45698</v>
      </c>
      <c r="H939" s="1" t="s">
        <v>23</v>
      </c>
      <c r="I939" s="1" t="s">
        <v>40</v>
      </c>
      <c r="J939" s="1">
        <v>5</v>
      </c>
      <c r="K939" s="1" t="s">
        <v>19</v>
      </c>
      <c r="L939" s="1" t="s">
        <v>62</v>
      </c>
      <c r="M939" s="1">
        <f>orders[[#This Row],[Ship Date]]-orders[[#This Row],[Order Date]]</f>
        <v>3</v>
      </c>
      <c r="N939" s="1">
        <f>WEEKNUM(orders[[#This Row],[Order Date]])</f>
        <v>6</v>
      </c>
      <c r="O939" s="1" t="str" cm="1">
        <f t="array" ref="O939">_xlfn.IFS(orders[[#This Row],[Customer Gender]]="M","Male", orders[[#This Row],[Customer Gender]]="F","Female", orders[[#This Row],[Customer Gender]]="O","Other", TRUE,"Unknown")</f>
        <v>Male</v>
      </c>
    </row>
    <row r="940" spans="1:15">
      <c r="A940" s="1" t="s">
        <v>1036</v>
      </c>
      <c r="B940" s="1" t="s">
        <v>22</v>
      </c>
      <c r="C940" s="1">
        <v>7</v>
      </c>
      <c r="D940" s="1">
        <v>36</v>
      </c>
      <c r="E940" s="11">
        <v>252</v>
      </c>
      <c r="F940" s="3">
        <v>45695</v>
      </c>
      <c r="G940" s="3">
        <v>45696</v>
      </c>
      <c r="H940" s="1" t="s">
        <v>27</v>
      </c>
      <c r="I940" s="1" t="s">
        <v>35</v>
      </c>
      <c r="J940" s="1">
        <v>4</v>
      </c>
      <c r="K940" s="1" t="s">
        <v>19</v>
      </c>
      <c r="L940" s="1" t="s">
        <v>62</v>
      </c>
      <c r="M940" s="1">
        <f>orders[[#This Row],[Ship Date]]-orders[[#This Row],[Order Date]]</f>
        <v>1</v>
      </c>
      <c r="N940" s="1">
        <f>WEEKNUM(orders[[#This Row],[Order Date]])</f>
        <v>6</v>
      </c>
      <c r="O940" s="1" t="str" cm="1">
        <f t="array" ref="O940">_xlfn.IFS(orders[[#This Row],[Customer Gender]]="M","Male", orders[[#This Row],[Customer Gender]]="F","Female", orders[[#This Row],[Customer Gender]]="O","Other", TRUE,"Unknown")</f>
        <v>Female</v>
      </c>
    </row>
    <row r="941" spans="1:15">
      <c r="A941" s="1" t="s">
        <v>1037</v>
      </c>
      <c r="B941" s="1" t="s">
        <v>146</v>
      </c>
      <c r="C941" s="1">
        <v>1</v>
      </c>
      <c r="D941" s="1">
        <v>50.6</v>
      </c>
      <c r="E941" s="11">
        <v>50.6</v>
      </c>
      <c r="F941" s="3">
        <v>45695</v>
      </c>
      <c r="G941" s="3">
        <v>45697</v>
      </c>
      <c r="H941" s="1" t="s">
        <v>27</v>
      </c>
      <c r="I941" s="1" t="s">
        <v>18</v>
      </c>
      <c r="J941" s="1">
        <v>3</v>
      </c>
      <c r="K941" s="1" t="s">
        <v>19</v>
      </c>
      <c r="L941" s="1" t="s">
        <v>62</v>
      </c>
      <c r="M941" s="1">
        <f>orders[[#This Row],[Ship Date]]-orders[[#This Row],[Order Date]]</f>
        <v>2</v>
      </c>
      <c r="N941" s="1">
        <f>WEEKNUM(orders[[#This Row],[Order Date]])</f>
        <v>6</v>
      </c>
      <c r="O941" s="1" t="str" cm="1">
        <f t="array" ref="O941">_xlfn.IFS(orders[[#This Row],[Customer Gender]]="M","Male", orders[[#This Row],[Customer Gender]]="F","Female", orders[[#This Row],[Customer Gender]]="O","Other", TRUE,"Unknown")</f>
        <v>Female</v>
      </c>
    </row>
    <row r="942" spans="1:15">
      <c r="A942" s="1" t="s">
        <v>1038</v>
      </c>
      <c r="B942" s="1" t="s">
        <v>123</v>
      </c>
      <c r="C942" s="1">
        <v>2</v>
      </c>
      <c r="D942" s="1">
        <v>44.9</v>
      </c>
      <c r="E942" s="11">
        <v>89.8</v>
      </c>
      <c r="F942" s="3">
        <v>45695</v>
      </c>
      <c r="G942" s="3">
        <v>45697</v>
      </c>
      <c r="H942" s="1" t="s">
        <v>23</v>
      </c>
      <c r="I942" s="1" t="s">
        <v>18</v>
      </c>
      <c r="J942" s="1">
        <v>3</v>
      </c>
      <c r="K942" s="1" t="s">
        <v>19</v>
      </c>
      <c r="L942" s="1" t="s">
        <v>62</v>
      </c>
      <c r="M942" s="1">
        <f>orders[[#This Row],[Ship Date]]-orders[[#This Row],[Order Date]]</f>
        <v>2</v>
      </c>
      <c r="N942" s="1">
        <f>WEEKNUM(orders[[#This Row],[Order Date]])</f>
        <v>6</v>
      </c>
      <c r="O942" s="1" t="str" cm="1">
        <f t="array" ref="O942">_xlfn.IFS(orders[[#This Row],[Customer Gender]]="M","Male", orders[[#This Row],[Customer Gender]]="F","Female", orders[[#This Row],[Customer Gender]]="O","Other", TRUE,"Unknown")</f>
        <v>Male</v>
      </c>
    </row>
    <row r="943" spans="1:15">
      <c r="A943" s="1" t="s">
        <v>1039</v>
      </c>
      <c r="B943" s="1" t="s">
        <v>39</v>
      </c>
      <c r="C943" s="1">
        <v>3</v>
      </c>
      <c r="D943" s="1">
        <v>71.599999999999994</v>
      </c>
      <c r="E943" s="11">
        <v>214.79999999999998</v>
      </c>
      <c r="F943" s="3">
        <v>45695</v>
      </c>
      <c r="G943" s="3">
        <v>45699</v>
      </c>
      <c r="H943" s="1" t="s">
        <v>23</v>
      </c>
      <c r="I943" s="1" t="s">
        <v>35</v>
      </c>
      <c r="J943" s="1">
        <v>5</v>
      </c>
      <c r="K943" s="1" t="s">
        <v>19</v>
      </c>
      <c r="L943" s="1" t="s">
        <v>74</v>
      </c>
      <c r="M943" s="1">
        <f>orders[[#This Row],[Ship Date]]-orders[[#This Row],[Order Date]]</f>
        <v>4</v>
      </c>
      <c r="N943" s="1">
        <f>WEEKNUM(orders[[#This Row],[Order Date]])</f>
        <v>6</v>
      </c>
      <c r="O943" s="1" t="str" cm="1">
        <f t="array" ref="O943">_xlfn.IFS(orders[[#This Row],[Customer Gender]]="M","Male", orders[[#This Row],[Customer Gender]]="F","Female", orders[[#This Row],[Customer Gender]]="O","Other", TRUE,"Unknown")</f>
        <v>Male</v>
      </c>
    </row>
    <row r="944" spans="1:15">
      <c r="A944" s="1" t="s">
        <v>1040</v>
      </c>
      <c r="B944" s="1" t="s">
        <v>39</v>
      </c>
      <c r="C944" s="1">
        <v>6</v>
      </c>
      <c r="D944" s="1">
        <v>51.5</v>
      </c>
      <c r="E944" s="11">
        <v>309</v>
      </c>
      <c r="F944" s="3">
        <v>45695</v>
      </c>
      <c r="G944" s="3">
        <v>45697</v>
      </c>
      <c r="H944" s="1" t="s">
        <v>17</v>
      </c>
      <c r="I944" s="1" t="s">
        <v>70</v>
      </c>
      <c r="J944" s="1">
        <v>4</v>
      </c>
      <c r="K944" s="1" t="s">
        <v>19</v>
      </c>
      <c r="L944" s="1" t="s">
        <v>77</v>
      </c>
      <c r="M944" s="1">
        <f>orders[[#This Row],[Ship Date]]-orders[[#This Row],[Order Date]]</f>
        <v>2</v>
      </c>
      <c r="N944" s="1">
        <f>WEEKNUM(orders[[#This Row],[Order Date]])</f>
        <v>6</v>
      </c>
      <c r="O944" s="1" t="str" cm="1">
        <f t="array" ref="O944">_xlfn.IFS(orders[[#This Row],[Customer Gender]]="M","Male", orders[[#This Row],[Customer Gender]]="F","Female", orders[[#This Row],[Customer Gender]]="O","Other", TRUE,"Unknown")</f>
        <v>Unknown</v>
      </c>
    </row>
    <row r="945" spans="1:15">
      <c r="A945" s="1" t="s">
        <v>1041</v>
      </c>
      <c r="B945" s="1" t="s">
        <v>42</v>
      </c>
      <c r="C945" s="1">
        <v>5</v>
      </c>
      <c r="D945" s="1">
        <v>55.5</v>
      </c>
      <c r="E945" s="11">
        <v>277.5</v>
      </c>
      <c r="F945" s="3">
        <v>45695</v>
      </c>
      <c r="G945" s="3">
        <v>45696</v>
      </c>
      <c r="H945" s="1" t="s">
        <v>23</v>
      </c>
      <c r="I945" s="1" t="s">
        <v>35</v>
      </c>
      <c r="J945" s="1">
        <v>3</v>
      </c>
      <c r="K945" s="1" t="s">
        <v>19</v>
      </c>
      <c r="L945" s="1" t="s">
        <v>77</v>
      </c>
      <c r="M945" s="1">
        <f>orders[[#This Row],[Ship Date]]-orders[[#This Row],[Order Date]]</f>
        <v>1</v>
      </c>
      <c r="N945" s="1">
        <f>WEEKNUM(orders[[#This Row],[Order Date]])</f>
        <v>6</v>
      </c>
      <c r="O945" s="1" t="str" cm="1">
        <f t="array" ref="O945">_xlfn.IFS(orders[[#This Row],[Customer Gender]]="M","Male", orders[[#This Row],[Customer Gender]]="F","Female", orders[[#This Row],[Customer Gender]]="O","Other", TRUE,"Unknown")</f>
        <v>Male</v>
      </c>
    </row>
    <row r="946" spans="1:15">
      <c r="A946" s="1" t="s">
        <v>1042</v>
      </c>
      <c r="B946" s="1" t="s">
        <v>39</v>
      </c>
      <c r="C946" s="1">
        <v>1</v>
      </c>
      <c r="D946" s="1">
        <v>51.7</v>
      </c>
      <c r="E946" s="11">
        <v>51.7</v>
      </c>
      <c r="F946" s="3">
        <v>45695</v>
      </c>
      <c r="G946" s="3">
        <v>45709</v>
      </c>
      <c r="H946" s="1" t="s">
        <v>23</v>
      </c>
      <c r="I946" s="1" t="s">
        <v>40</v>
      </c>
      <c r="J946" s="1">
        <v>4</v>
      </c>
      <c r="K946" s="1" t="s">
        <v>19</v>
      </c>
      <c r="L946" s="1" t="s">
        <v>110</v>
      </c>
      <c r="M946" s="1">
        <f>orders[[#This Row],[Ship Date]]-orders[[#This Row],[Order Date]]</f>
        <v>14</v>
      </c>
      <c r="N946" s="1">
        <f>WEEKNUM(orders[[#This Row],[Order Date]])</f>
        <v>6</v>
      </c>
      <c r="O946" s="1" t="str" cm="1">
        <f t="array" ref="O946">_xlfn.IFS(orders[[#This Row],[Customer Gender]]="M","Male", orders[[#This Row],[Customer Gender]]="F","Female", orders[[#This Row],[Customer Gender]]="O","Other", TRUE,"Unknown")</f>
        <v>Male</v>
      </c>
    </row>
    <row r="947" spans="1:15">
      <c r="A947" s="1" t="s">
        <v>1043</v>
      </c>
      <c r="B947" s="1" t="s">
        <v>44</v>
      </c>
      <c r="C947" s="1">
        <v>21</v>
      </c>
      <c r="D947" s="1">
        <v>45.5</v>
      </c>
      <c r="E947" s="11">
        <v>955.5</v>
      </c>
      <c r="F947" s="3">
        <v>45695</v>
      </c>
      <c r="G947" s="3">
        <v>45696</v>
      </c>
      <c r="H947" s="1" t="s">
        <v>27</v>
      </c>
      <c r="I947" s="1" t="s">
        <v>51</v>
      </c>
      <c r="J947" s="1">
        <v>5</v>
      </c>
      <c r="K947" s="1" t="s">
        <v>19</v>
      </c>
      <c r="L947" s="1" t="s">
        <v>110</v>
      </c>
      <c r="M947" s="1">
        <f>orders[[#This Row],[Ship Date]]-orders[[#This Row],[Order Date]]</f>
        <v>1</v>
      </c>
      <c r="N947" s="1">
        <f>WEEKNUM(orders[[#This Row],[Order Date]])</f>
        <v>6</v>
      </c>
      <c r="O947" s="1" t="str" cm="1">
        <f t="array" ref="O947">_xlfn.IFS(orders[[#This Row],[Customer Gender]]="M","Male", orders[[#This Row],[Customer Gender]]="F","Female", orders[[#This Row],[Customer Gender]]="O","Other", TRUE,"Unknown")</f>
        <v>Female</v>
      </c>
    </row>
    <row r="948" spans="1:15">
      <c r="A948" s="1" t="s">
        <v>1044</v>
      </c>
      <c r="B948" s="1" t="s">
        <v>44</v>
      </c>
      <c r="C948" s="1">
        <v>2</v>
      </c>
      <c r="D948" s="1">
        <v>33.799999999999997</v>
      </c>
      <c r="E948" s="11">
        <v>67.599999999999994</v>
      </c>
      <c r="F948" s="3">
        <v>45695</v>
      </c>
      <c r="G948" s="3">
        <v>45701</v>
      </c>
      <c r="H948" s="1" t="s">
        <v>27</v>
      </c>
      <c r="I948" s="1" t="s">
        <v>51</v>
      </c>
      <c r="J948" s="1">
        <v>4</v>
      </c>
      <c r="K948" s="1" t="s">
        <v>19</v>
      </c>
      <c r="L948" s="1" t="s">
        <v>113</v>
      </c>
      <c r="M948" s="1">
        <f>orders[[#This Row],[Ship Date]]-orders[[#This Row],[Order Date]]</f>
        <v>6</v>
      </c>
      <c r="N948" s="1">
        <f>WEEKNUM(orders[[#This Row],[Order Date]])</f>
        <v>6</v>
      </c>
      <c r="O948" s="1" t="str" cm="1">
        <f t="array" ref="O948">_xlfn.IFS(orders[[#This Row],[Customer Gender]]="M","Male", orders[[#This Row],[Customer Gender]]="F","Female", orders[[#This Row],[Customer Gender]]="O","Other", TRUE,"Unknown")</f>
        <v>Female</v>
      </c>
    </row>
    <row r="949" spans="1:15">
      <c r="A949" s="1" t="s">
        <v>1045</v>
      </c>
      <c r="B949" s="1" t="s">
        <v>30</v>
      </c>
      <c r="C949" s="1">
        <v>3</v>
      </c>
      <c r="D949" s="1">
        <v>76.5</v>
      </c>
      <c r="E949" s="11">
        <v>229.5</v>
      </c>
      <c r="F949" s="3">
        <v>45695</v>
      </c>
      <c r="G949" s="3">
        <v>45696</v>
      </c>
      <c r="H949" s="1" t="s">
        <v>27</v>
      </c>
      <c r="I949" s="1" t="s">
        <v>18</v>
      </c>
      <c r="J949" s="1">
        <v>3</v>
      </c>
      <c r="K949" s="1" t="s">
        <v>19</v>
      </c>
      <c r="L949" s="1" t="s">
        <v>115</v>
      </c>
      <c r="M949" s="1">
        <f>orders[[#This Row],[Ship Date]]-orders[[#This Row],[Order Date]]</f>
        <v>1</v>
      </c>
      <c r="N949" s="1">
        <f>WEEKNUM(orders[[#This Row],[Order Date]])</f>
        <v>6</v>
      </c>
      <c r="O949" s="1" t="str" cm="1">
        <f t="array" ref="O949">_xlfn.IFS(orders[[#This Row],[Customer Gender]]="M","Male", orders[[#This Row],[Customer Gender]]="F","Female", orders[[#This Row],[Customer Gender]]="O","Other", TRUE,"Unknown")</f>
        <v>Female</v>
      </c>
    </row>
    <row r="950" spans="1:15">
      <c r="A950" s="1" t="s">
        <v>1046</v>
      </c>
      <c r="B950" s="1" t="s">
        <v>46</v>
      </c>
      <c r="C950" s="1">
        <v>3</v>
      </c>
      <c r="D950" s="1">
        <v>42.6</v>
      </c>
      <c r="E950" s="11">
        <v>127.80000000000001</v>
      </c>
      <c r="F950" s="3">
        <v>45695</v>
      </c>
      <c r="G950" s="3">
        <v>45701</v>
      </c>
      <c r="H950" s="1" t="s">
        <v>27</v>
      </c>
      <c r="I950" s="1" t="s">
        <v>40</v>
      </c>
      <c r="J950" s="1">
        <v>5</v>
      </c>
      <c r="K950" s="1" t="s">
        <v>19</v>
      </c>
      <c r="L950" s="1" t="s">
        <v>28</v>
      </c>
      <c r="M950" s="1">
        <f>orders[[#This Row],[Ship Date]]-orders[[#This Row],[Order Date]]</f>
        <v>6</v>
      </c>
      <c r="N950" s="1">
        <f>WEEKNUM(orders[[#This Row],[Order Date]])</f>
        <v>6</v>
      </c>
      <c r="O950" s="1" t="str" cm="1">
        <f t="array" ref="O950">_xlfn.IFS(orders[[#This Row],[Customer Gender]]="M","Male", orders[[#This Row],[Customer Gender]]="F","Female", orders[[#This Row],[Customer Gender]]="O","Other", TRUE,"Unknown")</f>
        <v>Female</v>
      </c>
    </row>
    <row r="951" spans="1:15">
      <c r="A951" s="1" t="s">
        <v>1047</v>
      </c>
      <c r="B951" s="1" t="s">
        <v>39</v>
      </c>
      <c r="C951" s="1">
        <v>3</v>
      </c>
      <c r="D951" s="1">
        <v>44.1</v>
      </c>
      <c r="E951" s="11">
        <v>132.30000000000001</v>
      </c>
      <c r="F951" s="3">
        <v>45695</v>
      </c>
      <c r="G951" s="3">
        <v>45697</v>
      </c>
      <c r="H951" s="1" t="s">
        <v>27</v>
      </c>
      <c r="I951" s="1" t="s">
        <v>35</v>
      </c>
      <c r="J951" s="1">
        <v>3</v>
      </c>
      <c r="K951" s="1" t="s">
        <v>19</v>
      </c>
      <c r="L951" s="1" t="s">
        <v>147</v>
      </c>
      <c r="M951" s="1">
        <f>orders[[#This Row],[Ship Date]]-orders[[#This Row],[Order Date]]</f>
        <v>2</v>
      </c>
      <c r="N951" s="1">
        <f>WEEKNUM(orders[[#This Row],[Order Date]])</f>
        <v>6</v>
      </c>
      <c r="O951" s="1" t="str" cm="1">
        <f t="array" ref="O951">_xlfn.IFS(orders[[#This Row],[Customer Gender]]="M","Male", orders[[#This Row],[Customer Gender]]="F","Female", orders[[#This Row],[Customer Gender]]="O","Other", TRUE,"Unknown")</f>
        <v>Female</v>
      </c>
    </row>
    <row r="952" spans="1:15">
      <c r="A952" s="1" t="s">
        <v>1048</v>
      </c>
      <c r="B952" s="1" t="s">
        <v>44</v>
      </c>
      <c r="C952" s="1">
        <v>2</v>
      </c>
      <c r="D952" s="1">
        <v>40.9</v>
      </c>
      <c r="E952" s="11">
        <v>81.8</v>
      </c>
      <c r="F952" s="3">
        <v>45695</v>
      </c>
      <c r="G952" s="3">
        <v>45699</v>
      </c>
      <c r="H952" s="1" t="s">
        <v>23</v>
      </c>
      <c r="I952" s="1" t="s">
        <v>18</v>
      </c>
      <c r="J952" s="1">
        <v>4</v>
      </c>
      <c r="K952" s="1" t="s">
        <v>19</v>
      </c>
      <c r="L952" s="1" t="s">
        <v>33</v>
      </c>
      <c r="M952" s="1">
        <f>orders[[#This Row],[Ship Date]]-orders[[#This Row],[Order Date]]</f>
        <v>4</v>
      </c>
      <c r="N952" s="1">
        <f>WEEKNUM(orders[[#This Row],[Order Date]])</f>
        <v>6</v>
      </c>
      <c r="O952" s="1" t="str" cm="1">
        <f t="array" ref="O952">_xlfn.IFS(orders[[#This Row],[Customer Gender]]="M","Male", orders[[#This Row],[Customer Gender]]="F","Female", orders[[#This Row],[Customer Gender]]="O","Other", TRUE,"Unknown")</f>
        <v>Male</v>
      </c>
    </row>
    <row r="953" spans="1:15">
      <c r="A953" s="1" t="s">
        <v>1049</v>
      </c>
      <c r="B953" s="1" t="s">
        <v>46</v>
      </c>
      <c r="C953" s="1">
        <v>3</v>
      </c>
      <c r="D953" s="1">
        <v>49.1</v>
      </c>
      <c r="E953" s="11">
        <v>147.30000000000001</v>
      </c>
      <c r="F953" s="3">
        <v>45695</v>
      </c>
      <c r="G953" s="3">
        <v>45699</v>
      </c>
      <c r="H953" s="1" t="s">
        <v>27</v>
      </c>
      <c r="I953" s="1" t="s">
        <v>51</v>
      </c>
      <c r="J953" s="1">
        <v>3</v>
      </c>
      <c r="K953" s="1" t="s">
        <v>19</v>
      </c>
      <c r="L953" s="1" t="s">
        <v>33</v>
      </c>
      <c r="M953" s="1">
        <f>orders[[#This Row],[Ship Date]]-orders[[#This Row],[Order Date]]</f>
        <v>4</v>
      </c>
      <c r="N953" s="1">
        <f>WEEKNUM(orders[[#This Row],[Order Date]])</f>
        <v>6</v>
      </c>
      <c r="O953" s="1" t="str" cm="1">
        <f t="array" ref="O953">_xlfn.IFS(orders[[#This Row],[Customer Gender]]="M","Male", orders[[#This Row],[Customer Gender]]="F","Female", orders[[#This Row],[Customer Gender]]="O","Other", TRUE,"Unknown")</f>
        <v>Female</v>
      </c>
    </row>
    <row r="954" spans="1:15">
      <c r="A954" s="1" t="s">
        <v>1050</v>
      </c>
      <c r="B954" s="1" t="s">
        <v>146</v>
      </c>
      <c r="C954" s="1">
        <v>1</v>
      </c>
      <c r="D954" s="1">
        <v>85.3</v>
      </c>
      <c r="E954" s="11">
        <v>85.3</v>
      </c>
      <c r="F954" s="3">
        <v>45695</v>
      </c>
      <c r="G954" s="3">
        <v>45699</v>
      </c>
      <c r="H954" s="1" t="s">
        <v>23</v>
      </c>
      <c r="I954" s="1" t="s">
        <v>35</v>
      </c>
      <c r="J954" s="1">
        <v>3</v>
      </c>
      <c r="K954" s="1" t="s">
        <v>19</v>
      </c>
      <c r="L954" s="1" t="s">
        <v>33</v>
      </c>
      <c r="M954" s="1">
        <f>orders[[#This Row],[Ship Date]]-orders[[#This Row],[Order Date]]</f>
        <v>4</v>
      </c>
      <c r="N954" s="1">
        <f>WEEKNUM(orders[[#This Row],[Order Date]])</f>
        <v>6</v>
      </c>
      <c r="O954" s="1" t="str" cm="1">
        <f t="array" ref="O954">_xlfn.IFS(orders[[#This Row],[Customer Gender]]="M","Male", orders[[#This Row],[Customer Gender]]="F","Female", orders[[#This Row],[Customer Gender]]="O","Other", TRUE,"Unknown")</f>
        <v>Male</v>
      </c>
    </row>
    <row r="955" spans="1:15">
      <c r="A955" s="1" t="s">
        <v>1051</v>
      </c>
      <c r="B955" s="1" t="s">
        <v>39</v>
      </c>
      <c r="C955" s="1">
        <v>4</v>
      </c>
      <c r="D955" s="1">
        <v>43.1</v>
      </c>
      <c r="E955" s="11">
        <v>172.4</v>
      </c>
      <c r="F955" s="3">
        <v>45696</v>
      </c>
      <c r="G955" s="3">
        <v>45699</v>
      </c>
      <c r="H955" s="1" t="s">
        <v>23</v>
      </c>
      <c r="I955" s="1" t="s">
        <v>18</v>
      </c>
      <c r="J955" s="1">
        <v>4</v>
      </c>
      <c r="K955" s="1" t="s">
        <v>19</v>
      </c>
      <c r="L955" s="1" t="s">
        <v>33</v>
      </c>
      <c r="M955" s="1">
        <f>orders[[#This Row],[Ship Date]]-orders[[#This Row],[Order Date]]</f>
        <v>3</v>
      </c>
      <c r="N955" s="1">
        <f>WEEKNUM(orders[[#This Row],[Order Date]])</f>
        <v>6</v>
      </c>
      <c r="O955" s="1" t="str" cm="1">
        <f t="array" ref="O955">_xlfn.IFS(orders[[#This Row],[Customer Gender]]="M","Male", orders[[#This Row],[Customer Gender]]="F","Female", orders[[#This Row],[Customer Gender]]="O","Other", TRUE,"Unknown")</f>
        <v>Male</v>
      </c>
    </row>
    <row r="956" spans="1:15">
      <c r="A956" s="1" t="s">
        <v>1052</v>
      </c>
      <c r="B956" s="1" t="s">
        <v>32</v>
      </c>
      <c r="C956" s="1">
        <v>4</v>
      </c>
      <c r="D956" s="1">
        <v>46.2</v>
      </c>
      <c r="E956" s="11">
        <v>184.8</v>
      </c>
      <c r="F956" s="3">
        <v>45696</v>
      </c>
      <c r="G956" s="3">
        <v>45697</v>
      </c>
      <c r="H956" s="1" t="s">
        <v>23</v>
      </c>
      <c r="I956" s="1" t="s">
        <v>40</v>
      </c>
      <c r="J956" s="1">
        <v>4</v>
      </c>
      <c r="K956" s="1" t="s">
        <v>19</v>
      </c>
      <c r="L956" s="1" t="s">
        <v>33</v>
      </c>
      <c r="M956" s="1">
        <f>orders[[#This Row],[Ship Date]]-orders[[#This Row],[Order Date]]</f>
        <v>1</v>
      </c>
      <c r="N956" s="1">
        <f>WEEKNUM(orders[[#This Row],[Order Date]])</f>
        <v>6</v>
      </c>
      <c r="O956" s="1" t="str" cm="1">
        <f t="array" ref="O956">_xlfn.IFS(orders[[#This Row],[Customer Gender]]="M","Male", orders[[#This Row],[Customer Gender]]="F","Female", orders[[#This Row],[Customer Gender]]="O","Other", TRUE,"Unknown")</f>
        <v>Male</v>
      </c>
    </row>
    <row r="957" spans="1:15">
      <c r="A957" s="1" t="s">
        <v>1053</v>
      </c>
      <c r="B957" s="1" t="s">
        <v>22</v>
      </c>
      <c r="C957" s="1">
        <v>1</v>
      </c>
      <c r="D957" s="1">
        <v>74.400000000000006</v>
      </c>
      <c r="E957" s="11">
        <v>74.400000000000006</v>
      </c>
      <c r="F957" s="3">
        <v>45696</v>
      </c>
      <c r="G957" s="3">
        <v>45698</v>
      </c>
      <c r="H957" s="1" t="s">
        <v>23</v>
      </c>
      <c r="I957" s="1" t="s">
        <v>70</v>
      </c>
      <c r="J957" s="1">
        <v>5</v>
      </c>
      <c r="K957" s="1" t="s">
        <v>19</v>
      </c>
      <c r="L957" s="1" t="s">
        <v>33</v>
      </c>
      <c r="M957" s="1">
        <f>orders[[#This Row],[Ship Date]]-orders[[#This Row],[Order Date]]</f>
        <v>2</v>
      </c>
      <c r="N957" s="1">
        <f>WEEKNUM(orders[[#This Row],[Order Date]])</f>
        <v>6</v>
      </c>
      <c r="O957" s="1" t="str" cm="1">
        <f t="array" ref="O957">_xlfn.IFS(orders[[#This Row],[Customer Gender]]="M","Male", orders[[#This Row],[Customer Gender]]="F","Female", orders[[#This Row],[Customer Gender]]="O","Other", TRUE,"Unknown")</f>
        <v>Male</v>
      </c>
    </row>
    <row r="958" spans="1:15">
      <c r="A958" s="1" t="s">
        <v>1054</v>
      </c>
      <c r="B958" s="1" t="s">
        <v>135</v>
      </c>
      <c r="C958" s="1">
        <v>2</v>
      </c>
      <c r="D958" s="1">
        <v>51.2</v>
      </c>
      <c r="E958" s="11">
        <v>102.4</v>
      </c>
      <c r="F958" s="3">
        <v>45696</v>
      </c>
      <c r="G958" s="3">
        <v>45697</v>
      </c>
      <c r="H958" s="1" t="s">
        <v>23</v>
      </c>
      <c r="I958" s="1" t="s">
        <v>35</v>
      </c>
      <c r="J958" s="1">
        <v>4</v>
      </c>
      <c r="K958" s="1" t="s">
        <v>19</v>
      </c>
      <c r="L958" s="1" t="s">
        <v>33</v>
      </c>
      <c r="M958" s="1">
        <f>orders[[#This Row],[Ship Date]]-orders[[#This Row],[Order Date]]</f>
        <v>1</v>
      </c>
      <c r="N958" s="1">
        <f>WEEKNUM(orders[[#This Row],[Order Date]])</f>
        <v>6</v>
      </c>
      <c r="O958" s="1" t="str" cm="1">
        <f t="array" ref="O958">_xlfn.IFS(orders[[#This Row],[Customer Gender]]="M","Male", orders[[#This Row],[Customer Gender]]="F","Female", orders[[#This Row],[Customer Gender]]="O","Other", TRUE,"Unknown")</f>
        <v>Male</v>
      </c>
    </row>
    <row r="959" spans="1:15">
      <c r="A959" s="1" t="s">
        <v>1055</v>
      </c>
      <c r="B959" s="1" t="s">
        <v>81</v>
      </c>
      <c r="C959" s="1">
        <v>4</v>
      </c>
      <c r="D959" s="1">
        <v>11.8</v>
      </c>
      <c r="E959" s="11">
        <v>47.2</v>
      </c>
      <c r="F959" s="3">
        <v>45696</v>
      </c>
      <c r="G959" s="3">
        <v>45696</v>
      </c>
      <c r="H959" s="1" t="s">
        <v>23</v>
      </c>
      <c r="I959" s="1" t="s">
        <v>40</v>
      </c>
      <c r="J959" s="1">
        <v>4</v>
      </c>
      <c r="K959" s="1" t="s">
        <v>19</v>
      </c>
      <c r="L959" s="1" t="s">
        <v>33</v>
      </c>
      <c r="M959" s="1">
        <f>orders[[#This Row],[Ship Date]]-orders[[#This Row],[Order Date]]</f>
        <v>0</v>
      </c>
      <c r="N959" s="1">
        <f>WEEKNUM(orders[[#This Row],[Order Date]])</f>
        <v>6</v>
      </c>
      <c r="O959" s="1" t="str" cm="1">
        <f t="array" ref="O959">_xlfn.IFS(orders[[#This Row],[Customer Gender]]="M","Male", orders[[#This Row],[Customer Gender]]="F","Female", orders[[#This Row],[Customer Gender]]="O","Other", TRUE,"Unknown")</f>
        <v>Male</v>
      </c>
    </row>
    <row r="960" spans="1:15">
      <c r="A960" s="1" t="s">
        <v>1056</v>
      </c>
      <c r="B960" s="1" t="s">
        <v>54</v>
      </c>
      <c r="C960" s="1">
        <v>27</v>
      </c>
      <c r="D960" s="1">
        <v>40.799999999999997</v>
      </c>
      <c r="E960" s="11">
        <v>1101.5999999999999</v>
      </c>
      <c r="F960" s="3">
        <v>45696</v>
      </c>
      <c r="G960" s="3">
        <v>45697</v>
      </c>
      <c r="H960" s="1" t="s">
        <v>27</v>
      </c>
      <c r="I960" s="1" t="s">
        <v>51</v>
      </c>
      <c r="J960" s="1">
        <v>5</v>
      </c>
      <c r="K960" s="1" t="s">
        <v>19</v>
      </c>
      <c r="L960" s="1" t="s">
        <v>33</v>
      </c>
      <c r="M960" s="1">
        <f>orders[[#This Row],[Ship Date]]-orders[[#This Row],[Order Date]]</f>
        <v>1</v>
      </c>
      <c r="N960" s="1">
        <f>WEEKNUM(orders[[#This Row],[Order Date]])</f>
        <v>6</v>
      </c>
      <c r="O960" s="1" t="str" cm="1">
        <f t="array" ref="O960">_xlfn.IFS(orders[[#This Row],[Customer Gender]]="M","Male", orders[[#This Row],[Customer Gender]]="F","Female", orders[[#This Row],[Customer Gender]]="O","Other", TRUE,"Unknown")</f>
        <v>Female</v>
      </c>
    </row>
    <row r="961" spans="1:15">
      <c r="A961" s="1" t="s">
        <v>1057</v>
      </c>
      <c r="B961" s="1" t="s">
        <v>44</v>
      </c>
      <c r="C961" s="1">
        <v>1</v>
      </c>
      <c r="D961" s="1">
        <v>24.7</v>
      </c>
      <c r="E961" s="11">
        <v>24.7</v>
      </c>
      <c r="F961" s="3">
        <v>45696</v>
      </c>
      <c r="G961" s="3">
        <v>45698</v>
      </c>
      <c r="H961" s="1" t="s">
        <v>27</v>
      </c>
      <c r="I961" s="1" t="s">
        <v>40</v>
      </c>
      <c r="J961" s="1">
        <v>3</v>
      </c>
      <c r="K961" s="1" t="s">
        <v>19</v>
      </c>
      <c r="L961" s="1" t="s">
        <v>33</v>
      </c>
      <c r="M961" s="1">
        <f>orders[[#This Row],[Ship Date]]-orders[[#This Row],[Order Date]]</f>
        <v>2</v>
      </c>
      <c r="N961" s="1">
        <f>WEEKNUM(orders[[#This Row],[Order Date]])</f>
        <v>6</v>
      </c>
      <c r="O961" s="1" t="str" cm="1">
        <f t="array" ref="O961">_xlfn.IFS(orders[[#This Row],[Customer Gender]]="M","Male", orders[[#This Row],[Customer Gender]]="F","Female", orders[[#This Row],[Customer Gender]]="O","Other", TRUE,"Unknown")</f>
        <v>Female</v>
      </c>
    </row>
    <row r="962" spans="1:15">
      <c r="A962" s="1" t="s">
        <v>1058</v>
      </c>
      <c r="B962" s="1" t="s">
        <v>44</v>
      </c>
      <c r="C962" s="1">
        <v>7</v>
      </c>
      <c r="D962" s="1">
        <v>22.1</v>
      </c>
      <c r="E962" s="11">
        <v>154.70000000000002</v>
      </c>
      <c r="F962" s="3">
        <v>45696</v>
      </c>
      <c r="G962" s="3">
        <v>45696</v>
      </c>
      <c r="H962" s="1" t="s">
        <v>27</v>
      </c>
      <c r="I962" s="1" t="s">
        <v>40</v>
      </c>
      <c r="J962" s="1">
        <v>2</v>
      </c>
      <c r="K962" s="1" t="s">
        <v>19</v>
      </c>
      <c r="L962" s="1" t="s">
        <v>33</v>
      </c>
      <c r="M962" s="1">
        <f>orders[[#This Row],[Ship Date]]-orders[[#This Row],[Order Date]]</f>
        <v>0</v>
      </c>
      <c r="N962" s="1">
        <f>WEEKNUM(orders[[#This Row],[Order Date]])</f>
        <v>6</v>
      </c>
      <c r="O962" s="1" t="str" cm="1">
        <f t="array" ref="O962">_xlfn.IFS(orders[[#This Row],[Customer Gender]]="M","Male", orders[[#This Row],[Customer Gender]]="F","Female", orders[[#This Row],[Customer Gender]]="O","Other", TRUE,"Unknown")</f>
        <v>Female</v>
      </c>
    </row>
    <row r="963" spans="1:15">
      <c r="A963" s="1" t="s">
        <v>1059</v>
      </c>
      <c r="B963" s="1" t="s">
        <v>44</v>
      </c>
      <c r="C963" s="1">
        <v>1</v>
      </c>
      <c r="D963" s="1">
        <v>18.100000000000001</v>
      </c>
      <c r="E963" s="11">
        <v>18.100000000000001</v>
      </c>
      <c r="F963" s="3">
        <v>45696</v>
      </c>
      <c r="G963" s="3">
        <v>45700</v>
      </c>
      <c r="H963" s="1" t="s">
        <v>23</v>
      </c>
      <c r="I963" s="1" t="s">
        <v>51</v>
      </c>
      <c r="J963" s="1">
        <v>5</v>
      </c>
      <c r="K963" s="1" t="s">
        <v>19</v>
      </c>
      <c r="L963" s="1" t="s">
        <v>33</v>
      </c>
      <c r="M963" s="1">
        <f>orders[[#This Row],[Ship Date]]-orders[[#This Row],[Order Date]]</f>
        <v>4</v>
      </c>
      <c r="N963" s="1">
        <f>WEEKNUM(orders[[#This Row],[Order Date]])</f>
        <v>6</v>
      </c>
      <c r="O963" s="1" t="str" cm="1">
        <f t="array" ref="O963">_xlfn.IFS(orders[[#This Row],[Customer Gender]]="M","Male", orders[[#This Row],[Customer Gender]]="F","Female", orders[[#This Row],[Customer Gender]]="O","Other", TRUE,"Unknown")</f>
        <v>Male</v>
      </c>
    </row>
    <row r="964" spans="1:15">
      <c r="A964" s="1" t="s">
        <v>1060</v>
      </c>
      <c r="B964" s="1" t="s">
        <v>135</v>
      </c>
      <c r="C964" s="1">
        <v>2</v>
      </c>
      <c r="D964" s="1">
        <v>58.8</v>
      </c>
      <c r="E964" s="11">
        <v>117.6</v>
      </c>
      <c r="F964" s="3">
        <v>45696</v>
      </c>
      <c r="G964" s="3">
        <v>45699</v>
      </c>
      <c r="H964" s="1" t="s">
        <v>27</v>
      </c>
      <c r="I964" s="1" t="s">
        <v>18</v>
      </c>
      <c r="J964" s="1">
        <v>4</v>
      </c>
      <c r="K964" s="1" t="s">
        <v>19</v>
      </c>
      <c r="L964" s="1" t="s">
        <v>188</v>
      </c>
      <c r="M964" s="1">
        <f>orders[[#This Row],[Ship Date]]-orders[[#This Row],[Order Date]]</f>
        <v>3</v>
      </c>
      <c r="N964" s="1">
        <f>WEEKNUM(orders[[#This Row],[Order Date]])</f>
        <v>6</v>
      </c>
      <c r="O964" s="1" t="str" cm="1">
        <f t="array" ref="O964">_xlfn.IFS(orders[[#This Row],[Customer Gender]]="M","Male", orders[[#This Row],[Customer Gender]]="F","Female", orders[[#This Row],[Customer Gender]]="O","Other", TRUE,"Unknown")</f>
        <v>Female</v>
      </c>
    </row>
    <row r="965" spans="1:15">
      <c r="A965" s="1" t="s">
        <v>1061</v>
      </c>
      <c r="B965" s="1" t="s">
        <v>146</v>
      </c>
      <c r="C965" s="1">
        <v>2</v>
      </c>
      <c r="D965" s="1">
        <v>30.8</v>
      </c>
      <c r="E965" s="11">
        <v>61.6</v>
      </c>
      <c r="F965" s="3">
        <v>45696</v>
      </c>
      <c r="G965" s="3">
        <v>45697</v>
      </c>
      <c r="H965" s="1" t="s">
        <v>27</v>
      </c>
      <c r="I965" s="1" t="s">
        <v>18</v>
      </c>
      <c r="J965" s="1">
        <v>4</v>
      </c>
      <c r="K965" s="1" t="s">
        <v>19</v>
      </c>
      <c r="L965" s="1" t="s">
        <v>55</v>
      </c>
      <c r="M965" s="1">
        <f>orders[[#This Row],[Ship Date]]-orders[[#This Row],[Order Date]]</f>
        <v>1</v>
      </c>
      <c r="N965" s="1">
        <f>WEEKNUM(orders[[#This Row],[Order Date]])</f>
        <v>6</v>
      </c>
      <c r="O965" s="1" t="str" cm="1">
        <f t="array" ref="O965">_xlfn.IFS(orders[[#This Row],[Customer Gender]]="M","Male", orders[[#This Row],[Customer Gender]]="F","Female", orders[[#This Row],[Customer Gender]]="O","Other", TRUE,"Unknown")</f>
        <v>Female</v>
      </c>
    </row>
    <row r="966" spans="1:15">
      <c r="A966" s="1" t="s">
        <v>1062</v>
      </c>
      <c r="B966" s="1" t="s">
        <v>16</v>
      </c>
      <c r="C966" s="1">
        <v>2</v>
      </c>
      <c r="D966" s="1">
        <v>12</v>
      </c>
      <c r="E966" s="11">
        <v>24</v>
      </c>
      <c r="F966" s="3">
        <v>45696</v>
      </c>
      <c r="G966" s="3">
        <v>45700</v>
      </c>
      <c r="H966" s="1" t="s">
        <v>27</v>
      </c>
      <c r="I966" s="1" t="s">
        <v>18</v>
      </c>
      <c r="J966" s="1">
        <v>4</v>
      </c>
      <c r="K966" s="1" t="s">
        <v>19</v>
      </c>
      <c r="L966" s="1" t="s">
        <v>55</v>
      </c>
      <c r="M966" s="1">
        <f>orders[[#This Row],[Ship Date]]-orders[[#This Row],[Order Date]]</f>
        <v>4</v>
      </c>
      <c r="N966" s="1">
        <f>WEEKNUM(orders[[#This Row],[Order Date]])</f>
        <v>6</v>
      </c>
      <c r="O966" s="1" t="str" cm="1">
        <f t="array" ref="O966">_xlfn.IFS(orders[[#This Row],[Customer Gender]]="M","Male", orders[[#This Row],[Customer Gender]]="F","Female", orders[[#This Row],[Customer Gender]]="O","Other", TRUE,"Unknown")</f>
        <v>Female</v>
      </c>
    </row>
    <row r="967" spans="1:15">
      <c r="A967" s="1" t="s">
        <v>1063</v>
      </c>
      <c r="B967" s="1" t="s">
        <v>16</v>
      </c>
      <c r="C967" s="1">
        <v>4</v>
      </c>
      <c r="D967" s="1">
        <v>13.6</v>
      </c>
      <c r="E967" s="11">
        <v>54.4</v>
      </c>
      <c r="F967" s="3">
        <v>45696</v>
      </c>
      <c r="G967" s="3">
        <v>45699</v>
      </c>
      <c r="H967" s="1" t="s">
        <v>23</v>
      </c>
      <c r="I967" s="1" t="s">
        <v>40</v>
      </c>
      <c r="J967" s="1">
        <v>4</v>
      </c>
      <c r="K967" s="1" t="s">
        <v>19</v>
      </c>
      <c r="L967" s="1" t="s">
        <v>55</v>
      </c>
      <c r="M967" s="1">
        <f>orders[[#This Row],[Ship Date]]-orders[[#This Row],[Order Date]]</f>
        <v>3</v>
      </c>
      <c r="N967" s="1">
        <f>WEEKNUM(orders[[#This Row],[Order Date]])</f>
        <v>6</v>
      </c>
      <c r="O967" s="1" t="str" cm="1">
        <f t="array" ref="O967">_xlfn.IFS(orders[[#This Row],[Customer Gender]]="M","Male", orders[[#This Row],[Customer Gender]]="F","Female", orders[[#This Row],[Customer Gender]]="O","Other", TRUE,"Unknown")</f>
        <v>Male</v>
      </c>
    </row>
    <row r="968" spans="1:15">
      <c r="A968" s="1" t="s">
        <v>1064</v>
      </c>
      <c r="B968" s="1" t="s">
        <v>16</v>
      </c>
      <c r="C968" s="1">
        <v>1</v>
      </c>
      <c r="D968" s="1">
        <v>17.899999999999999</v>
      </c>
      <c r="E968" s="11">
        <v>17.899999999999999</v>
      </c>
      <c r="F968" s="3">
        <v>45696</v>
      </c>
      <c r="G968" s="3">
        <v>45697</v>
      </c>
      <c r="H968" s="1" t="s">
        <v>23</v>
      </c>
      <c r="I968" s="1" t="s">
        <v>51</v>
      </c>
      <c r="J968" s="1">
        <v>4</v>
      </c>
      <c r="K968" s="1" t="s">
        <v>19</v>
      </c>
      <c r="L968" s="1" t="s">
        <v>55</v>
      </c>
      <c r="M968" s="1">
        <f>orders[[#This Row],[Ship Date]]-orders[[#This Row],[Order Date]]</f>
        <v>1</v>
      </c>
      <c r="N968" s="1">
        <f>WEEKNUM(orders[[#This Row],[Order Date]])</f>
        <v>6</v>
      </c>
      <c r="O968" s="1" t="str" cm="1">
        <f t="array" ref="O968">_xlfn.IFS(orders[[#This Row],[Customer Gender]]="M","Male", orders[[#This Row],[Customer Gender]]="F","Female", orders[[#This Row],[Customer Gender]]="O","Other", TRUE,"Unknown")</f>
        <v>Male</v>
      </c>
    </row>
    <row r="969" spans="1:15">
      <c r="A969" s="1" t="s">
        <v>1065</v>
      </c>
      <c r="B969" s="1" t="s">
        <v>46</v>
      </c>
      <c r="C969" s="1">
        <v>2</v>
      </c>
      <c r="D969" s="1">
        <v>38.6</v>
      </c>
      <c r="E969" s="11">
        <v>77.2</v>
      </c>
      <c r="F969" s="3">
        <v>45696</v>
      </c>
      <c r="G969" s="3">
        <v>45700</v>
      </c>
      <c r="H969" s="1" t="s">
        <v>27</v>
      </c>
      <c r="I969" s="1" t="s">
        <v>70</v>
      </c>
      <c r="J969" s="1">
        <v>4</v>
      </c>
      <c r="K969" s="1" t="s">
        <v>19</v>
      </c>
      <c r="L969" s="1" t="s">
        <v>59</v>
      </c>
      <c r="M969" s="1">
        <f>orders[[#This Row],[Ship Date]]-orders[[#This Row],[Order Date]]</f>
        <v>4</v>
      </c>
      <c r="N969" s="1">
        <f>WEEKNUM(orders[[#This Row],[Order Date]])</f>
        <v>6</v>
      </c>
      <c r="O969" s="1" t="str" cm="1">
        <f t="array" ref="O969">_xlfn.IFS(orders[[#This Row],[Customer Gender]]="M","Male", orders[[#This Row],[Customer Gender]]="F","Female", orders[[#This Row],[Customer Gender]]="O","Other", TRUE,"Unknown")</f>
        <v>Female</v>
      </c>
    </row>
    <row r="970" spans="1:15">
      <c r="A970" s="1" t="s">
        <v>1066</v>
      </c>
      <c r="B970" s="1" t="s">
        <v>37</v>
      </c>
      <c r="C970" s="1">
        <v>5</v>
      </c>
      <c r="D970" s="1">
        <v>32.700000000000003</v>
      </c>
      <c r="E970" s="11">
        <v>163.5</v>
      </c>
      <c r="F970" s="3">
        <v>45696</v>
      </c>
      <c r="G970" s="3">
        <v>45697</v>
      </c>
      <c r="H970" s="1" t="s">
        <v>23</v>
      </c>
      <c r="I970" s="1" t="s">
        <v>40</v>
      </c>
      <c r="J970" s="1">
        <v>5</v>
      </c>
      <c r="K970" s="1" t="s">
        <v>19</v>
      </c>
      <c r="L970" s="1" t="s">
        <v>62</v>
      </c>
      <c r="M970" s="1">
        <f>orders[[#This Row],[Ship Date]]-orders[[#This Row],[Order Date]]</f>
        <v>1</v>
      </c>
      <c r="N970" s="1">
        <f>WEEKNUM(orders[[#This Row],[Order Date]])</f>
        <v>6</v>
      </c>
      <c r="O970" s="1" t="str" cm="1">
        <f t="array" ref="O970">_xlfn.IFS(orders[[#This Row],[Customer Gender]]="M","Male", orders[[#This Row],[Customer Gender]]="F","Female", orders[[#This Row],[Customer Gender]]="O","Other", TRUE,"Unknown")</f>
        <v>Male</v>
      </c>
    </row>
    <row r="971" spans="1:15">
      <c r="A971" s="1" t="s">
        <v>1067</v>
      </c>
      <c r="B971" s="1" t="s">
        <v>30</v>
      </c>
      <c r="C971" s="1">
        <v>2</v>
      </c>
      <c r="D971" s="1">
        <v>111.4</v>
      </c>
      <c r="E971" s="11">
        <v>222.8</v>
      </c>
      <c r="F971" s="3">
        <v>45696</v>
      </c>
      <c r="G971" s="3">
        <v>45697</v>
      </c>
      <c r="H971" s="1" t="s">
        <v>27</v>
      </c>
      <c r="I971" s="1" t="s">
        <v>35</v>
      </c>
      <c r="J971" s="1">
        <v>4</v>
      </c>
      <c r="K971" s="1" t="s">
        <v>19</v>
      </c>
      <c r="L971" s="1" t="s">
        <v>62</v>
      </c>
      <c r="M971" s="1">
        <f>orders[[#This Row],[Ship Date]]-orders[[#This Row],[Order Date]]</f>
        <v>1</v>
      </c>
      <c r="N971" s="1">
        <f>WEEKNUM(orders[[#This Row],[Order Date]])</f>
        <v>6</v>
      </c>
      <c r="O971" s="1" t="str" cm="1">
        <f t="array" ref="O971">_xlfn.IFS(orders[[#This Row],[Customer Gender]]="M","Male", orders[[#This Row],[Customer Gender]]="F","Female", orders[[#This Row],[Customer Gender]]="O","Other", TRUE,"Unknown")</f>
        <v>Female</v>
      </c>
    </row>
    <row r="972" spans="1:15">
      <c r="A972" s="1" t="s">
        <v>1068</v>
      </c>
      <c r="B972" s="1" t="s">
        <v>26</v>
      </c>
      <c r="C972" s="1">
        <v>6</v>
      </c>
      <c r="D972" s="1">
        <v>80.3</v>
      </c>
      <c r="E972" s="11">
        <v>481.79999999999995</v>
      </c>
      <c r="F972" s="3">
        <v>45696</v>
      </c>
      <c r="G972" s="3">
        <v>45698</v>
      </c>
      <c r="H972" s="1" t="s">
        <v>27</v>
      </c>
      <c r="I972" s="1" t="s">
        <v>35</v>
      </c>
      <c r="J972" s="1">
        <v>4</v>
      </c>
      <c r="K972" s="1" t="s">
        <v>19</v>
      </c>
      <c r="L972" s="1" t="s">
        <v>62</v>
      </c>
      <c r="M972" s="1">
        <f>orders[[#This Row],[Ship Date]]-orders[[#This Row],[Order Date]]</f>
        <v>2</v>
      </c>
      <c r="N972" s="1">
        <f>WEEKNUM(orders[[#This Row],[Order Date]])</f>
        <v>6</v>
      </c>
      <c r="O972" s="1" t="str" cm="1">
        <f t="array" ref="O972">_xlfn.IFS(orders[[#This Row],[Customer Gender]]="M","Male", orders[[#This Row],[Customer Gender]]="F","Female", orders[[#This Row],[Customer Gender]]="O","Other", TRUE,"Unknown")</f>
        <v>Female</v>
      </c>
    </row>
    <row r="973" spans="1:15">
      <c r="A973" s="1" t="s">
        <v>1069</v>
      </c>
      <c r="B973" s="1" t="s">
        <v>39</v>
      </c>
      <c r="C973" s="1">
        <v>2</v>
      </c>
      <c r="D973" s="1">
        <v>58.9</v>
      </c>
      <c r="E973" s="11">
        <v>117.8</v>
      </c>
      <c r="F973" s="3">
        <v>45696</v>
      </c>
      <c r="G973" s="3">
        <v>45697</v>
      </c>
      <c r="H973" s="1" t="s">
        <v>23</v>
      </c>
      <c r="I973" s="1" t="s">
        <v>35</v>
      </c>
      <c r="J973" s="1">
        <v>4</v>
      </c>
      <c r="K973" s="1" t="s">
        <v>19</v>
      </c>
      <c r="L973" s="1" t="s">
        <v>62</v>
      </c>
      <c r="M973" s="1">
        <f>orders[[#This Row],[Ship Date]]-orders[[#This Row],[Order Date]]</f>
        <v>1</v>
      </c>
      <c r="N973" s="1">
        <f>WEEKNUM(orders[[#This Row],[Order Date]])</f>
        <v>6</v>
      </c>
      <c r="O973" s="1" t="str" cm="1">
        <f t="array" ref="O973">_xlfn.IFS(orders[[#This Row],[Customer Gender]]="M","Male", orders[[#This Row],[Customer Gender]]="F","Female", orders[[#This Row],[Customer Gender]]="O","Other", TRUE,"Unknown")</f>
        <v>Male</v>
      </c>
    </row>
    <row r="974" spans="1:15">
      <c r="A974" s="1" t="s">
        <v>1070</v>
      </c>
      <c r="B974" s="1" t="s">
        <v>39</v>
      </c>
      <c r="C974" s="1">
        <v>3</v>
      </c>
      <c r="D974" s="1">
        <v>51.9</v>
      </c>
      <c r="E974" s="11">
        <v>155.69999999999999</v>
      </c>
      <c r="F974" s="3">
        <v>45696</v>
      </c>
      <c r="G974" s="3">
        <v>45698</v>
      </c>
      <c r="H974" s="1" t="s">
        <v>27</v>
      </c>
      <c r="I974" s="1" t="s">
        <v>35</v>
      </c>
      <c r="J974" s="1">
        <v>2</v>
      </c>
      <c r="K974" s="1" t="s">
        <v>19</v>
      </c>
      <c r="L974" s="1" t="s">
        <v>62</v>
      </c>
      <c r="M974" s="1">
        <f>orders[[#This Row],[Ship Date]]-orders[[#This Row],[Order Date]]</f>
        <v>2</v>
      </c>
      <c r="N974" s="1">
        <f>WEEKNUM(orders[[#This Row],[Order Date]])</f>
        <v>6</v>
      </c>
      <c r="O974" s="1" t="str" cm="1">
        <f t="array" ref="O974">_xlfn.IFS(orders[[#This Row],[Customer Gender]]="M","Male", orders[[#This Row],[Customer Gender]]="F","Female", orders[[#This Row],[Customer Gender]]="O","Other", TRUE,"Unknown")</f>
        <v>Female</v>
      </c>
    </row>
    <row r="975" spans="1:15">
      <c r="A975" s="1" t="s">
        <v>1071</v>
      </c>
      <c r="B975" s="1" t="s">
        <v>26</v>
      </c>
      <c r="C975" s="1">
        <v>3</v>
      </c>
      <c r="D975" s="1">
        <v>50.3</v>
      </c>
      <c r="E975" s="11">
        <v>150.89999999999998</v>
      </c>
      <c r="F975" s="3">
        <v>45696</v>
      </c>
      <c r="G975" s="3">
        <v>45697</v>
      </c>
      <c r="H975" s="1" t="s">
        <v>23</v>
      </c>
      <c r="I975" s="1" t="s">
        <v>40</v>
      </c>
      <c r="J975" s="1">
        <v>4</v>
      </c>
      <c r="K975" s="1" t="s">
        <v>19</v>
      </c>
      <c r="L975" s="1" t="s">
        <v>103</v>
      </c>
      <c r="M975" s="1">
        <f>orders[[#This Row],[Ship Date]]-orders[[#This Row],[Order Date]]</f>
        <v>1</v>
      </c>
      <c r="N975" s="1">
        <f>WEEKNUM(orders[[#This Row],[Order Date]])</f>
        <v>6</v>
      </c>
      <c r="O975" s="1" t="str" cm="1">
        <f t="array" ref="O975">_xlfn.IFS(orders[[#This Row],[Customer Gender]]="M","Male", orders[[#This Row],[Customer Gender]]="F","Female", orders[[#This Row],[Customer Gender]]="O","Other", TRUE,"Unknown")</f>
        <v>Male</v>
      </c>
    </row>
    <row r="976" spans="1:15">
      <c r="A976" s="1" t="s">
        <v>1072</v>
      </c>
      <c r="B976" s="1" t="s">
        <v>67</v>
      </c>
      <c r="C976" s="1">
        <v>6</v>
      </c>
      <c r="D976" s="1">
        <v>45</v>
      </c>
      <c r="E976" s="11">
        <v>270</v>
      </c>
      <c r="F976" s="3">
        <v>45696</v>
      </c>
      <c r="G976" s="3">
        <v>45702</v>
      </c>
      <c r="H976" s="1" t="s">
        <v>27</v>
      </c>
      <c r="I976" s="1" t="s">
        <v>51</v>
      </c>
      <c r="J976" s="1">
        <v>4</v>
      </c>
      <c r="K976" s="1" t="s">
        <v>19</v>
      </c>
      <c r="L976" s="1" t="s">
        <v>72</v>
      </c>
      <c r="M976" s="1">
        <f>orders[[#This Row],[Ship Date]]-orders[[#This Row],[Order Date]]</f>
        <v>6</v>
      </c>
      <c r="N976" s="1">
        <f>WEEKNUM(orders[[#This Row],[Order Date]])</f>
        <v>6</v>
      </c>
      <c r="O976" s="1" t="str" cm="1">
        <f t="array" ref="O976">_xlfn.IFS(orders[[#This Row],[Customer Gender]]="M","Male", orders[[#This Row],[Customer Gender]]="F","Female", orders[[#This Row],[Customer Gender]]="O","Other", TRUE,"Unknown")</f>
        <v>Female</v>
      </c>
    </row>
    <row r="977" spans="1:15">
      <c r="A977" s="1" t="s">
        <v>1073</v>
      </c>
      <c r="B977" s="1" t="s">
        <v>54</v>
      </c>
      <c r="C977" s="1">
        <v>6</v>
      </c>
      <c r="D977" s="1">
        <v>44.7</v>
      </c>
      <c r="E977" s="11">
        <v>268.20000000000005</v>
      </c>
      <c r="F977" s="3">
        <v>45696</v>
      </c>
      <c r="G977" s="3">
        <v>45698</v>
      </c>
      <c r="H977" s="1" t="s">
        <v>27</v>
      </c>
      <c r="I977" s="1" t="s">
        <v>40</v>
      </c>
      <c r="J977" s="1">
        <v>4</v>
      </c>
      <c r="K977" s="1" t="s">
        <v>19</v>
      </c>
      <c r="L977" s="1" t="s">
        <v>77</v>
      </c>
      <c r="M977" s="1">
        <f>orders[[#This Row],[Ship Date]]-orders[[#This Row],[Order Date]]</f>
        <v>2</v>
      </c>
      <c r="N977" s="1">
        <f>WEEKNUM(orders[[#This Row],[Order Date]])</f>
        <v>6</v>
      </c>
      <c r="O977" s="1" t="str" cm="1">
        <f t="array" ref="O977">_xlfn.IFS(orders[[#This Row],[Customer Gender]]="M","Male", orders[[#This Row],[Customer Gender]]="F","Female", orders[[#This Row],[Customer Gender]]="O","Other", TRUE,"Unknown")</f>
        <v>Female</v>
      </c>
    </row>
    <row r="978" spans="1:15">
      <c r="A978" s="1" t="s">
        <v>1074</v>
      </c>
      <c r="B978" s="1" t="s">
        <v>146</v>
      </c>
      <c r="C978" s="1">
        <v>15</v>
      </c>
      <c r="D978" s="1">
        <v>33</v>
      </c>
      <c r="E978" s="11">
        <v>495</v>
      </c>
      <c r="F978" s="3">
        <v>45696</v>
      </c>
      <c r="G978" s="3">
        <v>45697</v>
      </c>
      <c r="H978" s="1" t="s">
        <v>27</v>
      </c>
      <c r="I978" s="1" t="s">
        <v>40</v>
      </c>
      <c r="J978" s="1">
        <v>4</v>
      </c>
      <c r="K978" s="1" t="s">
        <v>19</v>
      </c>
      <c r="L978" s="1" t="s">
        <v>77</v>
      </c>
      <c r="M978" s="1">
        <f>orders[[#This Row],[Ship Date]]-orders[[#This Row],[Order Date]]</f>
        <v>1</v>
      </c>
      <c r="N978" s="1">
        <f>WEEKNUM(orders[[#This Row],[Order Date]])</f>
        <v>6</v>
      </c>
      <c r="O978" s="1" t="str" cm="1">
        <f t="array" ref="O978">_xlfn.IFS(orders[[#This Row],[Customer Gender]]="M","Male", orders[[#This Row],[Customer Gender]]="F","Female", orders[[#This Row],[Customer Gender]]="O","Other", TRUE,"Unknown")</f>
        <v>Female</v>
      </c>
    </row>
    <row r="979" spans="1:15">
      <c r="A979" s="1" t="s">
        <v>1075</v>
      </c>
      <c r="B979" s="1" t="s">
        <v>22</v>
      </c>
      <c r="C979" s="1">
        <v>5</v>
      </c>
      <c r="D979" s="1">
        <v>44.9</v>
      </c>
      <c r="E979" s="11">
        <v>224.5</v>
      </c>
      <c r="F979" s="3">
        <v>45696</v>
      </c>
      <c r="G979" s="3">
        <v>45699</v>
      </c>
      <c r="H979" s="1" t="s">
        <v>27</v>
      </c>
      <c r="I979" s="1" t="s">
        <v>40</v>
      </c>
      <c r="J979" s="1">
        <v>5</v>
      </c>
      <c r="K979" s="1" t="s">
        <v>19</v>
      </c>
      <c r="L979" s="1" t="s">
        <v>108</v>
      </c>
      <c r="M979" s="1">
        <f>orders[[#This Row],[Ship Date]]-orders[[#This Row],[Order Date]]</f>
        <v>3</v>
      </c>
      <c r="N979" s="1">
        <f>WEEKNUM(orders[[#This Row],[Order Date]])</f>
        <v>6</v>
      </c>
      <c r="O979" s="1" t="str" cm="1">
        <f t="array" ref="O979">_xlfn.IFS(orders[[#This Row],[Customer Gender]]="M","Male", orders[[#This Row],[Customer Gender]]="F","Female", orders[[#This Row],[Customer Gender]]="O","Other", TRUE,"Unknown")</f>
        <v>Female</v>
      </c>
    </row>
    <row r="980" spans="1:15">
      <c r="A980" s="1" t="s">
        <v>1076</v>
      </c>
      <c r="B980" s="1" t="s">
        <v>54</v>
      </c>
      <c r="C980" s="1">
        <v>2</v>
      </c>
      <c r="D980" s="1">
        <v>34.6</v>
      </c>
      <c r="E980" s="11">
        <v>69.2</v>
      </c>
      <c r="F980" s="3">
        <v>45696</v>
      </c>
      <c r="G980" s="3">
        <v>45700</v>
      </c>
      <c r="H980" s="1" t="s">
        <v>27</v>
      </c>
      <c r="I980" s="1" t="s">
        <v>18</v>
      </c>
      <c r="J980" s="1">
        <v>3</v>
      </c>
      <c r="K980" s="1" t="s">
        <v>19</v>
      </c>
      <c r="L980" s="1" t="s">
        <v>110</v>
      </c>
      <c r="M980" s="1">
        <f>orders[[#This Row],[Ship Date]]-orders[[#This Row],[Order Date]]</f>
        <v>4</v>
      </c>
      <c r="N980" s="1">
        <f>WEEKNUM(orders[[#This Row],[Order Date]])</f>
        <v>6</v>
      </c>
      <c r="O980" s="1" t="str" cm="1">
        <f t="array" ref="O980">_xlfn.IFS(orders[[#This Row],[Customer Gender]]="M","Male", orders[[#This Row],[Customer Gender]]="F","Female", orders[[#This Row],[Customer Gender]]="O","Other", TRUE,"Unknown")</f>
        <v>Female</v>
      </c>
    </row>
    <row r="981" spans="1:15">
      <c r="A981" s="1" t="s">
        <v>1077</v>
      </c>
      <c r="B981" s="1" t="s">
        <v>42</v>
      </c>
      <c r="C981" s="1">
        <v>7</v>
      </c>
      <c r="D981" s="1">
        <v>47.1</v>
      </c>
      <c r="E981" s="11">
        <v>329.7</v>
      </c>
      <c r="F981" s="3">
        <v>45696</v>
      </c>
      <c r="G981" s="3">
        <v>45701</v>
      </c>
      <c r="H981" s="1" t="s">
        <v>27</v>
      </c>
      <c r="I981" s="1" t="s">
        <v>18</v>
      </c>
      <c r="J981" s="1">
        <v>4</v>
      </c>
      <c r="K981" s="1" t="s">
        <v>19</v>
      </c>
      <c r="L981" s="1" t="s">
        <v>82</v>
      </c>
      <c r="M981" s="1">
        <f>orders[[#This Row],[Ship Date]]-orders[[#This Row],[Order Date]]</f>
        <v>5</v>
      </c>
      <c r="N981" s="1">
        <f>WEEKNUM(orders[[#This Row],[Order Date]])</f>
        <v>6</v>
      </c>
      <c r="O981" s="1" t="str" cm="1">
        <f t="array" ref="O981">_xlfn.IFS(orders[[#This Row],[Customer Gender]]="M","Male", orders[[#This Row],[Customer Gender]]="F","Female", orders[[#This Row],[Customer Gender]]="O","Other", TRUE,"Unknown")</f>
        <v>Female</v>
      </c>
    </row>
    <row r="982" spans="1:15">
      <c r="A982" s="1" t="s">
        <v>1078</v>
      </c>
      <c r="B982" s="1" t="s">
        <v>32</v>
      </c>
      <c r="C982" s="1">
        <v>5</v>
      </c>
      <c r="D982" s="1">
        <v>26.1</v>
      </c>
      <c r="E982" s="11">
        <v>130.5</v>
      </c>
      <c r="F982" s="3">
        <v>45696</v>
      </c>
      <c r="G982" s="3">
        <v>45701</v>
      </c>
      <c r="H982" s="1" t="s">
        <v>23</v>
      </c>
      <c r="I982" s="1" t="s">
        <v>18</v>
      </c>
      <c r="J982" s="1">
        <v>5</v>
      </c>
      <c r="K982" s="1" t="s">
        <v>19</v>
      </c>
      <c r="L982" s="1" t="s">
        <v>115</v>
      </c>
      <c r="M982" s="1">
        <f>orders[[#This Row],[Ship Date]]-orders[[#This Row],[Order Date]]</f>
        <v>5</v>
      </c>
      <c r="N982" s="1">
        <f>WEEKNUM(orders[[#This Row],[Order Date]])</f>
        <v>6</v>
      </c>
      <c r="O982" s="1" t="str" cm="1">
        <f t="array" ref="O982">_xlfn.IFS(orders[[#This Row],[Customer Gender]]="M","Male", orders[[#This Row],[Customer Gender]]="F","Female", orders[[#This Row],[Customer Gender]]="O","Other", TRUE,"Unknown")</f>
        <v>Male</v>
      </c>
    </row>
    <row r="983" spans="1:15">
      <c r="A983" s="1" t="s">
        <v>1079</v>
      </c>
      <c r="B983" s="1" t="s">
        <v>69</v>
      </c>
      <c r="C983" s="1">
        <v>5</v>
      </c>
      <c r="D983" s="1">
        <v>66.8</v>
      </c>
      <c r="E983" s="11">
        <v>334</v>
      </c>
      <c r="F983" s="3">
        <v>45696</v>
      </c>
      <c r="G983" s="3">
        <v>45699</v>
      </c>
      <c r="H983" s="1" t="s">
        <v>27</v>
      </c>
      <c r="I983" s="1" t="s">
        <v>18</v>
      </c>
      <c r="J983" s="1">
        <v>4</v>
      </c>
      <c r="K983" s="1" t="s">
        <v>19</v>
      </c>
      <c r="L983" s="1" t="s">
        <v>115</v>
      </c>
      <c r="M983" s="1">
        <f>orders[[#This Row],[Ship Date]]-orders[[#This Row],[Order Date]]</f>
        <v>3</v>
      </c>
      <c r="N983" s="1">
        <f>WEEKNUM(orders[[#This Row],[Order Date]])</f>
        <v>6</v>
      </c>
      <c r="O983" s="1" t="str" cm="1">
        <f t="array" ref="O983">_xlfn.IFS(orders[[#This Row],[Customer Gender]]="M","Male", orders[[#This Row],[Customer Gender]]="F","Female", orders[[#This Row],[Customer Gender]]="O","Other", TRUE,"Unknown")</f>
        <v>Female</v>
      </c>
    </row>
    <row r="984" spans="1:15">
      <c r="A984" s="1" t="s">
        <v>1080</v>
      </c>
      <c r="B984" s="1" t="s">
        <v>26</v>
      </c>
      <c r="C984" s="1">
        <v>2</v>
      </c>
      <c r="D984" s="1">
        <v>167.9</v>
      </c>
      <c r="E984" s="11">
        <v>335.8</v>
      </c>
      <c r="F984" s="3">
        <v>45696</v>
      </c>
      <c r="G984" s="3">
        <v>45697</v>
      </c>
      <c r="H984" s="1" t="s">
        <v>27</v>
      </c>
      <c r="I984" s="1" t="s">
        <v>51</v>
      </c>
      <c r="J984" s="1">
        <v>5</v>
      </c>
      <c r="K984" s="1" t="s">
        <v>19</v>
      </c>
      <c r="L984" s="1" t="s">
        <v>115</v>
      </c>
      <c r="M984" s="1">
        <f>orders[[#This Row],[Ship Date]]-orders[[#This Row],[Order Date]]</f>
        <v>1</v>
      </c>
      <c r="N984" s="1">
        <f>WEEKNUM(orders[[#This Row],[Order Date]])</f>
        <v>6</v>
      </c>
      <c r="O984" s="1" t="str" cm="1">
        <f t="array" ref="O984">_xlfn.IFS(orders[[#This Row],[Customer Gender]]="M","Male", orders[[#This Row],[Customer Gender]]="F","Female", orders[[#This Row],[Customer Gender]]="O","Other", TRUE,"Unknown")</f>
        <v>Female</v>
      </c>
    </row>
    <row r="985" spans="1:15">
      <c r="A985" s="1" t="s">
        <v>1081</v>
      </c>
      <c r="B985" s="1" t="s">
        <v>54</v>
      </c>
      <c r="C985" s="1">
        <v>9</v>
      </c>
      <c r="D985" s="1">
        <v>34.6</v>
      </c>
      <c r="E985" s="11">
        <v>311.40000000000003</v>
      </c>
      <c r="F985" s="3">
        <v>45696</v>
      </c>
      <c r="G985" s="3">
        <v>45697</v>
      </c>
      <c r="H985" s="1" t="s">
        <v>27</v>
      </c>
      <c r="I985" s="1" t="s">
        <v>40</v>
      </c>
      <c r="J985" s="1">
        <v>3</v>
      </c>
      <c r="K985" s="1" t="s">
        <v>19</v>
      </c>
      <c r="L985" s="1" t="s">
        <v>115</v>
      </c>
      <c r="M985" s="1">
        <f>orders[[#This Row],[Ship Date]]-orders[[#This Row],[Order Date]]</f>
        <v>1</v>
      </c>
      <c r="N985" s="1">
        <f>WEEKNUM(orders[[#This Row],[Order Date]])</f>
        <v>6</v>
      </c>
      <c r="O985" s="1" t="str" cm="1">
        <f t="array" ref="O985">_xlfn.IFS(orders[[#This Row],[Customer Gender]]="M","Male", orders[[#This Row],[Customer Gender]]="F","Female", orders[[#This Row],[Customer Gender]]="O","Other", TRUE,"Unknown")</f>
        <v>Female</v>
      </c>
    </row>
    <row r="986" spans="1:15">
      <c r="A986" s="1" t="s">
        <v>1082</v>
      </c>
      <c r="B986" s="1" t="s">
        <v>44</v>
      </c>
      <c r="C986" s="1">
        <v>3</v>
      </c>
      <c r="D986" s="1">
        <v>35.1</v>
      </c>
      <c r="E986" s="11">
        <v>105.30000000000001</v>
      </c>
      <c r="F986" s="3">
        <v>45697</v>
      </c>
      <c r="G986" s="3">
        <v>45701</v>
      </c>
      <c r="H986" s="1" t="s">
        <v>23</v>
      </c>
      <c r="I986" s="1" t="s">
        <v>70</v>
      </c>
      <c r="J986" s="1">
        <v>5</v>
      </c>
      <c r="K986" s="1" t="s">
        <v>19</v>
      </c>
      <c r="L986" s="1" t="s">
        <v>24</v>
      </c>
      <c r="M986" s="1">
        <f>orders[[#This Row],[Ship Date]]-orders[[#This Row],[Order Date]]</f>
        <v>4</v>
      </c>
      <c r="N986" s="1">
        <f>WEEKNUM(orders[[#This Row],[Order Date]])</f>
        <v>7</v>
      </c>
      <c r="O986" s="1" t="str" cm="1">
        <f t="array" ref="O986">_xlfn.IFS(orders[[#This Row],[Customer Gender]]="M","Male", orders[[#This Row],[Customer Gender]]="F","Female", orders[[#This Row],[Customer Gender]]="O","Other", TRUE,"Unknown")</f>
        <v>Male</v>
      </c>
    </row>
    <row r="987" spans="1:15">
      <c r="A987" s="1" t="s">
        <v>1083</v>
      </c>
      <c r="B987" s="1" t="s">
        <v>39</v>
      </c>
      <c r="C987" s="1">
        <v>4</v>
      </c>
      <c r="D987" s="1">
        <v>104.5</v>
      </c>
      <c r="E987" s="11">
        <v>418</v>
      </c>
      <c r="F987" s="3">
        <v>45697</v>
      </c>
      <c r="G987" s="3">
        <v>45698</v>
      </c>
      <c r="H987" s="1" t="s">
        <v>23</v>
      </c>
      <c r="I987" s="1" t="s">
        <v>35</v>
      </c>
      <c r="J987" s="1">
        <v>3</v>
      </c>
      <c r="K987" s="1" t="s">
        <v>19</v>
      </c>
      <c r="L987" s="1" t="s">
        <v>24</v>
      </c>
      <c r="M987" s="1">
        <f>orders[[#This Row],[Ship Date]]-orders[[#This Row],[Order Date]]</f>
        <v>1</v>
      </c>
      <c r="N987" s="1">
        <f>WEEKNUM(orders[[#This Row],[Order Date]])</f>
        <v>7</v>
      </c>
      <c r="O987" s="1" t="str" cm="1">
        <f t="array" ref="O987">_xlfn.IFS(orders[[#This Row],[Customer Gender]]="M","Male", orders[[#This Row],[Customer Gender]]="F","Female", orders[[#This Row],[Customer Gender]]="O","Other", TRUE,"Unknown")</f>
        <v>Male</v>
      </c>
    </row>
    <row r="988" spans="1:15">
      <c r="A988" s="1" t="s">
        <v>1084</v>
      </c>
      <c r="B988" s="1" t="s">
        <v>44</v>
      </c>
      <c r="C988" s="1">
        <v>1</v>
      </c>
      <c r="D988" s="1">
        <v>37.9</v>
      </c>
      <c r="E988" s="11">
        <v>37.9</v>
      </c>
      <c r="F988" s="3">
        <v>45697</v>
      </c>
      <c r="G988" s="3">
        <v>45699</v>
      </c>
      <c r="H988" s="1" t="s">
        <v>17</v>
      </c>
      <c r="I988" s="1" t="s">
        <v>35</v>
      </c>
      <c r="J988" s="1">
        <v>5</v>
      </c>
      <c r="K988" s="1" t="s">
        <v>19</v>
      </c>
      <c r="L988" s="1" t="s">
        <v>28</v>
      </c>
      <c r="M988" s="1">
        <f>orders[[#This Row],[Ship Date]]-orders[[#This Row],[Order Date]]</f>
        <v>2</v>
      </c>
      <c r="N988" s="1">
        <f>WEEKNUM(orders[[#This Row],[Order Date]])</f>
        <v>7</v>
      </c>
      <c r="O988" s="1" t="str" cm="1">
        <f t="array" ref="O988">_xlfn.IFS(orders[[#This Row],[Customer Gender]]="M","Male", orders[[#This Row],[Customer Gender]]="F","Female", orders[[#This Row],[Customer Gender]]="O","Other", TRUE,"Unknown")</f>
        <v>Unknown</v>
      </c>
    </row>
    <row r="989" spans="1:15">
      <c r="A989" s="1" t="s">
        <v>1085</v>
      </c>
      <c r="B989" s="1" t="s">
        <v>32</v>
      </c>
      <c r="C989" s="1">
        <v>3</v>
      </c>
      <c r="D989" s="1">
        <v>25.5</v>
      </c>
      <c r="E989" s="11">
        <v>76.5</v>
      </c>
      <c r="F989" s="3">
        <v>45697</v>
      </c>
      <c r="G989" s="3">
        <v>45700</v>
      </c>
      <c r="H989" s="1" t="s">
        <v>23</v>
      </c>
      <c r="I989" s="1" t="s">
        <v>51</v>
      </c>
      <c r="J989" s="1">
        <v>4</v>
      </c>
      <c r="K989" s="1" t="s">
        <v>19</v>
      </c>
      <c r="L989" s="1" t="s">
        <v>28</v>
      </c>
      <c r="M989" s="1">
        <f>orders[[#This Row],[Ship Date]]-orders[[#This Row],[Order Date]]</f>
        <v>3</v>
      </c>
      <c r="N989" s="1">
        <f>WEEKNUM(orders[[#This Row],[Order Date]])</f>
        <v>7</v>
      </c>
      <c r="O989" s="1" t="str" cm="1">
        <f t="array" ref="O989">_xlfn.IFS(orders[[#This Row],[Customer Gender]]="M","Male", orders[[#This Row],[Customer Gender]]="F","Female", orders[[#This Row],[Customer Gender]]="O","Other", TRUE,"Unknown")</f>
        <v>Male</v>
      </c>
    </row>
    <row r="990" spans="1:15">
      <c r="A990" s="1" t="s">
        <v>1086</v>
      </c>
      <c r="B990" s="1" t="s">
        <v>16</v>
      </c>
      <c r="C990" s="1">
        <v>3</v>
      </c>
      <c r="D990" s="1">
        <v>32</v>
      </c>
      <c r="E990" s="11">
        <v>96</v>
      </c>
      <c r="F990" s="3">
        <v>45697</v>
      </c>
      <c r="G990" s="3">
        <v>45701</v>
      </c>
      <c r="H990" s="1" t="s">
        <v>27</v>
      </c>
      <c r="I990" s="1" t="s">
        <v>35</v>
      </c>
      <c r="J990" s="1">
        <v>4</v>
      </c>
      <c r="K990" s="1" t="s">
        <v>19</v>
      </c>
      <c r="L990" s="1" t="s">
        <v>147</v>
      </c>
      <c r="M990" s="1">
        <f>orders[[#This Row],[Ship Date]]-orders[[#This Row],[Order Date]]</f>
        <v>4</v>
      </c>
      <c r="N990" s="1">
        <f>WEEKNUM(orders[[#This Row],[Order Date]])</f>
        <v>7</v>
      </c>
      <c r="O990" s="1" t="str" cm="1">
        <f t="array" ref="O990">_xlfn.IFS(orders[[#This Row],[Customer Gender]]="M","Male", orders[[#This Row],[Customer Gender]]="F","Female", orders[[#This Row],[Customer Gender]]="O","Other", TRUE,"Unknown")</f>
        <v>Female</v>
      </c>
    </row>
    <row r="991" spans="1:15">
      <c r="A991" s="1" t="s">
        <v>1087</v>
      </c>
      <c r="B991" s="1" t="s">
        <v>22</v>
      </c>
      <c r="C991" s="1">
        <v>1</v>
      </c>
      <c r="D991" s="1">
        <v>47.1</v>
      </c>
      <c r="E991" s="11">
        <v>47.1</v>
      </c>
      <c r="F991" s="3">
        <v>45697</v>
      </c>
      <c r="G991" s="3">
        <v>45698</v>
      </c>
      <c r="H991" s="1" t="s">
        <v>27</v>
      </c>
      <c r="I991" s="1" t="s">
        <v>18</v>
      </c>
      <c r="J991" s="1">
        <v>4</v>
      </c>
      <c r="K991" s="1" t="s">
        <v>19</v>
      </c>
      <c r="L991" s="1" t="s">
        <v>334</v>
      </c>
      <c r="M991" s="1">
        <f>orders[[#This Row],[Ship Date]]-orders[[#This Row],[Order Date]]</f>
        <v>1</v>
      </c>
      <c r="N991" s="1">
        <f>WEEKNUM(orders[[#This Row],[Order Date]])</f>
        <v>7</v>
      </c>
      <c r="O991" s="1" t="str" cm="1">
        <f t="array" ref="O991">_xlfn.IFS(orders[[#This Row],[Customer Gender]]="M","Male", orders[[#This Row],[Customer Gender]]="F","Female", orders[[#This Row],[Customer Gender]]="O","Other", TRUE,"Unknown")</f>
        <v>Female</v>
      </c>
    </row>
    <row r="992" spans="1:15">
      <c r="A992" s="1" t="s">
        <v>1088</v>
      </c>
      <c r="B992" s="1" t="s">
        <v>39</v>
      </c>
      <c r="C992" s="1">
        <v>2</v>
      </c>
      <c r="D992" s="1">
        <v>50.6</v>
      </c>
      <c r="E992" s="11">
        <v>101.2</v>
      </c>
      <c r="F992" s="3">
        <v>45697</v>
      </c>
      <c r="G992" s="3">
        <v>45703</v>
      </c>
      <c r="H992" s="1" t="s">
        <v>17</v>
      </c>
      <c r="I992" s="1" t="s">
        <v>18</v>
      </c>
      <c r="J992" s="1">
        <v>4</v>
      </c>
      <c r="K992" s="1" t="s">
        <v>19</v>
      </c>
      <c r="L992" s="1" t="s">
        <v>33</v>
      </c>
      <c r="M992" s="1">
        <f>orders[[#This Row],[Ship Date]]-orders[[#This Row],[Order Date]]</f>
        <v>6</v>
      </c>
      <c r="N992" s="1">
        <f>WEEKNUM(orders[[#This Row],[Order Date]])</f>
        <v>7</v>
      </c>
      <c r="O992" s="1" t="str" cm="1">
        <f t="array" ref="O992">_xlfn.IFS(orders[[#This Row],[Customer Gender]]="M","Male", orders[[#This Row],[Customer Gender]]="F","Female", orders[[#This Row],[Customer Gender]]="O","Other", TRUE,"Unknown")</f>
        <v>Unknown</v>
      </c>
    </row>
    <row r="993" spans="1:15">
      <c r="A993" s="1" t="s">
        <v>1089</v>
      </c>
      <c r="B993" s="1" t="s">
        <v>39</v>
      </c>
      <c r="C993" s="1">
        <v>5</v>
      </c>
      <c r="D993" s="1">
        <v>81.7</v>
      </c>
      <c r="E993" s="11">
        <v>408.5</v>
      </c>
      <c r="F993" s="3">
        <v>45697</v>
      </c>
      <c r="G993" s="3">
        <v>45698</v>
      </c>
      <c r="H993" s="1" t="s">
        <v>27</v>
      </c>
      <c r="I993" s="1" t="s">
        <v>35</v>
      </c>
      <c r="J993" s="1">
        <v>5</v>
      </c>
      <c r="K993" s="1" t="s">
        <v>19</v>
      </c>
      <c r="L993" s="1" t="s">
        <v>33</v>
      </c>
      <c r="M993" s="1">
        <f>orders[[#This Row],[Ship Date]]-orders[[#This Row],[Order Date]]</f>
        <v>1</v>
      </c>
      <c r="N993" s="1">
        <f>WEEKNUM(orders[[#This Row],[Order Date]])</f>
        <v>7</v>
      </c>
      <c r="O993" s="1" t="str" cm="1">
        <f t="array" ref="O993">_xlfn.IFS(orders[[#This Row],[Customer Gender]]="M","Male", orders[[#This Row],[Customer Gender]]="F","Female", orders[[#This Row],[Customer Gender]]="O","Other", TRUE,"Unknown")</f>
        <v>Female</v>
      </c>
    </row>
    <row r="994" spans="1:15">
      <c r="A994" s="1" t="s">
        <v>1090</v>
      </c>
      <c r="B994" s="1" t="s">
        <v>37</v>
      </c>
      <c r="C994" s="1">
        <v>2</v>
      </c>
      <c r="D994" s="1">
        <v>50.7</v>
      </c>
      <c r="E994" s="11">
        <v>101.4</v>
      </c>
      <c r="F994" s="3">
        <v>45697</v>
      </c>
      <c r="G994" s="3">
        <v>45698</v>
      </c>
      <c r="H994" s="1" t="s">
        <v>89</v>
      </c>
      <c r="I994" s="1" t="s">
        <v>40</v>
      </c>
      <c r="J994" s="1">
        <v>5</v>
      </c>
      <c r="K994" s="1" t="s">
        <v>19</v>
      </c>
      <c r="L994" s="1" t="s">
        <v>33</v>
      </c>
      <c r="M994" s="1">
        <f>orders[[#This Row],[Ship Date]]-orders[[#This Row],[Order Date]]</f>
        <v>1</v>
      </c>
      <c r="N994" s="1">
        <f>WEEKNUM(orders[[#This Row],[Order Date]])</f>
        <v>7</v>
      </c>
      <c r="O994" s="1" t="str" cm="1">
        <f t="array" ref="O994">_xlfn.IFS(orders[[#This Row],[Customer Gender]]="M","Male", orders[[#This Row],[Customer Gender]]="F","Female", orders[[#This Row],[Customer Gender]]="O","Other", TRUE,"Unknown")</f>
        <v>Other</v>
      </c>
    </row>
    <row r="995" spans="1:15">
      <c r="A995" s="1" t="s">
        <v>1091</v>
      </c>
      <c r="B995" s="1" t="s">
        <v>26</v>
      </c>
      <c r="C995" s="1">
        <v>19</v>
      </c>
      <c r="D995" s="1">
        <v>67.3</v>
      </c>
      <c r="E995" s="11">
        <v>1278.7</v>
      </c>
      <c r="F995" s="3">
        <v>45697</v>
      </c>
      <c r="G995" s="3">
        <v>45701</v>
      </c>
      <c r="H995" s="1" t="s">
        <v>27</v>
      </c>
      <c r="I995" s="1" t="s">
        <v>40</v>
      </c>
      <c r="J995" s="1">
        <v>4</v>
      </c>
      <c r="K995" s="1" t="s">
        <v>19</v>
      </c>
      <c r="L995" s="1" t="s">
        <v>33</v>
      </c>
      <c r="M995" s="1">
        <f>orders[[#This Row],[Ship Date]]-orders[[#This Row],[Order Date]]</f>
        <v>4</v>
      </c>
      <c r="N995" s="1">
        <f>WEEKNUM(orders[[#This Row],[Order Date]])</f>
        <v>7</v>
      </c>
      <c r="O995" s="1" t="str" cm="1">
        <f t="array" ref="O995">_xlfn.IFS(orders[[#This Row],[Customer Gender]]="M","Male", orders[[#This Row],[Customer Gender]]="F","Female", orders[[#This Row],[Customer Gender]]="O","Other", TRUE,"Unknown")</f>
        <v>Female</v>
      </c>
    </row>
    <row r="996" spans="1:15">
      <c r="A996" s="1" t="s">
        <v>1092</v>
      </c>
      <c r="B996" s="1" t="s">
        <v>26</v>
      </c>
      <c r="C996" s="1">
        <v>4</v>
      </c>
      <c r="D996" s="1">
        <v>64.8</v>
      </c>
      <c r="E996" s="11">
        <v>259.2</v>
      </c>
      <c r="F996" s="3">
        <v>45697</v>
      </c>
      <c r="G996" s="3">
        <v>45700</v>
      </c>
      <c r="H996" s="1" t="s">
        <v>27</v>
      </c>
      <c r="I996" s="1" t="s">
        <v>51</v>
      </c>
      <c r="J996" s="1">
        <v>4</v>
      </c>
      <c r="K996" s="1" t="s">
        <v>19</v>
      </c>
      <c r="L996" s="1" t="s">
        <v>33</v>
      </c>
      <c r="M996" s="1">
        <f>orders[[#This Row],[Ship Date]]-orders[[#This Row],[Order Date]]</f>
        <v>3</v>
      </c>
      <c r="N996" s="1">
        <f>WEEKNUM(orders[[#This Row],[Order Date]])</f>
        <v>7</v>
      </c>
      <c r="O996" s="1" t="str" cm="1">
        <f t="array" ref="O996">_xlfn.IFS(orders[[#This Row],[Customer Gender]]="M","Male", orders[[#This Row],[Customer Gender]]="F","Female", orders[[#This Row],[Customer Gender]]="O","Other", TRUE,"Unknown")</f>
        <v>Female</v>
      </c>
    </row>
    <row r="997" spans="1:15">
      <c r="A997" s="1" t="s">
        <v>1093</v>
      </c>
      <c r="B997" s="1" t="s">
        <v>37</v>
      </c>
      <c r="C997" s="1">
        <v>22</v>
      </c>
      <c r="D997" s="1">
        <v>61.3</v>
      </c>
      <c r="E997" s="11">
        <v>1348.6</v>
      </c>
      <c r="F997" s="3">
        <v>45697</v>
      </c>
      <c r="G997" s="3">
        <v>45698</v>
      </c>
      <c r="H997" s="1" t="s">
        <v>27</v>
      </c>
      <c r="I997" s="1" t="s">
        <v>18</v>
      </c>
      <c r="J997" s="1">
        <v>5</v>
      </c>
      <c r="K997" s="1" t="s">
        <v>19</v>
      </c>
      <c r="L997" s="1" t="s">
        <v>33</v>
      </c>
      <c r="M997" s="1">
        <f>orders[[#This Row],[Ship Date]]-orders[[#This Row],[Order Date]]</f>
        <v>1</v>
      </c>
      <c r="N997" s="1">
        <f>WEEKNUM(orders[[#This Row],[Order Date]])</f>
        <v>7</v>
      </c>
      <c r="O997" s="1" t="str" cm="1">
        <f t="array" ref="O997">_xlfn.IFS(orders[[#This Row],[Customer Gender]]="M","Male", orders[[#This Row],[Customer Gender]]="F","Female", orders[[#This Row],[Customer Gender]]="O","Other", TRUE,"Unknown")</f>
        <v>Female</v>
      </c>
    </row>
    <row r="998" spans="1:15">
      <c r="A998" s="1" t="s">
        <v>1094</v>
      </c>
      <c r="B998" s="1" t="s">
        <v>81</v>
      </c>
      <c r="C998" s="1">
        <v>1</v>
      </c>
      <c r="D998" s="1">
        <v>32.9</v>
      </c>
      <c r="E998" s="11">
        <v>32.9</v>
      </c>
      <c r="F998" s="3">
        <v>45697</v>
      </c>
      <c r="G998" s="3">
        <v>45700</v>
      </c>
      <c r="H998" s="1" t="s">
        <v>27</v>
      </c>
      <c r="I998" s="1" t="s">
        <v>70</v>
      </c>
      <c r="J998" s="1">
        <v>4</v>
      </c>
      <c r="K998" s="1" t="s">
        <v>19</v>
      </c>
      <c r="L998" s="1" t="s">
        <v>33</v>
      </c>
      <c r="M998" s="1">
        <f>orders[[#This Row],[Ship Date]]-orders[[#This Row],[Order Date]]</f>
        <v>3</v>
      </c>
      <c r="N998" s="1">
        <f>WEEKNUM(orders[[#This Row],[Order Date]])</f>
        <v>7</v>
      </c>
      <c r="O998" s="1" t="str" cm="1">
        <f t="array" ref="O998">_xlfn.IFS(orders[[#This Row],[Customer Gender]]="M","Male", orders[[#This Row],[Customer Gender]]="F","Female", orders[[#This Row],[Customer Gender]]="O","Other", TRUE,"Unknown")</f>
        <v>Female</v>
      </c>
    </row>
    <row r="999" spans="1:15">
      <c r="A999" s="1" t="s">
        <v>1095</v>
      </c>
      <c r="B999" s="1" t="s">
        <v>39</v>
      </c>
      <c r="C999" s="1">
        <v>2</v>
      </c>
      <c r="D999" s="1">
        <v>100.8</v>
      </c>
      <c r="E999" s="11">
        <v>201.6</v>
      </c>
      <c r="F999" s="3">
        <v>45697</v>
      </c>
      <c r="G999" s="3">
        <v>45700</v>
      </c>
      <c r="H999" s="1" t="s">
        <v>27</v>
      </c>
      <c r="I999" s="1" t="s">
        <v>18</v>
      </c>
      <c r="J999" s="1">
        <v>4</v>
      </c>
      <c r="K999" s="1" t="s">
        <v>19</v>
      </c>
      <c r="L999" s="1" t="s">
        <v>33</v>
      </c>
      <c r="M999" s="1">
        <f>orders[[#This Row],[Ship Date]]-orders[[#This Row],[Order Date]]</f>
        <v>3</v>
      </c>
      <c r="N999" s="1">
        <f>WEEKNUM(orders[[#This Row],[Order Date]])</f>
        <v>7</v>
      </c>
      <c r="O999" s="1" t="str" cm="1">
        <f t="array" ref="O999">_xlfn.IFS(orders[[#This Row],[Customer Gender]]="M","Male", orders[[#This Row],[Customer Gender]]="F","Female", orders[[#This Row],[Customer Gender]]="O","Other", TRUE,"Unknown")</f>
        <v>Female</v>
      </c>
    </row>
    <row r="1000" spans="1:15">
      <c r="A1000" s="1" t="s">
        <v>1096</v>
      </c>
      <c r="B1000" s="1" t="s">
        <v>44</v>
      </c>
      <c r="C1000" s="1">
        <v>4</v>
      </c>
      <c r="D1000" s="1">
        <v>25.1</v>
      </c>
      <c r="E1000" s="11">
        <v>100.4</v>
      </c>
      <c r="F1000" s="3">
        <v>45697</v>
      </c>
      <c r="G1000" s="3">
        <v>45699</v>
      </c>
      <c r="H1000" s="1" t="s">
        <v>27</v>
      </c>
      <c r="I1000" s="1" t="s">
        <v>35</v>
      </c>
      <c r="J1000" s="1">
        <v>4</v>
      </c>
      <c r="K1000" s="1" t="s">
        <v>19</v>
      </c>
      <c r="L1000" s="1" t="s">
        <v>33</v>
      </c>
      <c r="M1000" s="1">
        <f>orders[[#This Row],[Ship Date]]-orders[[#This Row],[Order Date]]</f>
        <v>2</v>
      </c>
      <c r="N1000" s="1">
        <f>WEEKNUM(orders[[#This Row],[Order Date]])</f>
        <v>7</v>
      </c>
      <c r="O1000" s="1" t="str" cm="1">
        <f t="array" ref="O1000">_xlfn.IFS(orders[[#This Row],[Customer Gender]]="M","Male", orders[[#This Row],[Customer Gender]]="F","Female", orders[[#This Row],[Customer Gender]]="O","Other", TRUE,"Unknown")</f>
        <v>Female</v>
      </c>
    </row>
    <row r="1001" spans="1:15">
      <c r="A1001" s="1" t="s">
        <v>1097</v>
      </c>
      <c r="B1001" s="1" t="s">
        <v>135</v>
      </c>
      <c r="C1001" s="1">
        <v>1</v>
      </c>
      <c r="D1001" s="1">
        <v>48.5</v>
      </c>
      <c r="E1001" s="11">
        <v>48.5</v>
      </c>
      <c r="F1001" s="3">
        <v>45697</v>
      </c>
      <c r="G1001" s="3">
        <v>45698</v>
      </c>
      <c r="H1001" s="1" t="s">
        <v>27</v>
      </c>
      <c r="I1001" s="1" t="s">
        <v>18</v>
      </c>
      <c r="J1001" s="1">
        <v>3</v>
      </c>
      <c r="K1001" s="1" t="s">
        <v>19</v>
      </c>
      <c r="L1001" s="1" t="s">
        <v>33</v>
      </c>
      <c r="M1001" s="1">
        <f>orders[[#This Row],[Ship Date]]-orders[[#This Row],[Order Date]]</f>
        <v>1</v>
      </c>
      <c r="N1001" s="1">
        <f>WEEKNUM(orders[[#This Row],[Order Date]])</f>
        <v>7</v>
      </c>
      <c r="O1001" s="1" t="str" cm="1">
        <f t="array" ref="O1001">_xlfn.IFS(orders[[#This Row],[Customer Gender]]="M","Male", orders[[#This Row],[Customer Gender]]="F","Female", orders[[#This Row],[Customer Gender]]="O","Other", TRUE,"Unknown")</f>
        <v>Female</v>
      </c>
    </row>
    <row r="1002" spans="1:15">
      <c r="A1002" s="1" t="s">
        <v>1098</v>
      </c>
      <c r="B1002" s="1" t="s">
        <v>42</v>
      </c>
      <c r="C1002" s="1">
        <v>2</v>
      </c>
      <c r="D1002" s="1">
        <v>33.6</v>
      </c>
      <c r="E1002" s="11">
        <v>67.2</v>
      </c>
      <c r="F1002" s="3">
        <v>45697</v>
      </c>
      <c r="G1002" s="3">
        <v>45701</v>
      </c>
      <c r="H1002" s="1" t="s">
        <v>27</v>
      </c>
      <c r="I1002" s="1" t="s">
        <v>40</v>
      </c>
      <c r="J1002" s="1">
        <v>5</v>
      </c>
      <c r="K1002" s="1" t="s">
        <v>19</v>
      </c>
      <c r="L1002" s="1" t="s">
        <v>33</v>
      </c>
      <c r="M1002" s="1">
        <f>orders[[#This Row],[Ship Date]]-orders[[#This Row],[Order Date]]</f>
        <v>4</v>
      </c>
      <c r="N1002" s="1">
        <f>WEEKNUM(orders[[#This Row],[Order Date]])</f>
        <v>7</v>
      </c>
      <c r="O1002" s="1" t="str" cm="1">
        <f t="array" ref="O1002">_xlfn.IFS(orders[[#This Row],[Customer Gender]]="M","Male", orders[[#This Row],[Customer Gender]]="F","Female", orders[[#This Row],[Customer Gender]]="O","Other", TRUE,"Unknown")</f>
        <v>Female</v>
      </c>
    </row>
    <row r="1003" spans="1:15">
      <c r="A1003" s="1" t="s">
        <v>1099</v>
      </c>
      <c r="B1003" s="1" t="s">
        <v>44</v>
      </c>
      <c r="C1003" s="1">
        <v>1</v>
      </c>
      <c r="D1003" s="1">
        <v>39.299999999999997</v>
      </c>
      <c r="E1003" s="11">
        <v>39.299999999999997</v>
      </c>
      <c r="F1003" s="3">
        <v>45697</v>
      </c>
      <c r="G1003" s="3">
        <v>45708</v>
      </c>
      <c r="H1003" s="1" t="s">
        <v>27</v>
      </c>
      <c r="I1003" s="1" t="s">
        <v>35</v>
      </c>
      <c r="J1003" s="1">
        <v>3</v>
      </c>
      <c r="K1003" s="1" t="s">
        <v>19</v>
      </c>
      <c r="L1003" s="1" t="s">
        <v>802</v>
      </c>
      <c r="M1003" s="1">
        <f>orders[[#This Row],[Ship Date]]-orders[[#This Row],[Order Date]]</f>
        <v>11</v>
      </c>
      <c r="N1003" s="1">
        <f>WEEKNUM(orders[[#This Row],[Order Date]])</f>
        <v>7</v>
      </c>
      <c r="O1003" s="1" t="str" cm="1">
        <f t="array" ref="O1003">_xlfn.IFS(orders[[#This Row],[Customer Gender]]="M","Male", orders[[#This Row],[Customer Gender]]="F","Female", orders[[#This Row],[Customer Gender]]="O","Other", TRUE,"Unknown")</f>
        <v>Female</v>
      </c>
    </row>
    <row r="1004" spans="1:15">
      <c r="A1004" s="1" t="s">
        <v>1100</v>
      </c>
      <c r="B1004" s="1" t="s">
        <v>32</v>
      </c>
      <c r="C1004" s="1">
        <v>10</v>
      </c>
      <c r="D1004" s="1">
        <v>48.8</v>
      </c>
      <c r="E1004" s="11">
        <v>488</v>
      </c>
      <c r="F1004" s="3">
        <v>45697</v>
      </c>
      <c r="G1004" s="3">
        <v>45699</v>
      </c>
      <c r="H1004" s="1" t="s">
        <v>27</v>
      </c>
      <c r="I1004" s="1" t="s">
        <v>51</v>
      </c>
      <c r="J1004" s="1">
        <v>3</v>
      </c>
      <c r="K1004" s="1" t="s">
        <v>19</v>
      </c>
      <c r="L1004" s="1" t="s">
        <v>188</v>
      </c>
      <c r="M1004" s="1">
        <f>orders[[#This Row],[Ship Date]]-orders[[#This Row],[Order Date]]</f>
        <v>2</v>
      </c>
      <c r="N1004" s="1">
        <f>WEEKNUM(orders[[#This Row],[Order Date]])</f>
        <v>7</v>
      </c>
      <c r="O1004" s="1" t="str" cm="1">
        <f t="array" ref="O1004">_xlfn.IFS(orders[[#This Row],[Customer Gender]]="M","Male", orders[[#This Row],[Customer Gender]]="F","Female", orders[[#This Row],[Customer Gender]]="O","Other", TRUE,"Unknown")</f>
        <v>Female</v>
      </c>
    </row>
    <row r="1005" spans="1:15">
      <c r="A1005" s="1" t="s">
        <v>1101</v>
      </c>
      <c r="B1005" s="1" t="s">
        <v>39</v>
      </c>
      <c r="C1005" s="1">
        <v>8</v>
      </c>
      <c r="D1005" s="1">
        <v>72.8</v>
      </c>
      <c r="E1005" s="11">
        <v>582.4</v>
      </c>
      <c r="F1005" s="3">
        <v>45697</v>
      </c>
      <c r="G1005" s="3">
        <v>45699</v>
      </c>
      <c r="H1005" s="1" t="s">
        <v>23</v>
      </c>
      <c r="I1005" s="1" t="s">
        <v>35</v>
      </c>
      <c r="J1005" s="1">
        <v>5</v>
      </c>
      <c r="K1005" s="1" t="s">
        <v>19</v>
      </c>
      <c r="L1005" s="1" t="s">
        <v>52</v>
      </c>
      <c r="M1005" s="1">
        <f>orders[[#This Row],[Ship Date]]-orders[[#This Row],[Order Date]]</f>
        <v>2</v>
      </c>
      <c r="N1005" s="1">
        <f>WEEKNUM(orders[[#This Row],[Order Date]])</f>
        <v>7</v>
      </c>
      <c r="O1005" s="1" t="str" cm="1">
        <f t="array" ref="O1005">_xlfn.IFS(orders[[#This Row],[Customer Gender]]="M","Male", orders[[#This Row],[Customer Gender]]="F","Female", orders[[#This Row],[Customer Gender]]="O","Other", TRUE,"Unknown")</f>
        <v>Male</v>
      </c>
    </row>
    <row r="1006" spans="1:15">
      <c r="A1006" s="1" t="s">
        <v>1102</v>
      </c>
      <c r="B1006" s="1" t="s">
        <v>54</v>
      </c>
      <c r="C1006" s="1">
        <v>8</v>
      </c>
      <c r="D1006" s="1">
        <v>46.2</v>
      </c>
      <c r="E1006" s="11">
        <v>369.6</v>
      </c>
      <c r="F1006" s="3">
        <v>45697</v>
      </c>
      <c r="G1006" s="3">
        <v>45698</v>
      </c>
      <c r="H1006" s="1" t="s">
        <v>23</v>
      </c>
      <c r="I1006" s="1" t="s">
        <v>51</v>
      </c>
      <c r="J1006" s="1">
        <v>2</v>
      </c>
      <c r="K1006" s="1" t="s">
        <v>19</v>
      </c>
      <c r="L1006" s="1" t="s">
        <v>52</v>
      </c>
      <c r="M1006" s="1">
        <f>orders[[#This Row],[Ship Date]]-orders[[#This Row],[Order Date]]</f>
        <v>1</v>
      </c>
      <c r="N1006" s="1">
        <f>WEEKNUM(orders[[#This Row],[Order Date]])</f>
        <v>7</v>
      </c>
      <c r="O1006" s="1" t="str" cm="1">
        <f t="array" ref="O1006">_xlfn.IFS(orders[[#This Row],[Customer Gender]]="M","Male", orders[[#This Row],[Customer Gender]]="F","Female", orders[[#This Row],[Customer Gender]]="O","Other", TRUE,"Unknown")</f>
        <v>Male</v>
      </c>
    </row>
    <row r="1007" spans="1:15">
      <c r="A1007" s="1" t="s">
        <v>1103</v>
      </c>
      <c r="B1007" s="1" t="s">
        <v>32</v>
      </c>
      <c r="C1007" s="1">
        <v>2</v>
      </c>
      <c r="D1007" s="1">
        <v>20.7</v>
      </c>
      <c r="E1007" s="11">
        <v>41.4</v>
      </c>
      <c r="F1007" s="3">
        <v>45697</v>
      </c>
      <c r="G1007" s="3">
        <v>45698</v>
      </c>
      <c r="H1007" s="1" t="s">
        <v>27</v>
      </c>
      <c r="I1007" s="1" t="s">
        <v>40</v>
      </c>
      <c r="J1007" s="1">
        <v>1</v>
      </c>
      <c r="K1007" s="1" t="s">
        <v>19</v>
      </c>
      <c r="L1007" s="1" t="s">
        <v>55</v>
      </c>
      <c r="M1007" s="1">
        <f>orders[[#This Row],[Ship Date]]-orders[[#This Row],[Order Date]]</f>
        <v>1</v>
      </c>
      <c r="N1007" s="1">
        <f>WEEKNUM(orders[[#This Row],[Order Date]])</f>
        <v>7</v>
      </c>
      <c r="O1007" s="1" t="str" cm="1">
        <f t="array" ref="O1007">_xlfn.IFS(orders[[#This Row],[Customer Gender]]="M","Male", orders[[#This Row],[Customer Gender]]="F","Female", orders[[#This Row],[Customer Gender]]="O","Other", TRUE,"Unknown")</f>
        <v>Female</v>
      </c>
    </row>
    <row r="1008" spans="1:15">
      <c r="A1008" s="1" t="s">
        <v>1104</v>
      </c>
      <c r="B1008" s="1" t="s">
        <v>16</v>
      </c>
      <c r="C1008" s="1">
        <v>1</v>
      </c>
      <c r="D1008" s="1">
        <v>35.700000000000003</v>
      </c>
      <c r="E1008" s="11">
        <v>35.700000000000003</v>
      </c>
      <c r="F1008" s="3">
        <v>45697</v>
      </c>
      <c r="G1008" s="3">
        <v>45699</v>
      </c>
      <c r="H1008" s="1" t="s">
        <v>27</v>
      </c>
      <c r="I1008" s="1" t="s">
        <v>51</v>
      </c>
      <c r="J1008" s="1">
        <v>4</v>
      </c>
      <c r="K1008" s="1" t="s">
        <v>19</v>
      </c>
      <c r="L1008" s="1" t="s">
        <v>55</v>
      </c>
      <c r="M1008" s="1">
        <f>orders[[#This Row],[Ship Date]]-orders[[#This Row],[Order Date]]</f>
        <v>2</v>
      </c>
      <c r="N1008" s="1">
        <f>WEEKNUM(orders[[#This Row],[Order Date]])</f>
        <v>7</v>
      </c>
      <c r="O1008" s="1" t="str" cm="1">
        <f t="array" ref="O1008">_xlfn.IFS(orders[[#This Row],[Customer Gender]]="M","Male", orders[[#This Row],[Customer Gender]]="F","Female", orders[[#This Row],[Customer Gender]]="O","Other", TRUE,"Unknown")</f>
        <v>Female</v>
      </c>
    </row>
    <row r="1009" spans="1:15">
      <c r="A1009" s="1" t="s">
        <v>1105</v>
      </c>
      <c r="B1009" s="1" t="s">
        <v>26</v>
      </c>
      <c r="C1009" s="1">
        <v>16</v>
      </c>
      <c r="D1009" s="1">
        <v>166.2</v>
      </c>
      <c r="E1009" s="11">
        <v>2659.2</v>
      </c>
      <c r="F1009" s="3">
        <v>45697</v>
      </c>
      <c r="G1009" s="3">
        <v>45699</v>
      </c>
      <c r="H1009" s="1" t="s">
        <v>17</v>
      </c>
      <c r="I1009" s="1" t="s">
        <v>40</v>
      </c>
      <c r="J1009" s="1">
        <v>4</v>
      </c>
      <c r="K1009" s="1" t="s">
        <v>19</v>
      </c>
      <c r="L1009" s="1" t="s">
        <v>59</v>
      </c>
      <c r="M1009" s="1">
        <f>orders[[#This Row],[Ship Date]]-orders[[#This Row],[Order Date]]</f>
        <v>2</v>
      </c>
      <c r="N1009" s="1">
        <f>WEEKNUM(orders[[#This Row],[Order Date]])</f>
        <v>7</v>
      </c>
      <c r="O1009" s="1" t="str" cm="1">
        <f t="array" ref="O1009">_xlfn.IFS(orders[[#This Row],[Customer Gender]]="M","Male", orders[[#This Row],[Customer Gender]]="F","Female", orders[[#This Row],[Customer Gender]]="O","Other", TRUE,"Unknown")</f>
        <v>Unknown</v>
      </c>
    </row>
    <row r="1010" spans="1:15">
      <c r="A1010" s="1" t="s">
        <v>1106</v>
      </c>
      <c r="B1010" s="1" t="s">
        <v>39</v>
      </c>
      <c r="C1010" s="1">
        <v>4</v>
      </c>
      <c r="D1010" s="1">
        <v>85.8</v>
      </c>
      <c r="E1010" s="11">
        <v>343.2</v>
      </c>
      <c r="F1010" s="3">
        <v>45697</v>
      </c>
      <c r="G1010" s="3">
        <v>45698</v>
      </c>
      <c r="H1010" s="1" t="s">
        <v>27</v>
      </c>
      <c r="I1010" s="1" t="s">
        <v>35</v>
      </c>
      <c r="J1010" s="1">
        <v>3</v>
      </c>
      <c r="K1010" s="1" t="s">
        <v>19</v>
      </c>
      <c r="L1010" s="1" t="s">
        <v>59</v>
      </c>
      <c r="M1010" s="1">
        <f>orders[[#This Row],[Ship Date]]-orders[[#This Row],[Order Date]]</f>
        <v>1</v>
      </c>
      <c r="N1010" s="1">
        <f>WEEKNUM(orders[[#This Row],[Order Date]])</f>
        <v>7</v>
      </c>
      <c r="O1010" s="1" t="str" cm="1">
        <f t="array" ref="O1010">_xlfn.IFS(orders[[#This Row],[Customer Gender]]="M","Male", orders[[#This Row],[Customer Gender]]="F","Female", orders[[#This Row],[Customer Gender]]="O","Other", TRUE,"Unknown")</f>
        <v>Female</v>
      </c>
    </row>
    <row r="1011" spans="1:15">
      <c r="A1011" s="1" t="s">
        <v>1107</v>
      </c>
      <c r="B1011" s="1" t="s">
        <v>44</v>
      </c>
      <c r="C1011" s="1">
        <v>3</v>
      </c>
      <c r="D1011" s="1">
        <v>26</v>
      </c>
      <c r="E1011" s="11">
        <v>78</v>
      </c>
      <c r="F1011" s="3">
        <v>45697</v>
      </c>
      <c r="G1011" s="3">
        <v>45699</v>
      </c>
      <c r="H1011" s="1" t="s">
        <v>89</v>
      </c>
      <c r="I1011" s="1" t="s">
        <v>35</v>
      </c>
      <c r="J1011" s="1">
        <v>4</v>
      </c>
      <c r="K1011" s="1" t="s">
        <v>19</v>
      </c>
      <c r="L1011" s="1" t="s">
        <v>59</v>
      </c>
      <c r="M1011" s="1">
        <f>orders[[#This Row],[Ship Date]]-orders[[#This Row],[Order Date]]</f>
        <v>2</v>
      </c>
      <c r="N1011" s="1">
        <f>WEEKNUM(orders[[#This Row],[Order Date]])</f>
        <v>7</v>
      </c>
      <c r="O1011" s="1" t="str" cm="1">
        <f t="array" ref="O1011">_xlfn.IFS(orders[[#This Row],[Customer Gender]]="M","Male", orders[[#This Row],[Customer Gender]]="F","Female", orders[[#This Row],[Customer Gender]]="O","Other", TRUE,"Unknown")</f>
        <v>Other</v>
      </c>
    </row>
    <row r="1012" spans="1:15">
      <c r="A1012" s="1" t="s">
        <v>1108</v>
      </c>
      <c r="B1012" s="1" t="s">
        <v>26</v>
      </c>
      <c r="C1012" s="1">
        <v>13</v>
      </c>
      <c r="D1012" s="1">
        <v>116.6</v>
      </c>
      <c r="E1012" s="11">
        <v>1515.8</v>
      </c>
      <c r="F1012" s="3">
        <v>45697</v>
      </c>
      <c r="G1012" s="3">
        <v>45700</v>
      </c>
      <c r="H1012" s="1" t="s">
        <v>27</v>
      </c>
      <c r="I1012" s="1" t="s">
        <v>18</v>
      </c>
      <c r="J1012" s="1">
        <v>4</v>
      </c>
      <c r="K1012" s="1" t="s">
        <v>19</v>
      </c>
      <c r="L1012" s="1" t="s">
        <v>62</v>
      </c>
      <c r="M1012" s="1">
        <f>orders[[#This Row],[Ship Date]]-orders[[#This Row],[Order Date]]</f>
        <v>3</v>
      </c>
      <c r="N1012" s="1">
        <f>WEEKNUM(orders[[#This Row],[Order Date]])</f>
        <v>7</v>
      </c>
      <c r="O1012" s="1" t="str" cm="1">
        <f t="array" ref="O1012">_xlfn.IFS(orders[[#This Row],[Customer Gender]]="M","Male", orders[[#This Row],[Customer Gender]]="F","Female", orders[[#This Row],[Customer Gender]]="O","Other", TRUE,"Unknown")</f>
        <v>Female</v>
      </c>
    </row>
    <row r="1013" spans="1:15">
      <c r="A1013" s="1" t="s">
        <v>1109</v>
      </c>
      <c r="B1013" s="1" t="s">
        <v>46</v>
      </c>
      <c r="C1013" s="1">
        <v>7</v>
      </c>
      <c r="D1013" s="1">
        <v>53.9</v>
      </c>
      <c r="E1013" s="11">
        <v>377.3</v>
      </c>
      <c r="F1013" s="3">
        <v>45697</v>
      </c>
      <c r="G1013" s="3">
        <v>45700</v>
      </c>
      <c r="H1013" s="1" t="s">
        <v>89</v>
      </c>
      <c r="I1013" s="1" t="s">
        <v>18</v>
      </c>
      <c r="J1013" s="1">
        <v>5</v>
      </c>
      <c r="K1013" s="1" t="s">
        <v>19</v>
      </c>
      <c r="L1013" s="1" t="s">
        <v>62</v>
      </c>
      <c r="M1013" s="1">
        <f>orders[[#This Row],[Ship Date]]-orders[[#This Row],[Order Date]]</f>
        <v>3</v>
      </c>
      <c r="N1013" s="1">
        <f>WEEKNUM(orders[[#This Row],[Order Date]])</f>
        <v>7</v>
      </c>
      <c r="O1013" s="1" t="str" cm="1">
        <f t="array" ref="O1013">_xlfn.IFS(orders[[#This Row],[Customer Gender]]="M","Male", orders[[#This Row],[Customer Gender]]="F","Female", orders[[#This Row],[Customer Gender]]="O","Other", TRUE,"Unknown")</f>
        <v>Other</v>
      </c>
    </row>
    <row r="1014" spans="1:15">
      <c r="A1014" s="1" t="s">
        <v>1110</v>
      </c>
      <c r="B1014" s="1" t="s">
        <v>69</v>
      </c>
      <c r="C1014" s="1">
        <v>5</v>
      </c>
      <c r="D1014" s="1">
        <v>72.3</v>
      </c>
      <c r="E1014" s="11">
        <v>361.5</v>
      </c>
      <c r="F1014" s="3">
        <v>45697</v>
      </c>
      <c r="G1014" s="3">
        <v>45699</v>
      </c>
      <c r="H1014" s="1" t="s">
        <v>17</v>
      </c>
      <c r="I1014" s="1" t="s">
        <v>40</v>
      </c>
      <c r="J1014" s="1">
        <v>5</v>
      </c>
      <c r="K1014" s="1" t="s">
        <v>19</v>
      </c>
      <c r="L1014" s="1" t="s">
        <v>62</v>
      </c>
      <c r="M1014" s="1">
        <f>orders[[#This Row],[Ship Date]]-orders[[#This Row],[Order Date]]</f>
        <v>2</v>
      </c>
      <c r="N1014" s="1">
        <f>WEEKNUM(orders[[#This Row],[Order Date]])</f>
        <v>7</v>
      </c>
      <c r="O1014" s="1" t="str" cm="1">
        <f t="array" ref="O1014">_xlfn.IFS(orders[[#This Row],[Customer Gender]]="M","Male", orders[[#This Row],[Customer Gender]]="F","Female", orders[[#This Row],[Customer Gender]]="O","Other", TRUE,"Unknown")</f>
        <v>Unknown</v>
      </c>
    </row>
    <row r="1015" spans="1:15">
      <c r="A1015" s="1" t="s">
        <v>1111</v>
      </c>
      <c r="B1015" s="1" t="s">
        <v>37</v>
      </c>
      <c r="C1015" s="1">
        <v>2</v>
      </c>
      <c r="D1015" s="1">
        <v>31.4</v>
      </c>
      <c r="E1015" s="11">
        <v>62.8</v>
      </c>
      <c r="F1015" s="3">
        <v>45697</v>
      </c>
      <c r="G1015" s="3">
        <v>45699</v>
      </c>
      <c r="H1015" s="1" t="s">
        <v>27</v>
      </c>
      <c r="I1015" s="1" t="s">
        <v>18</v>
      </c>
      <c r="J1015" s="1">
        <v>4</v>
      </c>
      <c r="K1015" s="1" t="s">
        <v>19</v>
      </c>
      <c r="L1015" s="1" t="s">
        <v>62</v>
      </c>
      <c r="M1015" s="1">
        <f>orders[[#This Row],[Ship Date]]-orders[[#This Row],[Order Date]]</f>
        <v>2</v>
      </c>
      <c r="N1015" s="1">
        <f>WEEKNUM(orders[[#This Row],[Order Date]])</f>
        <v>7</v>
      </c>
      <c r="O1015" s="1" t="str" cm="1">
        <f t="array" ref="O1015">_xlfn.IFS(orders[[#This Row],[Customer Gender]]="M","Male", orders[[#This Row],[Customer Gender]]="F","Female", orders[[#This Row],[Customer Gender]]="O","Other", TRUE,"Unknown")</f>
        <v>Female</v>
      </c>
    </row>
    <row r="1016" spans="1:15">
      <c r="A1016" s="1" t="s">
        <v>1112</v>
      </c>
      <c r="B1016" s="1" t="s">
        <v>76</v>
      </c>
      <c r="C1016" s="1">
        <v>2</v>
      </c>
      <c r="D1016" s="1">
        <v>53.1</v>
      </c>
      <c r="E1016" s="11">
        <v>106.2</v>
      </c>
      <c r="F1016" s="3">
        <v>45697</v>
      </c>
      <c r="G1016" s="3">
        <v>45700</v>
      </c>
      <c r="H1016" s="1" t="s">
        <v>23</v>
      </c>
      <c r="I1016" s="1" t="s">
        <v>35</v>
      </c>
      <c r="J1016" s="1">
        <v>4</v>
      </c>
      <c r="K1016" s="1" t="s">
        <v>19</v>
      </c>
      <c r="L1016" s="1" t="s">
        <v>62</v>
      </c>
      <c r="M1016" s="1">
        <f>orders[[#This Row],[Ship Date]]-orders[[#This Row],[Order Date]]</f>
        <v>3</v>
      </c>
      <c r="N1016" s="1">
        <f>WEEKNUM(orders[[#This Row],[Order Date]])</f>
        <v>7</v>
      </c>
      <c r="O1016" s="1" t="str" cm="1">
        <f t="array" ref="O1016">_xlfn.IFS(orders[[#This Row],[Customer Gender]]="M","Male", orders[[#This Row],[Customer Gender]]="F","Female", orders[[#This Row],[Customer Gender]]="O","Other", TRUE,"Unknown")</f>
        <v>Male</v>
      </c>
    </row>
    <row r="1017" spans="1:15">
      <c r="A1017" s="1" t="s">
        <v>1113</v>
      </c>
      <c r="B1017" s="1" t="s">
        <v>26</v>
      </c>
      <c r="C1017" s="1">
        <v>4</v>
      </c>
      <c r="D1017" s="1">
        <v>56.2</v>
      </c>
      <c r="E1017" s="11">
        <v>224.8</v>
      </c>
      <c r="F1017" s="3">
        <v>45697</v>
      </c>
      <c r="G1017" s="3">
        <v>45698</v>
      </c>
      <c r="H1017" s="1" t="s">
        <v>27</v>
      </c>
      <c r="I1017" s="1" t="s">
        <v>18</v>
      </c>
      <c r="J1017" s="1">
        <v>4</v>
      </c>
      <c r="K1017" s="1" t="s">
        <v>19</v>
      </c>
      <c r="L1017" s="1" t="s">
        <v>62</v>
      </c>
      <c r="M1017" s="1">
        <f>orders[[#This Row],[Ship Date]]-orders[[#This Row],[Order Date]]</f>
        <v>1</v>
      </c>
      <c r="N1017" s="1">
        <f>WEEKNUM(orders[[#This Row],[Order Date]])</f>
        <v>7</v>
      </c>
      <c r="O1017" s="1" t="str" cm="1">
        <f t="array" ref="O1017">_xlfn.IFS(orders[[#This Row],[Customer Gender]]="M","Male", orders[[#This Row],[Customer Gender]]="F","Female", orders[[#This Row],[Customer Gender]]="O","Other", TRUE,"Unknown")</f>
        <v>Female</v>
      </c>
    </row>
    <row r="1018" spans="1:15">
      <c r="A1018" s="1" t="s">
        <v>1114</v>
      </c>
      <c r="B1018" s="1" t="s">
        <v>22</v>
      </c>
      <c r="C1018" s="1">
        <v>10</v>
      </c>
      <c r="D1018" s="1">
        <v>77.3</v>
      </c>
      <c r="E1018" s="11">
        <v>773</v>
      </c>
      <c r="F1018" s="3">
        <v>45697</v>
      </c>
      <c r="G1018" s="3">
        <v>45698</v>
      </c>
      <c r="H1018" s="1" t="s">
        <v>27</v>
      </c>
      <c r="I1018" s="1" t="s">
        <v>40</v>
      </c>
      <c r="J1018" s="1">
        <v>4</v>
      </c>
      <c r="K1018" s="1" t="s">
        <v>19</v>
      </c>
      <c r="L1018" s="1" t="s">
        <v>77</v>
      </c>
      <c r="M1018" s="1">
        <f>orders[[#This Row],[Ship Date]]-orders[[#This Row],[Order Date]]</f>
        <v>1</v>
      </c>
      <c r="N1018" s="1">
        <f>WEEKNUM(orders[[#This Row],[Order Date]])</f>
        <v>7</v>
      </c>
      <c r="O1018" s="1" t="str" cm="1">
        <f t="array" ref="O1018">_xlfn.IFS(orders[[#This Row],[Customer Gender]]="M","Male", orders[[#This Row],[Customer Gender]]="F","Female", orders[[#This Row],[Customer Gender]]="O","Other", TRUE,"Unknown")</f>
        <v>Female</v>
      </c>
    </row>
    <row r="1019" spans="1:15">
      <c r="A1019" s="1" t="s">
        <v>1115</v>
      </c>
      <c r="B1019" s="1" t="s">
        <v>39</v>
      </c>
      <c r="C1019" s="1">
        <v>13</v>
      </c>
      <c r="D1019" s="1">
        <v>57.8</v>
      </c>
      <c r="E1019" s="11">
        <v>751.4</v>
      </c>
      <c r="F1019" s="3">
        <v>45697</v>
      </c>
      <c r="G1019" s="3">
        <v>45698</v>
      </c>
      <c r="H1019" s="1" t="s">
        <v>17</v>
      </c>
      <c r="I1019" s="1" t="s">
        <v>18</v>
      </c>
      <c r="J1019" s="1">
        <v>4</v>
      </c>
      <c r="K1019" s="1" t="s">
        <v>19</v>
      </c>
      <c r="L1019" s="1" t="s">
        <v>1116</v>
      </c>
      <c r="M1019" s="1">
        <f>orders[[#This Row],[Ship Date]]-orders[[#This Row],[Order Date]]</f>
        <v>1</v>
      </c>
      <c r="N1019" s="1">
        <f>WEEKNUM(orders[[#This Row],[Order Date]])</f>
        <v>7</v>
      </c>
      <c r="O1019" s="1" t="str" cm="1">
        <f t="array" ref="O1019">_xlfn.IFS(orders[[#This Row],[Customer Gender]]="M","Male", orders[[#This Row],[Customer Gender]]="F","Female", orders[[#This Row],[Customer Gender]]="O","Other", TRUE,"Unknown")</f>
        <v>Unknown</v>
      </c>
    </row>
    <row r="1020" spans="1:15">
      <c r="A1020" s="1" t="s">
        <v>1117</v>
      </c>
      <c r="B1020" s="1" t="s">
        <v>69</v>
      </c>
      <c r="C1020" s="1">
        <v>15</v>
      </c>
      <c r="D1020" s="1">
        <v>42.1</v>
      </c>
      <c r="E1020" s="11">
        <v>631.5</v>
      </c>
      <c r="F1020" s="3">
        <v>45697</v>
      </c>
      <c r="G1020" s="3">
        <v>45699</v>
      </c>
      <c r="H1020" s="1" t="s">
        <v>27</v>
      </c>
      <c r="I1020" s="1" t="s">
        <v>35</v>
      </c>
      <c r="J1020" s="1">
        <v>3</v>
      </c>
      <c r="K1020" s="1" t="s">
        <v>19</v>
      </c>
      <c r="L1020" s="1" t="s">
        <v>1116</v>
      </c>
      <c r="M1020" s="1">
        <f>orders[[#This Row],[Ship Date]]-orders[[#This Row],[Order Date]]</f>
        <v>2</v>
      </c>
      <c r="N1020" s="1">
        <f>WEEKNUM(orders[[#This Row],[Order Date]])</f>
        <v>7</v>
      </c>
      <c r="O1020" s="1" t="str" cm="1">
        <f t="array" ref="O1020">_xlfn.IFS(orders[[#This Row],[Customer Gender]]="M","Male", orders[[#This Row],[Customer Gender]]="F","Female", orders[[#This Row],[Customer Gender]]="O","Other", TRUE,"Unknown")</f>
        <v>Female</v>
      </c>
    </row>
    <row r="1021" spans="1:15">
      <c r="A1021" s="1" t="s">
        <v>1118</v>
      </c>
      <c r="B1021" s="1" t="s">
        <v>44</v>
      </c>
      <c r="C1021" s="1">
        <v>9</v>
      </c>
      <c r="D1021" s="1">
        <v>22.8</v>
      </c>
      <c r="E1021" s="11">
        <v>205.20000000000002</v>
      </c>
      <c r="F1021" s="3">
        <v>45697</v>
      </c>
      <c r="G1021" s="3">
        <v>45701</v>
      </c>
      <c r="H1021" s="1" t="s">
        <v>23</v>
      </c>
      <c r="I1021" s="1" t="s">
        <v>40</v>
      </c>
      <c r="J1021" s="1">
        <v>5</v>
      </c>
      <c r="K1021" s="1" t="s">
        <v>19</v>
      </c>
      <c r="L1021" s="1" t="s">
        <v>110</v>
      </c>
      <c r="M1021" s="1">
        <f>orders[[#This Row],[Ship Date]]-orders[[#This Row],[Order Date]]</f>
        <v>4</v>
      </c>
      <c r="N1021" s="1">
        <f>WEEKNUM(orders[[#This Row],[Order Date]])</f>
        <v>7</v>
      </c>
      <c r="O1021" s="1" t="str" cm="1">
        <f t="array" ref="O1021">_xlfn.IFS(orders[[#This Row],[Customer Gender]]="M","Male", orders[[#This Row],[Customer Gender]]="F","Female", orders[[#This Row],[Customer Gender]]="O","Other", TRUE,"Unknown")</f>
        <v>Male</v>
      </c>
    </row>
    <row r="1022" spans="1:15">
      <c r="A1022" s="1" t="s">
        <v>1119</v>
      </c>
      <c r="B1022" s="1" t="s">
        <v>26</v>
      </c>
      <c r="C1022" s="1">
        <v>3</v>
      </c>
      <c r="D1022" s="1">
        <v>171.1</v>
      </c>
      <c r="E1022" s="11">
        <v>513.29999999999995</v>
      </c>
      <c r="F1022" s="3">
        <v>45698</v>
      </c>
      <c r="G1022" s="3">
        <v>45705</v>
      </c>
      <c r="H1022" s="1" t="s">
        <v>27</v>
      </c>
      <c r="I1022" s="1" t="s">
        <v>40</v>
      </c>
      <c r="J1022" s="1">
        <v>3</v>
      </c>
      <c r="K1022" s="1" t="s">
        <v>19</v>
      </c>
      <c r="L1022" s="1" t="s">
        <v>110</v>
      </c>
      <c r="M1022" s="1">
        <f>orders[[#This Row],[Ship Date]]-orders[[#This Row],[Order Date]]</f>
        <v>7</v>
      </c>
      <c r="N1022" s="1">
        <f>WEEKNUM(orders[[#This Row],[Order Date]])</f>
        <v>7</v>
      </c>
      <c r="O1022" s="1" t="str" cm="1">
        <f t="array" ref="O1022">_xlfn.IFS(orders[[#This Row],[Customer Gender]]="M","Male", orders[[#This Row],[Customer Gender]]="F","Female", orders[[#This Row],[Customer Gender]]="O","Other", TRUE,"Unknown")</f>
        <v>Female</v>
      </c>
    </row>
    <row r="1023" spans="1:15">
      <c r="A1023" s="1" t="s">
        <v>1120</v>
      </c>
      <c r="B1023" s="1" t="s">
        <v>44</v>
      </c>
      <c r="C1023" s="1">
        <v>1</v>
      </c>
      <c r="D1023" s="1">
        <v>28</v>
      </c>
      <c r="E1023" s="11">
        <v>28</v>
      </c>
      <c r="F1023" s="3">
        <v>45698</v>
      </c>
      <c r="G1023" s="3">
        <v>45700</v>
      </c>
      <c r="H1023" s="1" t="s">
        <v>23</v>
      </c>
      <c r="I1023" s="1" t="s">
        <v>40</v>
      </c>
      <c r="J1023" s="1">
        <v>5</v>
      </c>
      <c r="K1023" s="1" t="s">
        <v>19</v>
      </c>
      <c r="L1023" s="1" t="s">
        <v>115</v>
      </c>
      <c r="M1023" s="1">
        <f>orders[[#This Row],[Ship Date]]-orders[[#This Row],[Order Date]]</f>
        <v>2</v>
      </c>
      <c r="N1023" s="1">
        <f>WEEKNUM(orders[[#This Row],[Order Date]])</f>
        <v>7</v>
      </c>
      <c r="O1023" s="1" t="str" cm="1">
        <f t="array" ref="O1023">_xlfn.IFS(orders[[#This Row],[Customer Gender]]="M","Male", orders[[#This Row],[Customer Gender]]="F","Female", orders[[#This Row],[Customer Gender]]="O","Other", TRUE,"Unknown")</f>
        <v>Male</v>
      </c>
    </row>
    <row r="1024" spans="1:15">
      <c r="A1024" s="1" t="s">
        <v>1121</v>
      </c>
      <c r="B1024" s="1" t="s">
        <v>39</v>
      </c>
      <c r="C1024" s="1">
        <v>7</v>
      </c>
      <c r="D1024" s="1">
        <v>50.2</v>
      </c>
      <c r="E1024" s="11">
        <v>351.40000000000003</v>
      </c>
      <c r="F1024" s="3">
        <v>45698</v>
      </c>
      <c r="G1024" s="3">
        <v>45700</v>
      </c>
      <c r="H1024" s="1" t="s">
        <v>23</v>
      </c>
      <c r="I1024" s="1" t="s">
        <v>40</v>
      </c>
      <c r="J1024" s="1">
        <v>4</v>
      </c>
      <c r="K1024" s="1" t="s">
        <v>19</v>
      </c>
      <c r="L1024" s="1" t="s">
        <v>115</v>
      </c>
      <c r="M1024" s="1">
        <f>orders[[#This Row],[Ship Date]]-orders[[#This Row],[Order Date]]</f>
        <v>2</v>
      </c>
      <c r="N1024" s="1">
        <f>WEEKNUM(orders[[#This Row],[Order Date]])</f>
        <v>7</v>
      </c>
      <c r="O1024" s="1" t="str" cm="1">
        <f t="array" ref="O1024">_xlfn.IFS(orders[[#This Row],[Customer Gender]]="M","Male", orders[[#This Row],[Customer Gender]]="F","Female", orders[[#This Row],[Customer Gender]]="O","Other", TRUE,"Unknown")</f>
        <v>Male</v>
      </c>
    </row>
    <row r="1025" spans="1:15">
      <c r="A1025" s="1" t="s">
        <v>1122</v>
      </c>
      <c r="B1025" s="1" t="s">
        <v>39</v>
      </c>
      <c r="C1025" s="1">
        <v>2</v>
      </c>
      <c r="D1025" s="1">
        <v>56</v>
      </c>
      <c r="E1025" s="11">
        <v>112</v>
      </c>
      <c r="F1025" s="3">
        <v>45698</v>
      </c>
      <c r="G1025" s="3">
        <v>45698</v>
      </c>
      <c r="H1025" s="1" t="s">
        <v>23</v>
      </c>
      <c r="I1025" s="1" t="s">
        <v>18</v>
      </c>
      <c r="J1025" s="1">
        <v>5</v>
      </c>
      <c r="K1025" s="1" t="s">
        <v>19</v>
      </c>
      <c r="L1025" s="1" t="s">
        <v>147</v>
      </c>
      <c r="M1025" s="1">
        <f>orders[[#This Row],[Ship Date]]-orders[[#This Row],[Order Date]]</f>
        <v>0</v>
      </c>
      <c r="N1025" s="1">
        <f>WEEKNUM(orders[[#This Row],[Order Date]])</f>
        <v>7</v>
      </c>
      <c r="O1025" s="1" t="str" cm="1">
        <f t="array" ref="O1025">_xlfn.IFS(orders[[#This Row],[Customer Gender]]="M","Male", orders[[#This Row],[Customer Gender]]="F","Female", orders[[#This Row],[Customer Gender]]="O","Other", TRUE,"Unknown")</f>
        <v>Male</v>
      </c>
    </row>
    <row r="1026" spans="1:15">
      <c r="A1026" s="1" t="s">
        <v>1123</v>
      </c>
      <c r="B1026" s="1" t="s">
        <v>22</v>
      </c>
      <c r="C1026" s="1">
        <v>2</v>
      </c>
      <c r="D1026" s="1">
        <v>38.299999999999997</v>
      </c>
      <c r="E1026" s="11">
        <v>76.599999999999994</v>
      </c>
      <c r="F1026" s="3">
        <v>45698</v>
      </c>
      <c r="G1026" s="3">
        <v>45699</v>
      </c>
      <c r="H1026" s="1" t="s">
        <v>27</v>
      </c>
      <c r="I1026" s="1" t="s">
        <v>35</v>
      </c>
      <c r="J1026" s="1">
        <v>4</v>
      </c>
      <c r="K1026" s="1" t="s">
        <v>19</v>
      </c>
      <c r="L1026" s="1" t="s">
        <v>33</v>
      </c>
      <c r="M1026" s="1">
        <f>orders[[#This Row],[Ship Date]]-orders[[#This Row],[Order Date]]</f>
        <v>1</v>
      </c>
      <c r="N1026" s="1">
        <f>WEEKNUM(orders[[#This Row],[Order Date]])</f>
        <v>7</v>
      </c>
      <c r="O1026" s="1" t="str" cm="1">
        <f t="array" ref="O1026">_xlfn.IFS(orders[[#This Row],[Customer Gender]]="M","Male", orders[[#This Row],[Customer Gender]]="F","Female", orders[[#This Row],[Customer Gender]]="O","Other", TRUE,"Unknown")</f>
        <v>Female</v>
      </c>
    </row>
    <row r="1027" spans="1:15">
      <c r="A1027" s="1" t="s">
        <v>1124</v>
      </c>
      <c r="B1027" s="1" t="s">
        <v>16</v>
      </c>
      <c r="C1027" s="1">
        <v>5</v>
      </c>
      <c r="D1027" s="1">
        <v>22.3</v>
      </c>
      <c r="E1027" s="11">
        <v>111.5</v>
      </c>
      <c r="F1027" s="3">
        <v>45698</v>
      </c>
      <c r="G1027" s="3">
        <v>45702</v>
      </c>
      <c r="H1027" s="1" t="s">
        <v>27</v>
      </c>
      <c r="I1027" s="1" t="s">
        <v>40</v>
      </c>
      <c r="J1027" s="1">
        <v>3</v>
      </c>
      <c r="K1027" s="1" t="s">
        <v>19</v>
      </c>
      <c r="L1027" s="1" t="s">
        <v>33</v>
      </c>
      <c r="M1027" s="1">
        <f>orders[[#This Row],[Ship Date]]-orders[[#This Row],[Order Date]]</f>
        <v>4</v>
      </c>
      <c r="N1027" s="1">
        <f>WEEKNUM(orders[[#This Row],[Order Date]])</f>
        <v>7</v>
      </c>
      <c r="O1027" s="1" t="str" cm="1">
        <f t="array" ref="O1027">_xlfn.IFS(orders[[#This Row],[Customer Gender]]="M","Male", orders[[#This Row],[Customer Gender]]="F","Female", orders[[#This Row],[Customer Gender]]="O","Other", TRUE,"Unknown")</f>
        <v>Female</v>
      </c>
    </row>
    <row r="1028" spans="1:15">
      <c r="A1028" s="1" t="s">
        <v>1125</v>
      </c>
      <c r="B1028" s="1" t="s">
        <v>16</v>
      </c>
      <c r="C1028" s="1">
        <v>3</v>
      </c>
      <c r="D1028" s="1">
        <v>22.3</v>
      </c>
      <c r="E1028" s="11">
        <v>66.900000000000006</v>
      </c>
      <c r="F1028" s="3">
        <v>45698</v>
      </c>
      <c r="G1028" s="3">
        <v>45701</v>
      </c>
      <c r="H1028" s="1" t="s">
        <v>27</v>
      </c>
      <c r="I1028" s="1" t="s">
        <v>40</v>
      </c>
      <c r="J1028" s="1">
        <v>4</v>
      </c>
      <c r="K1028" s="1" t="s">
        <v>19</v>
      </c>
      <c r="L1028" s="1" t="s">
        <v>33</v>
      </c>
      <c r="M1028" s="1">
        <f>orders[[#This Row],[Ship Date]]-orders[[#This Row],[Order Date]]</f>
        <v>3</v>
      </c>
      <c r="N1028" s="1">
        <f>WEEKNUM(orders[[#This Row],[Order Date]])</f>
        <v>7</v>
      </c>
      <c r="O1028" s="1" t="str" cm="1">
        <f t="array" ref="O1028">_xlfn.IFS(orders[[#This Row],[Customer Gender]]="M","Male", orders[[#This Row],[Customer Gender]]="F","Female", orders[[#This Row],[Customer Gender]]="O","Other", TRUE,"Unknown")</f>
        <v>Female</v>
      </c>
    </row>
    <row r="1029" spans="1:15">
      <c r="A1029" s="1" t="s">
        <v>1126</v>
      </c>
      <c r="B1029" s="1" t="s">
        <v>22</v>
      </c>
      <c r="C1029" s="1">
        <v>1</v>
      </c>
      <c r="D1029" s="1">
        <v>32.9</v>
      </c>
      <c r="E1029" s="11">
        <v>32.9</v>
      </c>
      <c r="F1029" s="3">
        <v>45698</v>
      </c>
      <c r="G1029" s="3">
        <v>45703</v>
      </c>
      <c r="H1029" s="1" t="s">
        <v>27</v>
      </c>
      <c r="I1029" s="1" t="s">
        <v>18</v>
      </c>
      <c r="J1029" s="1">
        <v>4</v>
      </c>
      <c r="K1029" s="1" t="s">
        <v>19</v>
      </c>
      <c r="L1029" s="1" t="s">
        <v>33</v>
      </c>
      <c r="M1029" s="1">
        <f>orders[[#This Row],[Ship Date]]-orders[[#This Row],[Order Date]]</f>
        <v>5</v>
      </c>
      <c r="N1029" s="1">
        <f>WEEKNUM(orders[[#This Row],[Order Date]])</f>
        <v>7</v>
      </c>
      <c r="O1029" s="1" t="str" cm="1">
        <f t="array" ref="O1029">_xlfn.IFS(orders[[#This Row],[Customer Gender]]="M","Male", orders[[#This Row],[Customer Gender]]="F","Female", orders[[#This Row],[Customer Gender]]="O","Other", TRUE,"Unknown")</f>
        <v>Female</v>
      </c>
    </row>
    <row r="1030" spans="1:15">
      <c r="A1030" s="1" t="s">
        <v>1127</v>
      </c>
      <c r="B1030" s="1" t="s">
        <v>54</v>
      </c>
      <c r="C1030" s="1">
        <v>3</v>
      </c>
      <c r="D1030" s="1">
        <v>31.9</v>
      </c>
      <c r="E1030" s="11">
        <v>95.699999999999989</v>
      </c>
      <c r="F1030" s="3">
        <v>45698</v>
      </c>
      <c r="G1030" s="3">
        <v>45703</v>
      </c>
      <c r="H1030" s="1" t="s">
        <v>27</v>
      </c>
      <c r="I1030" s="1" t="s">
        <v>18</v>
      </c>
      <c r="J1030" s="1">
        <v>4</v>
      </c>
      <c r="K1030" s="1" t="s">
        <v>19</v>
      </c>
      <c r="L1030" s="1" t="s">
        <v>33</v>
      </c>
      <c r="M1030" s="1">
        <f>orders[[#This Row],[Ship Date]]-orders[[#This Row],[Order Date]]</f>
        <v>5</v>
      </c>
      <c r="N1030" s="1">
        <f>WEEKNUM(orders[[#This Row],[Order Date]])</f>
        <v>7</v>
      </c>
      <c r="O1030" s="1" t="str" cm="1">
        <f t="array" ref="O1030">_xlfn.IFS(orders[[#This Row],[Customer Gender]]="M","Male", orders[[#This Row],[Customer Gender]]="F","Female", orders[[#This Row],[Customer Gender]]="O","Other", TRUE,"Unknown")</f>
        <v>Female</v>
      </c>
    </row>
    <row r="1031" spans="1:15">
      <c r="A1031" s="1" t="s">
        <v>1128</v>
      </c>
      <c r="B1031" s="1" t="s">
        <v>39</v>
      </c>
      <c r="C1031" s="1">
        <v>2</v>
      </c>
      <c r="D1031" s="1">
        <v>94</v>
      </c>
      <c r="E1031" s="11">
        <v>188</v>
      </c>
      <c r="F1031" s="3">
        <v>45698</v>
      </c>
      <c r="G1031" s="3">
        <v>45699</v>
      </c>
      <c r="H1031" s="1" t="s">
        <v>23</v>
      </c>
      <c r="I1031" s="1" t="s">
        <v>40</v>
      </c>
      <c r="J1031" s="1">
        <v>5</v>
      </c>
      <c r="K1031" s="1" t="s">
        <v>19</v>
      </c>
      <c r="L1031" s="1" t="s">
        <v>33</v>
      </c>
      <c r="M1031" s="1">
        <f>orders[[#This Row],[Ship Date]]-orders[[#This Row],[Order Date]]</f>
        <v>1</v>
      </c>
      <c r="N1031" s="1">
        <f>WEEKNUM(orders[[#This Row],[Order Date]])</f>
        <v>7</v>
      </c>
      <c r="O1031" s="1" t="str" cm="1">
        <f t="array" ref="O1031">_xlfn.IFS(orders[[#This Row],[Customer Gender]]="M","Male", orders[[#This Row],[Customer Gender]]="F","Female", orders[[#This Row],[Customer Gender]]="O","Other", TRUE,"Unknown")</f>
        <v>Male</v>
      </c>
    </row>
    <row r="1032" spans="1:15">
      <c r="A1032" s="1" t="s">
        <v>1129</v>
      </c>
      <c r="B1032" s="1" t="s">
        <v>54</v>
      </c>
      <c r="C1032" s="1">
        <v>2</v>
      </c>
      <c r="D1032" s="1">
        <v>30.7</v>
      </c>
      <c r="E1032" s="11">
        <v>61.4</v>
      </c>
      <c r="F1032" s="3">
        <v>45698</v>
      </c>
      <c r="G1032" s="3">
        <v>45699</v>
      </c>
      <c r="H1032" s="1" t="s">
        <v>27</v>
      </c>
      <c r="I1032" s="1" t="s">
        <v>18</v>
      </c>
      <c r="J1032" s="1">
        <v>3</v>
      </c>
      <c r="K1032" s="1" t="s">
        <v>19</v>
      </c>
      <c r="L1032" s="1" t="s">
        <v>33</v>
      </c>
      <c r="M1032" s="1">
        <f>orders[[#This Row],[Ship Date]]-orders[[#This Row],[Order Date]]</f>
        <v>1</v>
      </c>
      <c r="N1032" s="1">
        <f>WEEKNUM(orders[[#This Row],[Order Date]])</f>
        <v>7</v>
      </c>
      <c r="O1032" s="1" t="str" cm="1">
        <f t="array" ref="O1032">_xlfn.IFS(orders[[#This Row],[Customer Gender]]="M","Male", orders[[#This Row],[Customer Gender]]="F","Female", orders[[#This Row],[Customer Gender]]="O","Other", TRUE,"Unknown")</f>
        <v>Female</v>
      </c>
    </row>
    <row r="1033" spans="1:15">
      <c r="A1033" s="1" t="s">
        <v>1130</v>
      </c>
      <c r="B1033" s="1" t="s">
        <v>37</v>
      </c>
      <c r="C1033" s="1">
        <v>5</v>
      </c>
      <c r="D1033" s="1">
        <v>90.5</v>
      </c>
      <c r="E1033" s="11">
        <v>452.5</v>
      </c>
      <c r="F1033" s="3">
        <v>45698</v>
      </c>
      <c r="G1033" s="3">
        <v>45705</v>
      </c>
      <c r="H1033" s="1" t="s">
        <v>23</v>
      </c>
      <c r="I1033" s="1" t="s">
        <v>18</v>
      </c>
      <c r="J1033" s="1">
        <v>5</v>
      </c>
      <c r="K1033" s="1" t="s">
        <v>19</v>
      </c>
      <c r="L1033" s="1" t="s">
        <v>33</v>
      </c>
      <c r="M1033" s="1">
        <f>orders[[#This Row],[Ship Date]]-orders[[#This Row],[Order Date]]</f>
        <v>7</v>
      </c>
      <c r="N1033" s="1">
        <f>WEEKNUM(orders[[#This Row],[Order Date]])</f>
        <v>7</v>
      </c>
      <c r="O1033" s="1" t="str" cm="1">
        <f t="array" ref="O1033">_xlfn.IFS(orders[[#This Row],[Customer Gender]]="M","Male", orders[[#This Row],[Customer Gender]]="F","Female", orders[[#This Row],[Customer Gender]]="O","Other", TRUE,"Unknown")</f>
        <v>Male</v>
      </c>
    </row>
    <row r="1034" spans="1:15">
      <c r="A1034" s="1" t="s">
        <v>1131</v>
      </c>
      <c r="B1034" s="1" t="s">
        <v>44</v>
      </c>
      <c r="C1034" s="1">
        <v>5</v>
      </c>
      <c r="D1034" s="1">
        <v>25.3</v>
      </c>
      <c r="E1034" s="11">
        <v>126.5</v>
      </c>
      <c r="F1034" s="3">
        <v>45698</v>
      </c>
      <c r="G1034" s="3">
        <v>45702</v>
      </c>
      <c r="H1034" s="1" t="s">
        <v>27</v>
      </c>
      <c r="I1034" s="1" t="s">
        <v>18</v>
      </c>
      <c r="J1034" s="1">
        <v>5</v>
      </c>
      <c r="K1034" s="1" t="s">
        <v>19</v>
      </c>
      <c r="L1034" s="1" t="s">
        <v>33</v>
      </c>
      <c r="M1034" s="1">
        <f>orders[[#This Row],[Ship Date]]-orders[[#This Row],[Order Date]]</f>
        <v>4</v>
      </c>
      <c r="N1034" s="1">
        <f>WEEKNUM(orders[[#This Row],[Order Date]])</f>
        <v>7</v>
      </c>
      <c r="O1034" s="1" t="str" cm="1">
        <f t="array" ref="O1034">_xlfn.IFS(orders[[#This Row],[Customer Gender]]="M","Male", orders[[#This Row],[Customer Gender]]="F","Female", orders[[#This Row],[Customer Gender]]="O","Other", TRUE,"Unknown")</f>
        <v>Female</v>
      </c>
    </row>
    <row r="1035" spans="1:15">
      <c r="A1035" s="1" t="s">
        <v>1132</v>
      </c>
      <c r="B1035" s="1" t="s">
        <v>39</v>
      </c>
      <c r="C1035" s="1">
        <v>3</v>
      </c>
      <c r="D1035" s="1">
        <v>58.1</v>
      </c>
      <c r="E1035" s="11">
        <v>174.3</v>
      </c>
      <c r="F1035" s="3">
        <v>45698</v>
      </c>
      <c r="G1035" s="3">
        <v>45702</v>
      </c>
      <c r="H1035" s="1" t="s">
        <v>17</v>
      </c>
      <c r="I1035" s="1" t="s">
        <v>18</v>
      </c>
      <c r="J1035" s="1">
        <v>5</v>
      </c>
      <c r="K1035" s="1" t="s">
        <v>19</v>
      </c>
      <c r="L1035" s="1" t="s">
        <v>33</v>
      </c>
      <c r="M1035" s="1">
        <f>orders[[#This Row],[Ship Date]]-orders[[#This Row],[Order Date]]</f>
        <v>4</v>
      </c>
      <c r="N1035" s="1">
        <f>WEEKNUM(orders[[#This Row],[Order Date]])</f>
        <v>7</v>
      </c>
      <c r="O1035" s="1" t="str" cm="1">
        <f t="array" ref="O1035">_xlfn.IFS(orders[[#This Row],[Customer Gender]]="M","Male", orders[[#This Row],[Customer Gender]]="F","Female", orders[[#This Row],[Customer Gender]]="O","Other", TRUE,"Unknown")</f>
        <v>Unknown</v>
      </c>
    </row>
    <row r="1036" spans="1:15">
      <c r="A1036" s="1" t="s">
        <v>1133</v>
      </c>
      <c r="B1036" s="1" t="s">
        <v>26</v>
      </c>
      <c r="C1036" s="1">
        <v>3</v>
      </c>
      <c r="D1036" s="1">
        <v>74.900000000000006</v>
      </c>
      <c r="E1036" s="11">
        <v>224.70000000000002</v>
      </c>
      <c r="F1036" s="3">
        <v>45698</v>
      </c>
      <c r="G1036" s="3">
        <v>45699</v>
      </c>
      <c r="H1036" s="1" t="s">
        <v>27</v>
      </c>
      <c r="I1036" s="1" t="s">
        <v>70</v>
      </c>
      <c r="J1036" s="1">
        <v>4</v>
      </c>
      <c r="K1036" s="1" t="s">
        <v>19</v>
      </c>
      <c r="L1036" s="1" t="s">
        <v>33</v>
      </c>
      <c r="M1036" s="1">
        <f>orders[[#This Row],[Ship Date]]-orders[[#This Row],[Order Date]]</f>
        <v>1</v>
      </c>
      <c r="N1036" s="1">
        <f>WEEKNUM(orders[[#This Row],[Order Date]])</f>
        <v>7</v>
      </c>
      <c r="O1036" s="1" t="str" cm="1">
        <f t="array" ref="O1036">_xlfn.IFS(orders[[#This Row],[Customer Gender]]="M","Male", orders[[#This Row],[Customer Gender]]="F","Female", orders[[#This Row],[Customer Gender]]="O","Other", TRUE,"Unknown")</f>
        <v>Female</v>
      </c>
    </row>
    <row r="1037" spans="1:15">
      <c r="A1037" s="1" t="s">
        <v>1134</v>
      </c>
      <c r="B1037" s="1" t="s">
        <v>32</v>
      </c>
      <c r="C1037" s="1">
        <v>2</v>
      </c>
      <c r="D1037" s="1">
        <v>32.5</v>
      </c>
      <c r="E1037" s="11">
        <v>65</v>
      </c>
      <c r="F1037" s="3">
        <v>45698</v>
      </c>
      <c r="G1037" s="3">
        <v>45699</v>
      </c>
      <c r="H1037" s="1" t="s">
        <v>23</v>
      </c>
      <c r="I1037" s="1" t="s">
        <v>40</v>
      </c>
      <c r="J1037" s="1">
        <v>5</v>
      </c>
      <c r="K1037" s="1" t="s">
        <v>19</v>
      </c>
      <c r="L1037" s="1" t="s">
        <v>545</v>
      </c>
      <c r="M1037" s="1">
        <f>orders[[#This Row],[Ship Date]]-orders[[#This Row],[Order Date]]</f>
        <v>1</v>
      </c>
      <c r="N1037" s="1">
        <f>WEEKNUM(orders[[#This Row],[Order Date]])</f>
        <v>7</v>
      </c>
      <c r="O1037" s="1" t="str" cm="1">
        <f t="array" ref="O1037">_xlfn.IFS(orders[[#This Row],[Customer Gender]]="M","Male", orders[[#This Row],[Customer Gender]]="F","Female", orders[[#This Row],[Customer Gender]]="O","Other", TRUE,"Unknown")</f>
        <v>Male</v>
      </c>
    </row>
    <row r="1038" spans="1:15">
      <c r="A1038" s="1" t="s">
        <v>1135</v>
      </c>
      <c r="B1038" s="1" t="s">
        <v>32</v>
      </c>
      <c r="C1038" s="1">
        <v>5</v>
      </c>
      <c r="D1038" s="1">
        <v>62</v>
      </c>
      <c r="E1038" s="11">
        <v>310</v>
      </c>
      <c r="F1038" s="3">
        <v>45698</v>
      </c>
      <c r="G1038" s="3">
        <v>45699</v>
      </c>
      <c r="H1038" s="1" t="s">
        <v>23</v>
      </c>
      <c r="I1038" s="1" t="s">
        <v>70</v>
      </c>
      <c r="J1038" s="1">
        <v>5</v>
      </c>
      <c r="K1038" s="1" t="s">
        <v>19</v>
      </c>
      <c r="L1038" s="1" t="s">
        <v>188</v>
      </c>
      <c r="M1038" s="1">
        <f>orders[[#This Row],[Ship Date]]-orders[[#This Row],[Order Date]]</f>
        <v>1</v>
      </c>
      <c r="N1038" s="1">
        <f>WEEKNUM(orders[[#This Row],[Order Date]])</f>
        <v>7</v>
      </c>
      <c r="O1038" s="1" t="str" cm="1">
        <f t="array" ref="O1038">_xlfn.IFS(orders[[#This Row],[Customer Gender]]="M","Male", orders[[#This Row],[Customer Gender]]="F","Female", orders[[#This Row],[Customer Gender]]="O","Other", TRUE,"Unknown")</f>
        <v>Male</v>
      </c>
    </row>
    <row r="1039" spans="1:15">
      <c r="A1039" s="1" t="s">
        <v>1136</v>
      </c>
      <c r="B1039" s="1" t="s">
        <v>76</v>
      </c>
      <c r="C1039" s="1">
        <v>6</v>
      </c>
      <c r="D1039" s="1">
        <v>28.9</v>
      </c>
      <c r="E1039" s="11">
        <v>173.39999999999998</v>
      </c>
      <c r="F1039" s="3">
        <v>45698</v>
      </c>
      <c r="G1039" s="3">
        <v>45701</v>
      </c>
      <c r="H1039" s="1" t="s">
        <v>27</v>
      </c>
      <c r="I1039" s="1" t="s">
        <v>18</v>
      </c>
      <c r="J1039" s="1">
        <v>3</v>
      </c>
      <c r="K1039" s="1" t="s">
        <v>19</v>
      </c>
      <c r="L1039" s="1" t="s">
        <v>55</v>
      </c>
      <c r="M1039" s="1">
        <f>orders[[#This Row],[Ship Date]]-orders[[#This Row],[Order Date]]</f>
        <v>3</v>
      </c>
      <c r="N1039" s="1">
        <f>WEEKNUM(orders[[#This Row],[Order Date]])</f>
        <v>7</v>
      </c>
      <c r="O1039" s="1" t="str" cm="1">
        <f t="array" ref="O1039">_xlfn.IFS(orders[[#This Row],[Customer Gender]]="M","Male", orders[[#This Row],[Customer Gender]]="F","Female", orders[[#This Row],[Customer Gender]]="O","Other", TRUE,"Unknown")</f>
        <v>Female</v>
      </c>
    </row>
    <row r="1040" spans="1:15">
      <c r="A1040" s="1" t="s">
        <v>1137</v>
      </c>
      <c r="B1040" s="1" t="s">
        <v>39</v>
      </c>
      <c r="C1040" s="1">
        <v>8</v>
      </c>
      <c r="D1040" s="1">
        <v>42.8</v>
      </c>
      <c r="E1040" s="11">
        <v>342.4</v>
      </c>
      <c r="F1040" s="3">
        <v>45698</v>
      </c>
      <c r="G1040" s="3">
        <v>45700</v>
      </c>
      <c r="H1040" s="1" t="s">
        <v>27</v>
      </c>
      <c r="I1040" s="1" t="s">
        <v>18</v>
      </c>
      <c r="J1040" s="1">
        <v>5</v>
      </c>
      <c r="K1040" s="1" t="s">
        <v>19</v>
      </c>
      <c r="L1040" s="1" t="s">
        <v>55</v>
      </c>
      <c r="M1040" s="1">
        <f>orders[[#This Row],[Ship Date]]-orders[[#This Row],[Order Date]]</f>
        <v>2</v>
      </c>
      <c r="N1040" s="1">
        <f>WEEKNUM(orders[[#This Row],[Order Date]])</f>
        <v>7</v>
      </c>
      <c r="O1040" s="1" t="str" cm="1">
        <f t="array" ref="O1040">_xlfn.IFS(orders[[#This Row],[Customer Gender]]="M","Male", orders[[#This Row],[Customer Gender]]="F","Female", orders[[#This Row],[Customer Gender]]="O","Other", TRUE,"Unknown")</f>
        <v>Female</v>
      </c>
    </row>
    <row r="1041" spans="1:15">
      <c r="A1041" s="1" t="s">
        <v>1138</v>
      </c>
      <c r="B1041" s="1" t="s">
        <v>44</v>
      </c>
      <c r="C1041" s="1">
        <v>8</v>
      </c>
      <c r="D1041" s="1">
        <v>39.4</v>
      </c>
      <c r="E1041" s="11">
        <v>315.2</v>
      </c>
      <c r="F1041" s="3">
        <v>45698</v>
      </c>
      <c r="G1041" s="3">
        <v>45700</v>
      </c>
      <c r="H1041" s="1" t="s">
        <v>23</v>
      </c>
      <c r="I1041" s="1" t="s">
        <v>18</v>
      </c>
      <c r="J1041" s="1">
        <v>4</v>
      </c>
      <c r="K1041" s="1" t="s">
        <v>19</v>
      </c>
      <c r="L1041" s="1" t="s">
        <v>342</v>
      </c>
      <c r="M1041" s="1">
        <f>orders[[#This Row],[Ship Date]]-orders[[#This Row],[Order Date]]</f>
        <v>2</v>
      </c>
      <c r="N1041" s="1">
        <f>WEEKNUM(orders[[#This Row],[Order Date]])</f>
        <v>7</v>
      </c>
      <c r="O1041" s="1" t="str" cm="1">
        <f t="array" ref="O1041">_xlfn.IFS(orders[[#This Row],[Customer Gender]]="M","Male", orders[[#This Row],[Customer Gender]]="F","Female", orders[[#This Row],[Customer Gender]]="O","Other", TRUE,"Unknown")</f>
        <v>Male</v>
      </c>
    </row>
    <row r="1042" spans="1:15">
      <c r="A1042" s="1" t="s">
        <v>1139</v>
      </c>
      <c r="B1042" s="1" t="s">
        <v>146</v>
      </c>
      <c r="C1042" s="1">
        <v>3</v>
      </c>
      <c r="D1042" s="1">
        <v>66.400000000000006</v>
      </c>
      <c r="E1042" s="11">
        <v>199.20000000000002</v>
      </c>
      <c r="F1042" s="3">
        <v>45698</v>
      </c>
      <c r="G1042" s="3">
        <v>45699</v>
      </c>
      <c r="H1042" s="1" t="s">
        <v>17</v>
      </c>
      <c r="I1042" s="1" t="s">
        <v>40</v>
      </c>
      <c r="J1042" s="1">
        <v>3</v>
      </c>
      <c r="K1042" s="1" t="s">
        <v>19</v>
      </c>
      <c r="L1042" s="1" t="s">
        <v>59</v>
      </c>
      <c r="M1042" s="1">
        <f>orders[[#This Row],[Ship Date]]-orders[[#This Row],[Order Date]]</f>
        <v>1</v>
      </c>
      <c r="N1042" s="1">
        <f>WEEKNUM(orders[[#This Row],[Order Date]])</f>
        <v>7</v>
      </c>
      <c r="O1042" s="1" t="str" cm="1">
        <f t="array" ref="O1042">_xlfn.IFS(orders[[#This Row],[Customer Gender]]="M","Male", orders[[#This Row],[Customer Gender]]="F","Female", orders[[#This Row],[Customer Gender]]="O","Other", TRUE,"Unknown")</f>
        <v>Unknown</v>
      </c>
    </row>
    <row r="1043" spans="1:15">
      <c r="A1043" s="1" t="s">
        <v>1140</v>
      </c>
      <c r="B1043" s="1" t="s">
        <v>135</v>
      </c>
      <c r="C1043" s="1">
        <v>4</v>
      </c>
      <c r="D1043" s="1">
        <v>35.9</v>
      </c>
      <c r="E1043" s="11">
        <v>143.6</v>
      </c>
      <c r="F1043" s="3">
        <v>45698</v>
      </c>
      <c r="G1043" s="3">
        <v>45705</v>
      </c>
      <c r="H1043" s="1" t="s">
        <v>27</v>
      </c>
      <c r="I1043" s="1" t="s">
        <v>35</v>
      </c>
      <c r="J1043" s="1">
        <v>4</v>
      </c>
      <c r="K1043" s="1" t="s">
        <v>19</v>
      </c>
      <c r="L1043" s="1" t="s">
        <v>59</v>
      </c>
      <c r="M1043" s="1">
        <f>orders[[#This Row],[Ship Date]]-orders[[#This Row],[Order Date]]</f>
        <v>7</v>
      </c>
      <c r="N1043" s="1">
        <f>WEEKNUM(orders[[#This Row],[Order Date]])</f>
        <v>7</v>
      </c>
      <c r="O1043" s="1" t="str" cm="1">
        <f t="array" ref="O1043">_xlfn.IFS(orders[[#This Row],[Customer Gender]]="M","Male", orders[[#This Row],[Customer Gender]]="F","Female", orders[[#This Row],[Customer Gender]]="O","Other", TRUE,"Unknown")</f>
        <v>Female</v>
      </c>
    </row>
    <row r="1044" spans="1:15">
      <c r="A1044" s="1" t="s">
        <v>1141</v>
      </c>
      <c r="B1044" s="1" t="s">
        <v>16</v>
      </c>
      <c r="C1044" s="1">
        <v>4</v>
      </c>
      <c r="D1044" s="1">
        <v>26.9</v>
      </c>
      <c r="E1044" s="11">
        <v>107.6</v>
      </c>
      <c r="F1044" s="3">
        <v>45698</v>
      </c>
      <c r="G1044" s="3">
        <v>45699</v>
      </c>
      <c r="H1044" s="1" t="s">
        <v>23</v>
      </c>
      <c r="I1044" s="1" t="s">
        <v>35</v>
      </c>
      <c r="J1044" s="1">
        <v>4</v>
      </c>
      <c r="K1044" s="1" t="s">
        <v>19</v>
      </c>
      <c r="L1044" s="1" t="s">
        <v>59</v>
      </c>
      <c r="M1044" s="1">
        <f>orders[[#This Row],[Ship Date]]-orders[[#This Row],[Order Date]]</f>
        <v>1</v>
      </c>
      <c r="N1044" s="1">
        <f>WEEKNUM(orders[[#This Row],[Order Date]])</f>
        <v>7</v>
      </c>
      <c r="O1044" s="1" t="str" cm="1">
        <f t="array" ref="O1044">_xlfn.IFS(orders[[#This Row],[Customer Gender]]="M","Male", orders[[#This Row],[Customer Gender]]="F","Female", orders[[#This Row],[Customer Gender]]="O","Other", TRUE,"Unknown")</f>
        <v>Male</v>
      </c>
    </row>
    <row r="1045" spans="1:15">
      <c r="A1045" s="1" t="s">
        <v>1142</v>
      </c>
      <c r="B1045" s="1" t="s">
        <v>26</v>
      </c>
      <c r="C1045" s="1">
        <v>1</v>
      </c>
      <c r="D1045" s="1">
        <v>55.1</v>
      </c>
      <c r="E1045" s="11">
        <v>55.1</v>
      </c>
      <c r="F1045" s="3">
        <v>45698</v>
      </c>
      <c r="G1045" s="3">
        <v>45699</v>
      </c>
      <c r="H1045" s="1" t="s">
        <v>27</v>
      </c>
      <c r="I1045" s="1" t="s">
        <v>18</v>
      </c>
      <c r="J1045" s="1">
        <v>4</v>
      </c>
      <c r="K1045" s="1" t="s">
        <v>19</v>
      </c>
      <c r="L1045" s="1" t="s">
        <v>59</v>
      </c>
      <c r="M1045" s="1">
        <f>orders[[#This Row],[Ship Date]]-orders[[#This Row],[Order Date]]</f>
        <v>1</v>
      </c>
      <c r="N1045" s="1">
        <f>WEEKNUM(orders[[#This Row],[Order Date]])</f>
        <v>7</v>
      </c>
      <c r="O1045" s="1" t="str" cm="1">
        <f t="array" ref="O1045">_xlfn.IFS(orders[[#This Row],[Customer Gender]]="M","Male", orders[[#This Row],[Customer Gender]]="F","Female", orders[[#This Row],[Customer Gender]]="O","Other", TRUE,"Unknown")</f>
        <v>Female</v>
      </c>
    </row>
    <row r="1046" spans="1:15">
      <c r="A1046" s="1" t="s">
        <v>1143</v>
      </c>
      <c r="B1046" s="1" t="s">
        <v>32</v>
      </c>
      <c r="C1046" s="1">
        <v>2</v>
      </c>
      <c r="D1046" s="1">
        <v>23.9</v>
      </c>
      <c r="E1046" s="11">
        <v>47.8</v>
      </c>
      <c r="F1046" s="3">
        <v>45698</v>
      </c>
      <c r="G1046" s="3">
        <v>45699</v>
      </c>
      <c r="H1046" s="1" t="s">
        <v>23</v>
      </c>
      <c r="I1046" s="1" t="s">
        <v>18</v>
      </c>
      <c r="J1046" s="1">
        <v>5</v>
      </c>
      <c r="K1046" s="1" t="s">
        <v>19</v>
      </c>
      <c r="L1046" s="1" t="s">
        <v>62</v>
      </c>
      <c r="M1046" s="1">
        <f>orders[[#This Row],[Ship Date]]-orders[[#This Row],[Order Date]]</f>
        <v>1</v>
      </c>
      <c r="N1046" s="1">
        <f>WEEKNUM(orders[[#This Row],[Order Date]])</f>
        <v>7</v>
      </c>
      <c r="O1046" s="1" t="str" cm="1">
        <f t="array" ref="O1046">_xlfn.IFS(orders[[#This Row],[Customer Gender]]="M","Male", orders[[#This Row],[Customer Gender]]="F","Female", orders[[#This Row],[Customer Gender]]="O","Other", TRUE,"Unknown")</f>
        <v>Male</v>
      </c>
    </row>
    <row r="1047" spans="1:15">
      <c r="A1047" s="1" t="s">
        <v>1144</v>
      </c>
      <c r="B1047" s="1" t="s">
        <v>46</v>
      </c>
      <c r="C1047" s="1">
        <v>13</v>
      </c>
      <c r="D1047" s="1">
        <v>21.1</v>
      </c>
      <c r="E1047" s="11">
        <v>274.3</v>
      </c>
      <c r="F1047" s="3">
        <v>45698</v>
      </c>
      <c r="G1047" s="3">
        <v>45706</v>
      </c>
      <c r="H1047" s="1" t="s">
        <v>27</v>
      </c>
      <c r="I1047" s="1" t="s">
        <v>18</v>
      </c>
      <c r="J1047" s="1">
        <v>3</v>
      </c>
      <c r="K1047" s="1" t="s">
        <v>19</v>
      </c>
      <c r="L1047" s="1" t="s">
        <v>62</v>
      </c>
      <c r="M1047" s="1">
        <f>orders[[#This Row],[Ship Date]]-orders[[#This Row],[Order Date]]</f>
        <v>8</v>
      </c>
      <c r="N1047" s="1">
        <f>WEEKNUM(orders[[#This Row],[Order Date]])</f>
        <v>7</v>
      </c>
      <c r="O1047" s="1" t="str" cm="1">
        <f t="array" ref="O1047">_xlfn.IFS(orders[[#This Row],[Customer Gender]]="M","Male", orders[[#This Row],[Customer Gender]]="F","Female", orders[[#This Row],[Customer Gender]]="O","Other", TRUE,"Unknown")</f>
        <v>Female</v>
      </c>
    </row>
    <row r="1048" spans="1:15">
      <c r="A1048" s="1" t="s">
        <v>1145</v>
      </c>
      <c r="B1048" s="1" t="s">
        <v>44</v>
      </c>
      <c r="C1048" s="1">
        <v>5</v>
      </c>
      <c r="D1048" s="1">
        <v>33.799999999999997</v>
      </c>
      <c r="E1048" s="11">
        <v>169</v>
      </c>
      <c r="F1048" s="3">
        <v>45698</v>
      </c>
      <c r="G1048" s="3">
        <v>45700</v>
      </c>
      <c r="H1048" s="1" t="s">
        <v>27</v>
      </c>
      <c r="I1048" s="1" t="s">
        <v>18</v>
      </c>
      <c r="J1048" s="1">
        <v>4</v>
      </c>
      <c r="K1048" s="1" t="s">
        <v>19</v>
      </c>
      <c r="L1048" s="1" t="s">
        <v>62</v>
      </c>
      <c r="M1048" s="1">
        <f>orders[[#This Row],[Ship Date]]-orders[[#This Row],[Order Date]]</f>
        <v>2</v>
      </c>
      <c r="N1048" s="1">
        <f>WEEKNUM(orders[[#This Row],[Order Date]])</f>
        <v>7</v>
      </c>
      <c r="O1048" s="1" t="str" cm="1">
        <f t="array" ref="O1048">_xlfn.IFS(orders[[#This Row],[Customer Gender]]="M","Male", orders[[#This Row],[Customer Gender]]="F","Female", orders[[#This Row],[Customer Gender]]="O","Other", TRUE,"Unknown")</f>
        <v>Female</v>
      </c>
    </row>
    <row r="1049" spans="1:15">
      <c r="A1049" s="1" t="s">
        <v>1146</v>
      </c>
      <c r="B1049" s="1" t="s">
        <v>26</v>
      </c>
      <c r="C1049" s="1">
        <v>4</v>
      </c>
      <c r="D1049" s="1">
        <v>56.1</v>
      </c>
      <c r="E1049" s="11">
        <v>224.4</v>
      </c>
      <c r="F1049" s="3">
        <v>45698</v>
      </c>
      <c r="G1049" s="3">
        <v>45698</v>
      </c>
      <c r="H1049" s="1" t="s">
        <v>27</v>
      </c>
      <c r="I1049" s="1" t="s">
        <v>51</v>
      </c>
      <c r="J1049" s="1">
        <v>5</v>
      </c>
      <c r="K1049" s="1" t="s">
        <v>19</v>
      </c>
      <c r="L1049" s="1" t="s">
        <v>72</v>
      </c>
      <c r="M1049" s="1">
        <f>orders[[#This Row],[Ship Date]]-orders[[#This Row],[Order Date]]</f>
        <v>0</v>
      </c>
      <c r="N1049" s="1">
        <f>WEEKNUM(orders[[#This Row],[Order Date]])</f>
        <v>7</v>
      </c>
      <c r="O1049" s="1" t="str" cm="1">
        <f t="array" ref="O1049">_xlfn.IFS(orders[[#This Row],[Customer Gender]]="M","Male", orders[[#This Row],[Customer Gender]]="F","Female", orders[[#This Row],[Customer Gender]]="O","Other", TRUE,"Unknown")</f>
        <v>Female</v>
      </c>
    </row>
    <row r="1050" spans="1:15">
      <c r="A1050" s="1" t="s">
        <v>1147</v>
      </c>
      <c r="B1050" s="1" t="s">
        <v>30</v>
      </c>
      <c r="C1050" s="1">
        <v>1</v>
      </c>
      <c r="D1050" s="1">
        <v>58.5</v>
      </c>
      <c r="E1050" s="11">
        <v>58.5</v>
      </c>
      <c r="F1050" s="3">
        <v>45699</v>
      </c>
      <c r="G1050" s="3">
        <v>45703</v>
      </c>
      <c r="H1050" s="1" t="s">
        <v>27</v>
      </c>
      <c r="I1050" s="1" t="s">
        <v>35</v>
      </c>
      <c r="J1050" s="1">
        <v>5</v>
      </c>
      <c r="K1050" s="1" t="s">
        <v>19</v>
      </c>
      <c r="L1050" s="1" t="s">
        <v>72</v>
      </c>
      <c r="M1050" s="1">
        <f>orders[[#This Row],[Ship Date]]-orders[[#This Row],[Order Date]]</f>
        <v>4</v>
      </c>
      <c r="N1050" s="1">
        <f>WEEKNUM(orders[[#This Row],[Order Date]])</f>
        <v>7</v>
      </c>
      <c r="O1050" s="1" t="str" cm="1">
        <f t="array" ref="O1050">_xlfn.IFS(orders[[#This Row],[Customer Gender]]="M","Male", orders[[#This Row],[Customer Gender]]="F","Female", orders[[#This Row],[Customer Gender]]="O","Other", TRUE,"Unknown")</f>
        <v>Female</v>
      </c>
    </row>
    <row r="1051" spans="1:15">
      <c r="A1051" s="1" t="s">
        <v>1148</v>
      </c>
      <c r="B1051" s="1" t="s">
        <v>39</v>
      </c>
      <c r="C1051" s="1">
        <v>1</v>
      </c>
      <c r="D1051" s="1">
        <v>84.2</v>
      </c>
      <c r="E1051" s="11">
        <v>84.2</v>
      </c>
      <c r="F1051" s="3">
        <v>45699</v>
      </c>
      <c r="G1051" s="3">
        <v>45701</v>
      </c>
      <c r="H1051" s="1" t="s">
        <v>23</v>
      </c>
      <c r="I1051" s="1" t="s">
        <v>51</v>
      </c>
      <c r="J1051" s="1">
        <v>4</v>
      </c>
      <c r="K1051" s="1" t="s">
        <v>19</v>
      </c>
      <c r="L1051" s="1" t="s">
        <v>77</v>
      </c>
      <c r="M1051" s="1">
        <f>orders[[#This Row],[Ship Date]]-orders[[#This Row],[Order Date]]</f>
        <v>2</v>
      </c>
      <c r="N1051" s="1">
        <f>WEEKNUM(orders[[#This Row],[Order Date]])</f>
        <v>7</v>
      </c>
      <c r="O1051" s="1" t="str" cm="1">
        <f t="array" ref="O1051">_xlfn.IFS(orders[[#This Row],[Customer Gender]]="M","Male", orders[[#This Row],[Customer Gender]]="F","Female", orders[[#This Row],[Customer Gender]]="O","Other", TRUE,"Unknown")</f>
        <v>Male</v>
      </c>
    </row>
    <row r="1052" spans="1:15">
      <c r="A1052" s="1" t="s">
        <v>1149</v>
      </c>
      <c r="B1052" s="1" t="s">
        <v>67</v>
      </c>
      <c r="C1052" s="1">
        <v>4</v>
      </c>
      <c r="D1052" s="1">
        <v>52</v>
      </c>
      <c r="E1052" s="11">
        <v>208</v>
      </c>
      <c r="F1052" s="3">
        <v>45699</v>
      </c>
      <c r="G1052" s="3">
        <v>45702</v>
      </c>
      <c r="H1052" s="1" t="s">
        <v>23</v>
      </c>
      <c r="I1052" s="1" t="s">
        <v>18</v>
      </c>
      <c r="J1052" s="1">
        <v>4</v>
      </c>
      <c r="K1052" s="1" t="s">
        <v>19</v>
      </c>
      <c r="L1052" s="1" t="s">
        <v>77</v>
      </c>
      <c r="M1052" s="1">
        <f>orders[[#This Row],[Ship Date]]-orders[[#This Row],[Order Date]]</f>
        <v>3</v>
      </c>
      <c r="N1052" s="1">
        <f>WEEKNUM(orders[[#This Row],[Order Date]])</f>
        <v>7</v>
      </c>
      <c r="O1052" s="1" t="str" cm="1">
        <f t="array" ref="O1052">_xlfn.IFS(orders[[#This Row],[Customer Gender]]="M","Male", orders[[#This Row],[Customer Gender]]="F","Female", orders[[#This Row],[Customer Gender]]="O","Other", TRUE,"Unknown")</f>
        <v>Male</v>
      </c>
    </row>
    <row r="1053" spans="1:15">
      <c r="A1053" s="1" t="s">
        <v>1150</v>
      </c>
      <c r="B1053" s="1" t="s">
        <v>32</v>
      </c>
      <c r="C1053" s="1">
        <v>5</v>
      </c>
      <c r="D1053" s="1">
        <v>31.5</v>
      </c>
      <c r="E1053" s="11">
        <v>157.5</v>
      </c>
      <c r="F1053" s="3">
        <v>45699</v>
      </c>
      <c r="G1053" s="3">
        <v>45700</v>
      </c>
      <c r="H1053" s="1" t="s">
        <v>27</v>
      </c>
      <c r="I1053" s="1" t="s">
        <v>18</v>
      </c>
      <c r="J1053" s="1">
        <v>5</v>
      </c>
      <c r="K1053" s="1" t="s">
        <v>19</v>
      </c>
      <c r="L1053" s="1" t="s">
        <v>77</v>
      </c>
      <c r="M1053" s="1">
        <f>orders[[#This Row],[Ship Date]]-orders[[#This Row],[Order Date]]</f>
        <v>1</v>
      </c>
      <c r="N1053" s="1">
        <f>WEEKNUM(orders[[#This Row],[Order Date]])</f>
        <v>7</v>
      </c>
      <c r="O1053" s="1" t="str" cm="1">
        <f t="array" ref="O1053">_xlfn.IFS(orders[[#This Row],[Customer Gender]]="M","Male", orders[[#This Row],[Customer Gender]]="F","Female", orders[[#This Row],[Customer Gender]]="O","Other", TRUE,"Unknown")</f>
        <v>Female</v>
      </c>
    </row>
    <row r="1054" spans="1:15">
      <c r="A1054" s="1" t="s">
        <v>1151</v>
      </c>
      <c r="B1054" s="1" t="s">
        <v>128</v>
      </c>
      <c r="C1054" s="1">
        <v>3</v>
      </c>
      <c r="D1054" s="1">
        <v>46.2</v>
      </c>
      <c r="E1054" s="11">
        <v>138.60000000000002</v>
      </c>
      <c r="F1054" s="3">
        <v>45699</v>
      </c>
      <c r="G1054" s="3">
        <v>45700</v>
      </c>
      <c r="H1054" s="1" t="s">
        <v>23</v>
      </c>
      <c r="I1054" s="1" t="s">
        <v>18</v>
      </c>
      <c r="J1054" s="1">
        <v>4</v>
      </c>
      <c r="K1054" s="1" t="s">
        <v>19</v>
      </c>
      <c r="L1054" s="1" t="s">
        <v>1116</v>
      </c>
      <c r="M1054" s="1">
        <f>orders[[#This Row],[Ship Date]]-orders[[#This Row],[Order Date]]</f>
        <v>1</v>
      </c>
      <c r="N1054" s="1">
        <f>WEEKNUM(orders[[#This Row],[Order Date]])</f>
        <v>7</v>
      </c>
      <c r="O1054" s="1" t="str" cm="1">
        <f t="array" ref="O1054">_xlfn.IFS(orders[[#This Row],[Customer Gender]]="M","Male", orders[[#This Row],[Customer Gender]]="F","Female", orders[[#This Row],[Customer Gender]]="O","Other", TRUE,"Unknown")</f>
        <v>Male</v>
      </c>
    </row>
    <row r="1055" spans="1:15">
      <c r="A1055" s="1" t="s">
        <v>1152</v>
      </c>
      <c r="B1055" s="1" t="s">
        <v>26</v>
      </c>
      <c r="C1055" s="1">
        <v>6</v>
      </c>
      <c r="D1055" s="1">
        <v>135</v>
      </c>
      <c r="E1055" s="11">
        <v>810</v>
      </c>
      <c r="F1055" s="3">
        <v>45699</v>
      </c>
      <c r="G1055" s="3">
        <v>45700</v>
      </c>
      <c r="H1055" s="1" t="s">
        <v>27</v>
      </c>
      <c r="I1055" s="1" t="s">
        <v>35</v>
      </c>
      <c r="J1055" s="1">
        <v>5</v>
      </c>
      <c r="K1055" s="1" t="s">
        <v>19</v>
      </c>
      <c r="L1055" s="1" t="s">
        <v>108</v>
      </c>
      <c r="M1055" s="1">
        <f>orders[[#This Row],[Ship Date]]-orders[[#This Row],[Order Date]]</f>
        <v>1</v>
      </c>
      <c r="N1055" s="1">
        <f>WEEKNUM(orders[[#This Row],[Order Date]])</f>
        <v>7</v>
      </c>
      <c r="O1055" s="1" t="str" cm="1">
        <f t="array" ref="O1055">_xlfn.IFS(orders[[#This Row],[Customer Gender]]="M","Male", orders[[#This Row],[Customer Gender]]="F","Female", orders[[#This Row],[Customer Gender]]="O","Other", TRUE,"Unknown")</f>
        <v>Female</v>
      </c>
    </row>
    <row r="1056" spans="1:15">
      <c r="A1056" s="1" t="s">
        <v>1153</v>
      </c>
      <c r="B1056" s="1" t="s">
        <v>69</v>
      </c>
      <c r="C1056" s="1">
        <v>3</v>
      </c>
      <c r="D1056" s="1">
        <v>92.2</v>
      </c>
      <c r="E1056" s="11">
        <v>276.60000000000002</v>
      </c>
      <c r="F1056" s="3">
        <v>45699</v>
      </c>
      <c r="G1056" s="3">
        <v>45703</v>
      </c>
      <c r="H1056" s="1" t="s">
        <v>23</v>
      </c>
      <c r="I1056" s="1" t="s">
        <v>18</v>
      </c>
      <c r="J1056" s="1">
        <v>4</v>
      </c>
      <c r="K1056" s="1" t="s">
        <v>19</v>
      </c>
      <c r="L1056" s="1" t="s">
        <v>115</v>
      </c>
      <c r="M1056" s="1">
        <f>orders[[#This Row],[Ship Date]]-orders[[#This Row],[Order Date]]</f>
        <v>4</v>
      </c>
      <c r="N1056" s="1">
        <f>WEEKNUM(orders[[#This Row],[Order Date]])</f>
        <v>7</v>
      </c>
      <c r="O1056" s="1" t="str" cm="1">
        <f t="array" ref="O1056">_xlfn.IFS(orders[[#This Row],[Customer Gender]]="M","Male", orders[[#This Row],[Customer Gender]]="F","Female", orders[[#This Row],[Customer Gender]]="O","Other", TRUE,"Unknown")</f>
        <v>Male</v>
      </c>
    </row>
    <row r="1057" spans="1:15">
      <c r="A1057" s="1" t="s">
        <v>1154</v>
      </c>
      <c r="B1057" s="1" t="s">
        <v>44</v>
      </c>
      <c r="C1057" s="1">
        <v>1</v>
      </c>
      <c r="D1057" s="1">
        <v>36.6</v>
      </c>
      <c r="E1057" s="11">
        <v>36.6</v>
      </c>
      <c r="F1057" s="3">
        <v>45699</v>
      </c>
      <c r="G1057" s="3">
        <v>45701</v>
      </c>
      <c r="H1057" s="1" t="s">
        <v>23</v>
      </c>
      <c r="I1057" s="1" t="s">
        <v>40</v>
      </c>
      <c r="J1057" s="1">
        <v>5</v>
      </c>
      <c r="K1057" s="1" t="s">
        <v>19</v>
      </c>
      <c r="L1057" s="1" t="s">
        <v>115</v>
      </c>
      <c r="M1057" s="1">
        <f>orders[[#This Row],[Ship Date]]-orders[[#This Row],[Order Date]]</f>
        <v>2</v>
      </c>
      <c r="N1057" s="1">
        <f>WEEKNUM(orders[[#This Row],[Order Date]])</f>
        <v>7</v>
      </c>
      <c r="O1057" s="1" t="str" cm="1">
        <f t="array" ref="O1057">_xlfn.IFS(orders[[#This Row],[Customer Gender]]="M","Male", orders[[#This Row],[Customer Gender]]="F","Female", orders[[#This Row],[Customer Gender]]="O","Other", TRUE,"Unknown")</f>
        <v>Male</v>
      </c>
    </row>
    <row r="1058" spans="1:15">
      <c r="A1058" s="1" t="s">
        <v>1155</v>
      </c>
      <c r="B1058" s="1" t="s">
        <v>46</v>
      </c>
      <c r="C1058" s="1">
        <v>2</v>
      </c>
      <c r="D1058" s="1">
        <v>50.6</v>
      </c>
      <c r="E1058" s="11">
        <v>101.2</v>
      </c>
      <c r="F1058" s="3">
        <v>45699</v>
      </c>
      <c r="G1058" s="3">
        <v>45702</v>
      </c>
      <c r="H1058" s="1" t="s">
        <v>27</v>
      </c>
      <c r="I1058" s="1" t="s">
        <v>18</v>
      </c>
      <c r="J1058" s="1">
        <v>4</v>
      </c>
      <c r="K1058" s="1" t="s">
        <v>19</v>
      </c>
      <c r="L1058" s="1" t="s">
        <v>28</v>
      </c>
      <c r="M1058" s="1">
        <f>orders[[#This Row],[Ship Date]]-orders[[#This Row],[Order Date]]</f>
        <v>3</v>
      </c>
      <c r="N1058" s="1">
        <f>WEEKNUM(orders[[#This Row],[Order Date]])</f>
        <v>7</v>
      </c>
      <c r="O1058" s="1" t="str" cm="1">
        <f t="array" ref="O1058">_xlfn.IFS(orders[[#This Row],[Customer Gender]]="M","Male", orders[[#This Row],[Customer Gender]]="F","Female", orders[[#This Row],[Customer Gender]]="O","Other", TRUE,"Unknown")</f>
        <v>Female</v>
      </c>
    </row>
    <row r="1059" spans="1:15">
      <c r="A1059" s="1" t="s">
        <v>1156</v>
      </c>
      <c r="B1059" s="1" t="s">
        <v>146</v>
      </c>
      <c r="C1059" s="1">
        <v>7</v>
      </c>
      <c r="D1059" s="1">
        <v>56.7</v>
      </c>
      <c r="E1059" s="11">
        <v>396.90000000000003</v>
      </c>
      <c r="F1059" s="3">
        <v>45699</v>
      </c>
      <c r="G1059" s="3">
        <v>45702</v>
      </c>
      <c r="H1059" s="1" t="s">
        <v>27</v>
      </c>
      <c r="I1059" s="1" t="s">
        <v>18</v>
      </c>
      <c r="J1059" s="1">
        <v>4</v>
      </c>
      <c r="K1059" s="1" t="s">
        <v>19</v>
      </c>
      <c r="L1059" s="1" t="s">
        <v>28</v>
      </c>
      <c r="M1059" s="1">
        <f>orders[[#This Row],[Ship Date]]-orders[[#This Row],[Order Date]]</f>
        <v>3</v>
      </c>
      <c r="N1059" s="1">
        <f>WEEKNUM(orders[[#This Row],[Order Date]])</f>
        <v>7</v>
      </c>
      <c r="O1059" s="1" t="str" cm="1">
        <f t="array" ref="O1059">_xlfn.IFS(orders[[#This Row],[Customer Gender]]="M","Male", orders[[#This Row],[Customer Gender]]="F","Female", orders[[#This Row],[Customer Gender]]="O","Other", TRUE,"Unknown")</f>
        <v>Female</v>
      </c>
    </row>
    <row r="1060" spans="1:15">
      <c r="A1060" s="1" t="s">
        <v>1157</v>
      </c>
      <c r="B1060" s="1" t="s">
        <v>46</v>
      </c>
      <c r="C1060" s="1">
        <v>13</v>
      </c>
      <c r="D1060" s="1">
        <v>22.9</v>
      </c>
      <c r="E1060" s="11">
        <v>297.7</v>
      </c>
      <c r="F1060" s="3">
        <v>45699</v>
      </c>
      <c r="G1060" s="3">
        <v>45700</v>
      </c>
      <c r="H1060" s="1" t="s">
        <v>27</v>
      </c>
      <c r="I1060" s="1" t="s">
        <v>18</v>
      </c>
      <c r="J1060" s="1">
        <v>3</v>
      </c>
      <c r="K1060" s="1" t="s">
        <v>19</v>
      </c>
      <c r="L1060" s="1" t="s">
        <v>587</v>
      </c>
      <c r="M1060" s="1">
        <f>orders[[#This Row],[Ship Date]]-orders[[#This Row],[Order Date]]</f>
        <v>1</v>
      </c>
      <c r="N1060" s="1">
        <f>WEEKNUM(orders[[#This Row],[Order Date]])</f>
        <v>7</v>
      </c>
      <c r="O1060" s="1" t="str" cm="1">
        <f t="array" ref="O1060">_xlfn.IFS(orders[[#This Row],[Customer Gender]]="M","Male", orders[[#This Row],[Customer Gender]]="F","Female", orders[[#This Row],[Customer Gender]]="O","Other", TRUE,"Unknown")</f>
        <v>Female</v>
      </c>
    </row>
    <row r="1061" spans="1:15">
      <c r="A1061" s="1" t="s">
        <v>1158</v>
      </c>
      <c r="B1061" s="1" t="s">
        <v>123</v>
      </c>
      <c r="C1061" s="1">
        <v>19</v>
      </c>
      <c r="D1061" s="1">
        <v>53.6</v>
      </c>
      <c r="E1061" s="11">
        <v>1018.4</v>
      </c>
      <c r="F1061" s="3">
        <v>45699</v>
      </c>
      <c r="G1061" s="3">
        <v>45700</v>
      </c>
      <c r="H1061" s="1" t="s">
        <v>23</v>
      </c>
      <c r="I1061" s="1" t="s">
        <v>18</v>
      </c>
      <c r="J1061" s="1">
        <v>4</v>
      </c>
      <c r="K1061" s="1" t="s">
        <v>19</v>
      </c>
      <c r="L1061" s="1" t="s">
        <v>147</v>
      </c>
      <c r="M1061" s="1">
        <f>orders[[#This Row],[Ship Date]]-orders[[#This Row],[Order Date]]</f>
        <v>1</v>
      </c>
      <c r="N1061" s="1">
        <f>WEEKNUM(orders[[#This Row],[Order Date]])</f>
        <v>7</v>
      </c>
      <c r="O1061" s="1" t="str" cm="1">
        <f t="array" ref="O1061">_xlfn.IFS(orders[[#This Row],[Customer Gender]]="M","Male", orders[[#This Row],[Customer Gender]]="F","Female", orders[[#This Row],[Customer Gender]]="O","Other", TRUE,"Unknown")</f>
        <v>Male</v>
      </c>
    </row>
    <row r="1062" spans="1:15">
      <c r="A1062" s="1" t="s">
        <v>1159</v>
      </c>
      <c r="B1062" s="1" t="s">
        <v>146</v>
      </c>
      <c r="C1062" s="1">
        <v>2</v>
      </c>
      <c r="D1062" s="1">
        <v>30.2</v>
      </c>
      <c r="E1062" s="11">
        <v>60.4</v>
      </c>
      <c r="F1062" s="3">
        <v>45699</v>
      </c>
      <c r="G1062" s="3">
        <v>45701</v>
      </c>
      <c r="H1062" s="1" t="s">
        <v>17</v>
      </c>
      <c r="I1062" s="1" t="s">
        <v>40</v>
      </c>
      <c r="J1062" s="1">
        <v>5</v>
      </c>
      <c r="K1062" s="1" t="s">
        <v>19</v>
      </c>
      <c r="L1062" s="1" t="s">
        <v>33</v>
      </c>
      <c r="M1062" s="1">
        <f>orders[[#This Row],[Ship Date]]-orders[[#This Row],[Order Date]]</f>
        <v>2</v>
      </c>
      <c r="N1062" s="1">
        <f>WEEKNUM(orders[[#This Row],[Order Date]])</f>
        <v>7</v>
      </c>
      <c r="O1062" s="1" t="str" cm="1">
        <f t="array" ref="O1062">_xlfn.IFS(orders[[#This Row],[Customer Gender]]="M","Male", orders[[#This Row],[Customer Gender]]="F","Female", orders[[#This Row],[Customer Gender]]="O","Other", TRUE,"Unknown")</f>
        <v>Unknown</v>
      </c>
    </row>
    <row r="1063" spans="1:15">
      <c r="A1063" s="1" t="s">
        <v>1160</v>
      </c>
      <c r="B1063" s="1" t="s">
        <v>123</v>
      </c>
      <c r="C1063" s="1">
        <v>6</v>
      </c>
      <c r="D1063" s="1">
        <v>83.4</v>
      </c>
      <c r="E1063" s="11">
        <v>500.40000000000003</v>
      </c>
      <c r="F1063" s="3">
        <v>45699</v>
      </c>
      <c r="G1063" s="3">
        <v>45700</v>
      </c>
      <c r="H1063" s="1" t="s">
        <v>23</v>
      </c>
      <c r="I1063" s="1" t="s">
        <v>35</v>
      </c>
      <c r="J1063" s="1">
        <v>5</v>
      </c>
      <c r="K1063" s="1" t="s">
        <v>19</v>
      </c>
      <c r="L1063" s="1" t="s">
        <v>33</v>
      </c>
      <c r="M1063" s="1">
        <f>orders[[#This Row],[Ship Date]]-orders[[#This Row],[Order Date]]</f>
        <v>1</v>
      </c>
      <c r="N1063" s="1">
        <f>WEEKNUM(orders[[#This Row],[Order Date]])</f>
        <v>7</v>
      </c>
      <c r="O1063" s="1" t="str" cm="1">
        <f t="array" ref="O1063">_xlfn.IFS(orders[[#This Row],[Customer Gender]]="M","Male", orders[[#This Row],[Customer Gender]]="F","Female", orders[[#This Row],[Customer Gender]]="O","Other", TRUE,"Unknown")</f>
        <v>Male</v>
      </c>
    </row>
    <row r="1064" spans="1:15">
      <c r="A1064" s="1" t="s">
        <v>1161</v>
      </c>
      <c r="B1064" s="1" t="s">
        <v>76</v>
      </c>
      <c r="C1064" s="1">
        <v>12</v>
      </c>
      <c r="D1064" s="1">
        <v>16.600000000000001</v>
      </c>
      <c r="E1064" s="11">
        <v>199.20000000000002</v>
      </c>
      <c r="F1064" s="3">
        <v>45699</v>
      </c>
      <c r="G1064" s="3">
        <v>45701</v>
      </c>
      <c r="H1064" s="1" t="s">
        <v>23</v>
      </c>
      <c r="I1064" s="1" t="s">
        <v>35</v>
      </c>
      <c r="J1064" s="1">
        <v>4</v>
      </c>
      <c r="K1064" s="1" t="s">
        <v>19</v>
      </c>
      <c r="L1064" s="1" t="s">
        <v>33</v>
      </c>
      <c r="M1064" s="1">
        <f>orders[[#This Row],[Ship Date]]-orders[[#This Row],[Order Date]]</f>
        <v>2</v>
      </c>
      <c r="N1064" s="1">
        <f>WEEKNUM(orders[[#This Row],[Order Date]])</f>
        <v>7</v>
      </c>
      <c r="O1064" s="1" t="str" cm="1">
        <f t="array" ref="O1064">_xlfn.IFS(orders[[#This Row],[Customer Gender]]="M","Male", orders[[#This Row],[Customer Gender]]="F","Female", orders[[#This Row],[Customer Gender]]="O","Other", TRUE,"Unknown")</f>
        <v>Male</v>
      </c>
    </row>
    <row r="1065" spans="1:15">
      <c r="A1065" s="1" t="s">
        <v>1162</v>
      </c>
      <c r="B1065" s="1" t="s">
        <v>44</v>
      </c>
      <c r="C1065" s="1">
        <v>17</v>
      </c>
      <c r="D1065" s="1">
        <v>21.9</v>
      </c>
      <c r="E1065" s="11">
        <v>372.29999999999995</v>
      </c>
      <c r="F1065" s="3">
        <v>45699</v>
      </c>
      <c r="G1065" s="3">
        <v>45701</v>
      </c>
      <c r="H1065" s="1" t="s">
        <v>27</v>
      </c>
      <c r="I1065" s="1" t="s">
        <v>70</v>
      </c>
      <c r="J1065" s="1">
        <v>3</v>
      </c>
      <c r="K1065" s="1" t="s">
        <v>19</v>
      </c>
      <c r="L1065" s="1" t="s">
        <v>33</v>
      </c>
      <c r="M1065" s="1">
        <f>orders[[#This Row],[Ship Date]]-orders[[#This Row],[Order Date]]</f>
        <v>2</v>
      </c>
      <c r="N1065" s="1">
        <f>WEEKNUM(orders[[#This Row],[Order Date]])</f>
        <v>7</v>
      </c>
      <c r="O1065" s="1" t="str" cm="1">
        <f t="array" ref="O1065">_xlfn.IFS(orders[[#This Row],[Customer Gender]]="M","Male", orders[[#This Row],[Customer Gender]]="F","Female", orders[[#This Row],[Customer Gender]]="O","Other", TRUE,"Unknown")</f>
        <v>Female</v>
      </c>
    </row>
    <row r="1066" spans="1:15">
      <c r="A1066" s="1" t="s">
        <v>1163</v>
      </c>
      <c r="B1066" s="1" t="s">
        <v>44</v>
      </c>
      <c r="C1066" s="1">
        <v>28</v>
      </c>
      <c r="D1066" s="1">
        <v>33.799999999999997</v>
      </c>
      <c r="E1066" s="11">
        <v>946.39999999999986</v>
      </c>
      <c r="F1066" s="3">
        <v>45699</v>
      </c>
      <c r="G1066" s="3">
        <v>45701</v>
      </c>
      <c r="H1066" s="1" t="s">
        <v>23</v>
      </c>
      <c r="I1066" s="1" t="s">
        <v>40</v>
      </c>
      <c r="J1066" s="1">
        <v>2</v>
      </c>
      <c r="K1066" s="1" t="s">
        <v>19</v>
      </c>
      <c r="L1066" s="1" t="s">
        <v>33</v>
      </c>
      <c r="M1066" s="1">
        <f>orders[[#This Row],[Ship Date]]-orders[[#This Row],[Order Date]]</f>
        <v>2</v>
      </c>
      <c r="N1066" s="1">
        <f>WEEKNUM(orders[[#This Row],[Order Date]])</f>
        <v>7</v>
      </c>
      <c r="O1066" s="1" t="str" cm="1">
        <f t="array" ref="O1066">_xlfn.IFS(orders[[#This Row],[Customer Gender]]="M","Male", orders[[#This Row],[Customer Gender]]="F","Female", orders[[#This Row],[Customer Gender]]="O","Other", TRUE,"Unknown")</f>
        <v>Male</v>
      </c>
    </row>
    <row r="1067" spans="1:15">
      <c r="A1067" s="1" t="s">
        <v>1164</v>
      </c>
      <c r="B1067" s="1" t="s">
        <v>146</v>
      </c>
      <c r="C1067" s="1">
        <v>2</v>
      </c>
      <c r="D1067" s="1">
        <v>53.2</v>
      </c>
      <c r="E1067" s="11">
        <v>106.4</v>
      </c>
      <c r="F1067" s="3">
        <v>45699</v>
      </c>
      <c r="G1067" s="3">
        <v>45699</v>
      </c>
      <c r="H1067" s="1" t="s">
        <v>23</v>
      </c>
      <c r="I1067" s="1" t="s">
        <v>35</v>
      </c>
      <c r="J1067" s="1">
        <v>4</v>
      </c>
      <c r="K1067" s="1" t="s">
        <v>19</v>
      </c>
      <c r="L1067" s="1" t="s">
        <v>33</v>
      </c>
      <c r="M1067" s="1">
        <f>orders[[#This Row],[Ship Date]]-orders[[#This Row],[Order Date]]</f>
        <v>0</v>
      </c>
      <c r="N1067" s="1">
        <f>WEEKNUM(orders[[#This Row],[Order Date]])</f>
        <v>7</v>
      </c>
      <c r="O1067" s="1" t="str" cm="1">
        <f t="array" ref="O1067">_xlfn.IFS(orders[[#This Row],[Customer Gender]]="M","Male", orders[[#This Row],[Customer Gender]]="F","Female", orders[[#This Row],[Customer Gender]]="O","Other", TRUE,"Unknown")</f>
        <v>Male</v>
      </c>
    </row>
    <row r="1068" spans="1:15">
      <c r="A1068" s="1" t="s">
        <v>1165</v>
      </c>
      <c r="B1068" s="1" t="s">
        <v>26</v>
      </c>
      <c r="C1068" s="1">
        <v>2</v>
      </c>
      <c r="D1068" s="1">
        <v>176.7</v>
      </c>
      <c r="E1068" s="11">
        <v>353.4</v>
      </c>
      <c r="F1068" s="3">
        <v>45699</v>
      </c>
      <c r="G1068" s="3">
        <v>45702</v>
      </c>
      <c r="H1068" s="1" t="s">
        <v>27</v>
      </c>
      <c r="I1068" s="1" t="s">
        <v>40</v>
      </c>
      <c r="J1068" s="1">
        <v>4</v>
      </c>
      <c r="K1068" s="1" t="s">
        <v>19</v>
      </c>
      <c r="L1068" s="1" t="s">
        <v>33</v>
      </c>
      <c r="M1068" s="1">
        <f>orders[[#This Row],[Ship Date]]-orders[[#This Row],[Order Date]]</f>
        <v>3</v>
      </c>
      <c r="N1068" s="1">
        <f>WEEKNUM(orders[[#This Row],[Order Date]])</f>
        <v>7</v>
      </c>
      <c r="O1068" s="1" t="str" cm="1">
        <f t="array" ref="O1068">_xlfn.IFS(orders[[#This Row],[Customer Gender]]="M","Male", orders[[#This Row],[Customer Gender]]="F","Female", orders[[#This Row],[Customer Gender]]="O","Other", TRUE,"Unknown")</f>
        <v>Female</v>
      </c>
    </row>
    <row r="1069" spans="1:15">
      <c r="A1069" s="1" t="s">
        <v>1166</v>
      </c>
      <c r="B1069" s="1" t="s">
        <v>69</v>
      </c>
      <c r="C1069" s="1">
        <v>3</v>
      </c>
      <c r="D1069" s="1">
        <v>54</v>
      </c>
      <c r="E1069" s="11">
        <v>162</v>
      </c>
      <c r="F1069" s="3">
        <v>45699</v>
      </c>
      <c r="G1069" s="3">
        <v>45702</v>
      </c>
      <c r="H1069" s="1" t="s">
        <v>23</v>
      </c>
      <c r="I1069" s="1" t="s">
        <v>18</v>
      </c>
      <c r="J1069" s="1">
        <v>3</v>
      </c>
      <c r="K1069" s="1" t="s">
        <v>19</v>
      </c>
      <c r="L1069" s="1" t="s">
        <v>33</v>
      </c>
      <c r="M1069" s="1">
        <f>orders[[#This Row],[Ship Date]]-orders[[#This Row],[Order Date]]</f>
        <v>3</v>
      </c>
      <c r="N1069" s="1">
        <f>WEEKNUM(orders[[#This Row],[Order Date]])</f>
        <v>7</v>
      </c>
      <c r="O1069" s="1" t="str" cm="1">
        <f t="array" ref="O1069">_xlfn.IFS(orders[[#This Row],[Customer Gender]]="M","Male", orders[[#This Row],[Customer Gender]]="F","Female", orders[[#This Row],[Customer Gender]]="O","Other", TRUE,"Unknown")</f>
        <v>Male</v>
      </c>
    </row>
    <row r="1070" spans="1:15">
      <c r="A1070" s="1" t="s">
        <v>1167</v>
      </c>
      <c r="B1070" s="1" t="s">
        <v>46</v>
      </c>
      <c r="C1070" s="1">
        <v>2</v>
      </c>
      <c r="D1070" s="1">
        <v>70.099999999999994</v>
      </c>
      <c r="E1070" s="11">
        <v>140.19999999999999</v>
      </c>
      <c r="F1070" s="3">
        <v>45699</v>
      </c>
      <c r="G1070" s="3">
        <v>45707</v>
      </c>
      <c r="H1070" s="1" t="s">
        <v>27</v>
      </c>
      <c r="I1070" s="1" t="s">
        <v>51</v>
      </c>
      <c r="J1070" s="1">
        <v>5</v>
      </c>
      <c r="K1070" s="1" t="s">
        <v>19</v>
      </c>
      <c r="L1070" s="1" t="s">
        <v>33</v>
      </c>
      <c r="M1070" s="1">
        <f>orders[[#This Row],[Ship Date]]-orders[[#This Row],[Order Date]]</f>
        <v>8</v>
      </c>
      <c r="N1070" s="1">
        <f>WEEKNUM(orders[[#This Row],[Order Date]])</f>
        <v>7</v>
      </c>
      <c r="O1070" s="1" t="str" cm="1">
        <f t="array" ref="O1070">_xlfn.IFS(orders[[#This Row],[Customer Gender]]="M","Male", orders[[#This Row],[Customer Gender]]="F","Female", orders[[#This Row],[Customer Gender]]="O","Other", TRUE,"Unknown")</f>
        <v>Female</v>
      </c>
    </row>
    <row r="1071" spans="1:15">
      <c r="A1071" s="1" t="s">
        <v>1168</v>
      </c>
      <c r="B1071" s="1" t="s">
        <v>44</v>
      </c>
      <c r="C1071" s="1">
        <v>1</v>
      </c>
      <c r="D1071" s="1">
        <v>26.5</v>
      </c>
      <c r="E1071" s="11">
        <v>26.5</v>
      </c>
      <c r="F1071" s="3">
        <v>45699</v>
      </c>
      <c r="G1071" s="3">
        <v>45701</v>
      </c>
      <c r="H1071" s="1" t="s">
        <v>27</v>
      </c>
      <c r="I1071" s="1" t="s">
        <v>35</v>
      </c>
      <c r="J1071" s="1">
        <v>4</v>
      </c>
      <c r="K1071" s="1" t="s">
        <v>19</v>
      </c>
      <c r="L1071" s="1" t="s">
        <v>33</v>
      </c>
      <c r="M1071" s="1">
        <f>orders[[#This Row],[Ship Date]]-orders[[#This Row],[Order Date]]</f>
        <v>2</v>
      </c>
      <c r="N1071" s="1">
        <f>WEEKNUM(orders[[#This Row],[Order Date]])</f>
        <v>7</v>
      </c>
      <c r="O1071" s="1" t="str" cm="1">
        <f t="array" ref="O1071">_xlfn.IFS(orders[[#This Row],[Customer Gender]]="M","Male", orders[[#This Row],[Customer Gender]]="F","Female", orders[[#This Row],[Customer Gender]]="O","Other", TRUE,"Unknown")</f>
        <v>Female</v>
      </c>
    </row>
    <row r="1072" spans="1:15">
      <c r="A1072" s="1" t="s">
        <v>1169</v>
      </c>
      <c r="B1072" s="1" t="s">
        <v>42</v>
      </c>
      <c r="C1072" s="1">
        <v>5</v>
      </c>
      <c r="D1072" s="1">
        <v>89</v>
      </c>
      <c r="E1072" s="11">
        <v>445</v>
      </c>
      <c r="F1072" s="3">
        <v>45699</v>
      </c>
      <c r="G1072" s="3">
        <v>45701</v>
      </c>
      <c r="H1072" s="1" t="s">
        <v>23</v>
      </c>
      <c r="I1072" s="1" t="s">
        <v>40</v>
      </c>
      <c r="J1072" s="1">
        <v>2</v>
      </c>
      <c r="K1072" s="1" t="s">
        <v>19</v>
      </c>
      <c r="L1072" s="1" t="s">
        <v>33</v>
      </c>
      <c r="M1072" s="1">
        <f>orders[[#This Row],[Ship Date]]-orders[[#This Row],[Order Date]]</f>
        <v>2</v>
      </c>
      <c r="N1072" s="1">
        <f>WEEKNUM(orders[[#This Row],[Order Date]])</f>
        <v>7</v>
      </c>
      <c r="O1072" s="1" t="str" cm="1">
        <f t="array" ref="O1072">_xlfn.IFS(orders[[#This Row],[Customer Gender]]="M","Male", orders[[#This Row],[Customer Gender]]="F","Female", orders[[#This Row],[Customer Gender]]="O","Other", TRUE,"Unknown")</f>
        <v>Male</v>
      </c>
    </row>
    <row r="1073" spans="1:15">
      <c r="A1073" s="1" t="s">
        <v>1170</v>
      </c>
      <c r="B1073" s="1" t="s">
        <v>22</v>
      </c>
      <c r="C1073" s="1">
        <v>6</v>
      </c>
      <c r="D1073" s="1">
        <v>47</v>
      </c>
      <c r="E1073" s="11">
        <v>282</v>
      </c>
      <c r="F1073" s="3">
        <v>45699</v>
      </c>
      <c r="G1073" s="3">
        <v>45702</v>
      </c>
      <c r="H1073" s="1" t="s">
        <v>27</v>
      </c>
      <c r="I1073" s="1" t="s">
        <v>51</v>
      </c>
      <c r="J1073" s="1">
        <v>4</v>
      </c>
      <c r="K1073" s="1" t="s">
        <v>19</v>
      </c>
      <c r="L1073" s="1" t="s">
        <v>186</v>
      </c>
      <c r="M1073" s="1">
        <f>orders[[#This Row],[Ship Date]]-orders[[#This Row],[Order Date]]</f>
        <v>3</v>
      </c>
      <c r="N1073" s="1">
        <f>WEEKNUM(orders[[#This Row],[Order Date]])</f>
        <v>7</v>
      </c>
      <c r="O1073" s="1" t="str" cm="1">
        <f t="array" ref="O1073">_xlfn.IFS(orders[[#This Row],[Customer Gender]]="M","Male", orders[[#This Row],[Customer Gender]]="F","Female", orders[[#This Row],[Customer Gender]]="O","Other", TRUE,"Unknown")</f>
        <v>Female</v>
      </c>
    </row>
    <row r="1074" spans="1:15">
      <c r="A1074" s="1" t="s">
        <v>1171</v>
      </c>
      <c r="B1074" s="1" t="s">
        <v>30</v>
      </c>
      <c r="C1074" s="1">
        <v>2</v>
      </c>
      <c r="D1074" s="1">
        <v>55.2</v>
      </c>
      <c r="E1074" s="11">
        <v>110.4</v>
      </c>
      <c r="F1074" s="3">
        <v>45699</v>
      </c>
      <c r="G1074" s="3">
        <v>45702</v>
      </c>
      <c r="H1074" s="1" t="s">
        <v>23</v>
      </c>
      <c r="I1074" s="1" t="s">
        <v>35</v>
      </c>
      <c r="J1074" s="1">
        <v>3</v>
      </c>
      <c r="K1074" s="1" t="s">
        <v>19</v>
      </c>
      <c r="L1074" s="1" t="s">
        <v>55</v>
      </c>
      <c r="M1074" s="1">
        <f>orders[[#This Row],[Ship Date]]-orders[[#This Row],[Order Date]]</f>
        <v>3</v>
      </c>
      <c r="N1074" s="1">
        <f>WEEKNUM(orders[[#This Row],[Order Date]])</f>
        <v>7</v>
      </c>
      <c r="O1074" s="1" t="str" cm="1">
        <f t="array" ref="O1074">_xlfn.IFS(orders[[#This Row],[Customer Gender]]="M","Male", orders[[#This Row],[Customer Gender]]="F","Female", orders[[#This Row],[Customer Gender]]="O","Other", TRUE,"Unknown")</f>
        <v>Male</v>
      </c>
    </row>
    <row r="1075" spans="1:15">
      <c r="A1075" s="1" t="s">
        <v>1172</v>
      </c>
      <c r="B1075" s="1" t="s">
        <v>44</v>
      </c>
      <c r="C1075" s="1">
        <v>42</v>
      </c>
      <c r="D1075" s="1">
        <v>33.299999999999997</v>
      </c>
      <c r="E1075" s="11">
        <v>1398.6</v>
      </c>
      <c r="F1075" s="3">
        <v>45699</v>
      </c>
      <c r="G1075" s="3">
        <v>45713</v>
      </c>
      <c r="H1075" s="1" t="s">
        <v>23</v>
      </c>
      <c r="I1075" s="1" t="s">
        <v>35</v>
      </c>
      <c r="J1075" s="1">
        <v>5</v>
      </c>
      <c r="K1075" s="1" t="s">
        <v>19</v>
      </c>
      <c r="L1075" s="1" t="s">
        <v>55</v>
      </c>
      <c r="M1075" s="1">
        <f>orders[[#This Row],[Ship Date]]-orders[[#This Row],[Order Date]]</f>
        <v>14</v>
      </c>
      <c r="N1075" s="1">
        <f>WEEKNUM(orders[[#This Row],[Order Date]])</f>
        <v>7</v>
      </c>
      <c r="O1075" s="1" t="str" cm="1">
        <f t="array" ref="O1075">_xlfn.IFS(orders[[#This Row],[Customer Gender]]="M","Male", orders[[#This Row],[Customer Gender]]="F","Female", orders[[#This Row],[Customer Gender]]="O","Other", TRUE,"Unknown")</f>
        <v>Male</v>
      </c>
    </row>
    <row r="1076" spans="1:15">
      <c r="A1076" s="1" t="s">
        <v>1173</v>
      </c>
      <c r="B1076" s="1" t="s">
        <v>26</v>
      </c>
      <c r="C1076" s="1">
        <v>4</v>
      </c>
      <c r="D1076" s="1">
        <v>110.9</v>
      </c>
      <c r="E1076" s="11">
        <v>443.6</v>
      </c>
      <c r="F1076" s="3">
        <v>45700</v>
      </c>
      <c r="G1076" s="3">
        <v>45700</v>
      </c>
      <c r="H1076" s="1" t="s">
        <v>23</v>
      </c>
      <c r="I1076" s="1" t="s">
        <v>40</v>
      </c>
      <c r="J1076" s="1">
        <v>2</v>
      </c>
      <c r="K1076" s="1" t="s">
        <v>19</v>
      </c>
      <c r="L1076" s="1" t="s">
        <v>55</v>
      </c>
      <c r="M1076" s="1">
        <f>orders[[#This Row],[Ship Date]]-orders[[#This Row],[Order Date]]</f>
        <v>0</v>
      </c>
      <c r="N1076" s="1">
        <f>WEEKNUM(orders[[#This Row],[Order Date]])</f>
        <v>7</v>
      </c>
      <c r="O1076" s="1" t="str" cm="1">
        <f t="array" ref="O1076">_xlfn.IFS(orders[[#This Row],[Customer Gender]]="M","Male", orders[[#This Row],[Customer Gender]]="F","Female", orders[[#This Row],[Customer Gender]]="O","Other", TRUE,"Unknown")</f>
        <v>Male</v>
      </c>
    </row>
    <row r="1077" spans="1:15">
      <c r="A1077" s="1" t="s">
        <v>1174</v>
      </c>
      <c r="B1077" s="1" t="s">
        <v>26</v>
      </c>
      <c r="C1077" s="1">
        <v>6</v>
      </c>
      <c r="D1077" s="1">
        <v>67.3</v>
      </c>
      <c r="E1077" s="11">
        <v>403.79999999999995</v>
      </c>
      <c r="F1077" s="3">
        <v>45700</v>
      </c>
      <c r="G1077" s="3">
        <v>45701</v>
      </c>
      <c r="H1077" s="1" t="s">
        <v>23</v>
      </c>
      <c r="I1077" s="1" t="s">
        <v>18</v>
      </c>
      <c r="J1077" s="1">
        <v>4</v>
      </c>
      <c r="K1077" s="1" t="s">
        <v>19</v>
      </c>
      <c r="L1077" s="1" t="s">
        <v>62</v>
      </c>
      <c r="M1077" s="1">
        <f>orders[[#This Row],[Ship Date]]-orders[[#This Row],[Order Date]]</f>
        <v>1</v>
      </c>
      <c r="N1077" s="1">
        <f>WEEKNUM(orders[[#This Row],[Order Date]])</f>
        <v>7</v>
      </c>
      <c r="O1077" s="1" t="str" cm="1">
        <f t="array" ref="O1077">_xlfn.IFS(orders[[#This Row],[Customer Gender]]="M","Male", orders[[#This Row],[Customer Gender]]="F","Female", orders[[#This Row],[Customer Gender]]="O","Other", TRUE,"Unknown")</f>
        <v>Male</v>
      </c>
    </row>
    <row r="1078" spans="1:15">
      <c r="A1078" s="1" t="s">
        <v>1175</v>
      </c>
      <c r="B1078" s="1" t="s">
        <v>39</v>
      </c>
      <c r="C1078" s="1">
        <v>3</v>
      </c>
      <c r="D1078" s="1">
        <v>69.7</v>
      </c>
      <c r="E1078" s="11">
        <v>209.10000000000002</v>
      </c>
      <c r="F1078" s="3">
        <v>45700</v>
      </c>
      <c r="G1078" s="3">
        <v>45701</v>
      </c>
      <c r="H1078" s="1" t="s">
        <v>23</v>
      </c>
      <c r="I1078" s="1" t="s">
        <v>40</v>
      </c>
      <c r="J1078" s="1">
        <v>3</v>
      </c>
      <c r="K1078" s="1" t="s">
        <v>19</v>
      </c>
      <c r="L1078" s="1" t="s">
        <v>62</v>
      </c>
      <c r="M1078" s="1">
        <f>orders[[#This Row],[Ship Date]]-orders[[#This Row],[Order Date]]</f>
        <v>1</v>
      </c>
      <c r="N1078" s="1">
        <f>WEEKNUM(orders[[#This Row],[Order Date]])</f>
        <v>7</v>
      </c>
      <c r="O1078" s="1" t="str" cm="1">
        <f t="array" ref="O1078">_xlfn.IFS(orders[[#This Row],[Customer Gender]]="M","Male", orders[[#This Row],[Customer Gender]]="F","Female", orders[[#This Row],[Customer Gender]]="O","Other", TRUE,"Unknown")</f>
        <v>Male</v>
      </c>
    </row>
    <row r="1079" spans="1:15">
      <c r="A1079" s="1" t="s">
        <v>1176</v>
      </c>
      <c r="B1079" s="1" t="s">
        <v>37</v>
      </c>
      <c r="C1079" s="1">
        <v>1</v>
      </c>
      <c r="D1079" s="1">
        <v>39.1</v>
      </c>
      <c r="E1079" s="11">
        <v>39.1</v>
      </c>
      <c r="F1079" s="3">
        <v>45700</v>
      </c>
      <c r="G1079" s="3">
        <v>45705</v>
      </c>
      <c r="H1079" s="1" t="s">
        <v>23</v>
      </c>
      <c r="I1079" s="1" t="s">
        <v>18</v>
      </c>
      <c r="J1079" s="1">
        <v>3</v>
      </c>
      <c r="K1079" s="1" t="s">
        <v>19</v>
      </c>
      <c r="L1079" s="1" t="s">
        <v>103</v>
      </c>
      <c r="M1079" s="1">
        <f>orders[[#This Row],[Ship Date]]-orders[[#This Row],[Order Date]]</f>
        <v>5</v>
      </c>
      <c r="N1079" s="1">
        <f>WEEKNUM(orders[[#This Row],[Order Date]])</f>
        <v>7</v>
      </c>
      <c r="O1079" s="1" t="str" cm="1">
        <f t="array" ref="O1079">_xlfn.IFS(orders[[#This Row],[Customer Gender]]="M","Male", orders[[#This Row],[Customer Gender]]="F","Female", orders[[#This Row],[Customer Gender]]="O","Other", TRUE,"Unknown")</f>
        <v>Male</v>
      </c>
    </row>
    <row r="1080" spans="1:15">
      <c r="A1080" s="1" t="s">
        <v>1177</v>
      </c>
      <c r="B1080" s="1" t="s">
        <v>26</v>
      </c>
      <c r="C1080" s="1">
        <v>3</v>
      </c>
      <c r="D1080" s="1">
        <v>208.6</v>
      </c>
      <c r="E1080" s="11">
        <v>625.79999999999995</v>
      </c>
      <c r="F1080" s="3">
        <v>45700</v>
      </c>
      <c r="G1080" s="3">
        <v>45700</v>
      </c>
      <c r="H1080" s="1" t="s">
        <v>23</v>
      </c>
      <c r="I1080" s="1" t="s">
        <v>70</v>
      </c>
      <c r="J1080" s="1">
        <v>5</v>
      </c>
      <c r="K1080" s="1" t="s">
        <v>19</v>
      </c>
      <c r="L1080" s="1" t="s">
        <v>103</v>
      </c>
      <c r="M1080" s="1">
        <f>orders[[#This Row],[Ship Date]]-orders[[#This Row],[Order Date]]</f>
        <v>0</v>
      </c>
      <c r="N1080" s="1">
        <f>WEEKNUM(orders[[#This Row],[Order Date]])</f>
        <v>7</v>
      </c>
      <c r="O1080" s="1" t="str" cm="1">
        <f t="array" ref="O1080">_xlfn.IFS(orders[[#This Row],[Customer Gender]]="M","Male", orders[[#This Row],[Customer Gender]]="F","Female", orders[[#This Row],[Customer Gender]]="O","Other", TRUE,"Unknown")</f>
        <v>Male</v>
      </c>
    </row>
    <row r="1081" spans="1:15">
      <c r="A1081" s="1" t="s">
        <v>1178</v>
      </c>
      <c r="B1081" s="1" t="s">
        <v>123</v>
      </c>
      <c r="C1081" s="1">
        <v>3</v>
      </c>
      <c r="D1081" s="1">
        <v>27.8</v>
      </c>
      <c r="E1081" s="11">
        <v>83.4</v>
      </c>
      <c r="F1081" s="3">
        <v>45700</v>
      </c>
      <c r="G1081" s="3">
        <v>45701</v>
      </c>
      <c r="H1081" s="1" t="s">
        <v>23</v>
      </c>
      <c r="I1081" s="1" t="s">
        <v>51</v>
      </c>
      <c r="J1081" s="1">
        <v>3</v>
      </c>
      <c r="K1081" s="1" t="s">
        <v>19</v>
      </c>
      <c r="L1081" s="1" t="s">
        <v>77</v>
      </c>
      <c r="M1081" s="1">
        <f>orders[[#This Row],[Ship Date]]-orders[[#This Row],[Order Date]]</f>
        <v>1</v>
      </c>
      <c r="N1081" s="1">
        <f>WEEKNUM(orders[[#This Row],[Order Date]])</f>
        <v>7</v>
      </c>
      <c r="O1081" s="1" t="str" cm="1">
        <f t="array" ref="O1081">_xlfn.IFS(orders[[#This Row],[Customer Gender]]="M","Male", orders[[#This Row],[Customer Gender]]="F","Female", orders[[#This Row],[Customer Gender]]="O","Other", TRUE,"Unknown")</f>
        <v>Male</v>
      </c>
    </row>
    <row r="1082" spans="1:15">
      <c r="A1082" s="1" t="s">
        <v>1179</v>
      </c>
      <c r="B1082" s="1" t="s">
        <v>54</v>
      </c>
      <c r="C1082" s="1">
        <v>5</v>
      </c>
      <c r="D1082" s="1">
        <v>29.4</v>
      </c>
      <c r="E1082" s="11">
        <v>147</v>
      </c>
      <c r="F1082" s="3">
        <v>45700</v>
      </c>
      <c r="G1082" s="3">
        <v>45702</v>
      </c>
      <c r="H1082" s="1" t="s">
        <v>27</v>
      </c>
      <c r="I1082" s="1" t="s">
        <v>18</v>
      </c>
      <c r="J1082" s="1">
        <v>4</v>
      </c>
      <c r="K1082" s="1" t="s">
        <v>19</v>
      </c>
      <c r="L1082" s="1" t="s">
        <v>77</v>
      </c>
      <c r="M1082" s="1">
        <f>orders[[#This Row],[Ship Date]]-orders[[#This Row],[Order Date]]</f>
        <v>2</v>
      </c>
      <c r="N1082" s="1">
        <f>WEEKNUM(orders[[#This Row],[Order Date]])</f>
        <v>7</v>
      </c>
      <c r="O1082" s="1" t="str" cm="1">
        <f t="array" ref="O1082">_xlfn.IFS(orders[[#This Row],[Customer Gender]]="M","Male", orders[[#This Row],[Customer Gender]]="F","Female", orders[[#This Row],[Customer Gender]]="O","Other", TRUE,"Unknown")</f>
        <v>Female</v>
      </c>
    </row>
    <row r="1083" spans="1:15">
      <c r="A1083" s="1" t="s">
        <v>1180</v>
      </c>
      <c r="B1083" s="1" t="s">
        <v>46</v>
      </c>
      <c r="C1083" s="1">
        <v>2</v>
      </c>
      <c r="D1083" s="1">
        <v>29.2</v>
      </c>
      <c r="E1083" s="11">
        <v>58.4</v>
      </c>
      <c r="F1083" s="3">
        <v>45700</v>
      </c>
      <c r="G1083" s="3">
        <v>45702</v>
      </c>
      <c r="H1083" s="1" t="s">
        <v>27</v>
      </c>
      <c r="I1083" s="1" t="s">
        <v>35</v>
      </c>
      <c r="J1083" s="1">
        <v>5</v>
      </c>
      <c r="K1083" s="1" t="s">
        <v>19</v>
      </c>
      <c r="L1083" s="1" t="s">
        <v>113</v>
      </c>
      <c r="M1083" s="1">
        <f>orders[[#This Row],[Ship Date]]-orders[[#This Row],[Order Date]]</f>
        <v>2</v>
      </c>
      <c r="N1083" s="1">
        <f>WEEKNUM(orders[[#This Row],[Order Date]])</f>
        <v>7</v>
      </c>
      <c r="O1083" s="1" t="str" cm="1">
        <f t="array" ref="O1083">_xlfn.IFS(orders[[#This Row],[Customer Gender]]="M","Male", orders[[#This Row],[Customer Gender]]="F","Female", orders[[#This Row],[Customer Gender]]="O","Other", TRUE,"Unknown")</f>
        <v>Female</v>
      </c>
    </row>
    <row r="1084" spans="1:15">
      <c r="A1084" s="1" t="s">
        <v>1181</v>
      </c>
      <c r="B1084" s="1" t="s">
        <v>54</v>
      </c>
      <c r="C1084" s="1">
        <v>5</v>
      </c>
      <c r="D1084" s="1">
        <v>26.5</v>
      </c>
      <c r="E1084" s="11">
        <v>132.5</v>
      </c>
      <c r="F1084" s="3">
        <v>45700</v>
      </c>
      <c r="G1084" s="3">
        <v>45702</v>
      </c>
      <c r="H1084" s="1" t="s">
        <v>27</v>
      </c>
      <c r="I1084" s="1" t="s">
        <v>18</v>
      </c>
      <c r="J1084" s="1">
        <v>4</v>
      </c>
      <c r="K1084" s="1" t="s">
        <v>19</v>
      </c>
      <c r="L1084" s="1" t="s">
        <v>997</v>
      </c>
      <c r="M1084" s="1">
        <f>orders[[#This Row],[Ship Date]]-orders[[#This Row],[Order Date]]</f>
        <v>2</v>
      </c>
      <c r="N1084" s="1">
        <f>WEEKNUM(orders[[#This Row],[Order Date]])</f>
        <v>7</v>
      </c>
      <c r="O1084" s="1" t="str" cm="1">
        <f t="array" ref="O1084">_xlfn.IFS(orders[[#This Row],[Customer Gender]]="M","Male", orders[[#This Row],[Customer Gender]]="F","Female", orders[[#This Row],[Customer Gender]]="O","Other", TRUE,"Unknown")</f>
        <v>Female</v>
      </c>
    </row>
    <row r="1085" spans="1:15">
      <c r="A1085" s="1" t="s">
        <v>1182</v>
      </c>
      <c r="B1085" s="1" t="s">
        <v>37</v>
      </c>
      <c r="C1085" s="1">
        <v>1</v>
      </c>
      <c r="D1085" s="1">
        <v>30.3</v>
      </c>
      <c r="E1085" s="11">
        <v>30.3</v>
      </c>
      <c r="F1085" s="3">
        <v>45700</v>
      </c>
      <c r="G1085" s="3">
        <v>45701</v>
      </c>
      <c r="H1085" s="1" t="s">
        <v>27</v>
      </c>
      <c r="I1085" s="1" t="s">
        <v>70</v>
      </c>
      <c r="J1085" s="1">
        <v>3</v>
      </c>
      <c r="K1085" s="1" t="s">
        <v>19</v>
      </c>
      <c r="L1085" s="1" t="s">
        <v>82</v>
      </c>
      <c r="M1085" s="1">
        <f>orders[[#This Row],[Ship Date]]-orders[[#This Row],[Order Date]]</f>
        <v>1</v>
      </c>
      <c r="N1085" s="1">
        <f>WEEKNUM(orders[[#This Row],[Order Date]])</f>
        <v>7</v>
      </c>
      <c r="O1085" s="1" t="str" cm="1">
        <f t="array" ref="O1085">_xlfn.IFS(orders[[#This Row],[Customer Gender]]="M","Male", orders[[#This Row],[Customer Gender]]="F","Female", orders[[#This Row],[Customer Gender]]="O","Other", TRUE,"Unknown")</f>
        <v>Female</v>
      </c>
    </row>
    <row r="1086" spans="1:15">
      <c r="A1086" s="1" t="s">
        <v>1183</v>
      </c>
      <c r="B1086" s="1" t="s">
        <v>128</v>
      </c>
      <c r="C1086" s="1">
        <v>12</v>
      </c>
      <c r="D1086" s="1">
        <v>39.700000000000003</v>
      </c>
      <c r="E1086" s="11">
        <v>476.40000000000003</v>
      </c>
      <c r="F1086" s="3">
        <v>45700</v>
      </c>
      <c r="G1086" s="3">
        <v>45701</v>
      </c>
      <c r="H1086" s="1" t="s">
        <v>27</v>
      </c>
      <c r="I1086" s="1" t="s">
        <v>18</v>
      </c>
      <c r="J1086" s="1">
        <v>4</v>
      </c>
      <c r="K1086" s="1" t="s">
        <v>19</v>
      </c>
      <c r="L1086" s="1" t="s">
        <v>115</v>
      </c>
      <c r="M1086" s="1">
        <f>orders[[#This Row],[Ship Date]]-orders[[#This Row],[Order Date]]</f>
        <v>1</v>
      </c>
      <c r="N1086" s="1">
        <f>WEEKNUM(orders[[#This Row],[Order Date]])</f>
        <v>7</v>
      </c>
      <c r="O1086" s="1" t="str" cm="1">
        <f t="array" ref="O1086">_xlfn.IFS(orders[[#This Row],[Customer Gender]]="M","Male", orders[[#This Row],[Customer Gender]]="F","Female", orders[[#This Row],[Customer Gender]]="O","Other", TRUE,"Unknown")</f>
        <v>Female</v>
      </c>
    </row>
    <row r="1087" spans="1:15">
      <c r="A1087" s="1" t="s">
        <v>1184</v>
      </c>
      <c r="B1087" s="1" t="s">
        <v>42</v>
      </c>
      <c r="C1087" s="1">
        <v>10</v>
      </c>
      <c r="D1087" s="1">
        <v>58.9</v>
      </c>
      <c r="E1087" s="11">
        <v>589</v>
      </c>
      <c r="F1087" s="3">
        <v>45700</v>
      </c>
      <c r="G1087" s="3">
        <v>45702</v>
      </c>
      <c r="H1087" s="1" t="s">
        <v>27</v>
      </c>
      <c r="I1087" s="1" t="s">
        <v>35</v>
      </c>
      <c r="J1087" s="1">
        <v>2</v>
      </c>
      <c r="K1087" s="1" t="s">
        <v>19</v>
      </c>
      <c r="L1087" s="1" t="s">
        <v>115</v>
      </c>
      <c r="M1087" s="1">
        <f>orders[[#This Row],[Ship Date]]-orders[[#This Row],[Order Date]]</f>
        <v>2</v>
      </c>
      <c r="N1087" s="1">
        <f>WEEKNUM(orders[[#This Row],[Order Date]])</f>
        <v>7</v>
      </c>
      <c r="O1087" s="1" t="str" cm="1">
        <f t="array" ref="O1087">_xlfn.IFS(orders[[#This Row],[Customer Gender]]="M","Male", orders[[#This Row],[Customer Gender]]="F","Female", orders[[#This Row],[Customer Gender]]="O","Other", TRUE,"Unknown")</f>
        <v>Female</v>
      </c>
    </row>
    <row r="1088" spans="1:15">
      <c r="A1088" s="1" t="s">
        <v>1185</v>
      </c>
      <c r="B1088" s="1" t="s">
        <v>26</v>
      </c>
      <c r="C1088" s="1">
        <v>2</v>
      </c>
      <c r="D1088" s="1">
        <v>174.1</v>
      </c>
      <c r="E1088" s="11">
        <v>348.2</v>
      </c>
      <c r="F1088" s="3">
        <v>45700</v>
      </c>
      <c r="G1088" s="3">
        <v>45702</v>
      </c>
      <c r="H1088" s="1" t="s">
        <v>27</v>
      </c>
      <c r="I1088" s="1" t="s">
        <v>18</v>
      </c>
      <c r="J1088" s="1">
        <v>3</v>
      </c>
      <c r="K1088" s="1" t="s">
        <v>19</v>
      </c>
      <c r="L1088" s="1" t="s">
        <v>641</v>
      </c>
      <c r="M1088" s="1">
        <f>orders[[#This Row],[Ship Date]]-orders[[#This Row],[Order Date]]</f>
        <v>2</v>
      </c>
      <c r="N1088" s="1">
        <f>WEEKNUM(orders[[#This Row],[Order Date]])</f>
        <v>7</v>
      </c>
      <c r="O1088" s="1" t="str" cm="1">
        <f t="array" ref="O1088">_xlfn.IFS(orders[[#This Row],[Customer Gender]]="M","Male", orders[[#This Row],[Customer Gender]]="F","Female", orders[[#This Row],[Customer Gender]]="O","Other", TRUE,"Unknown")</f>
        <v>Female</v>
      </c>
    </row>
    <row r="1089" spans="1:15">
      <c r="A1089" s="1" t="s">
        <v>1186</v>
      </c>
      <c r="B1089" s="1" t="s">
        <v>39</v>
      </c>
      <c r="C1089" s="1">
        <v>2</v>
      </c>
      <c r="D1089" s="1">
        <v>70.8</v>
      </c>
      <c r="E1089" s="11">
        <v>141.6</v>
      </c>
      <c r="F1089" s="3">
        <v>45700</v>
      </c>
      <c r="G1089" s="3">
        <v>45703</v>
      </c>
      <c r="H1089" s="1" t="s">
        <v>23</v>
      </c>
      <c r="I1089" s="1" t="s">
        <v>40</v>
      </c>
      <c r="J1089" s="1">
        <v>4</v>
      </c>
      <c r="K1089" s="1" t="s">
        <v>19</v>
      </c>
      <c r="L1089" s="1" t="s">
        <v>147</v>
      </c>
      <c r="M1089" s="1">
        <f>orders[[#This Row],[Ship Date]]-orders[[#This Row],[Order Date]]</f>
        <v>3</v>
      </c>
      <c r="N1089" s="1">
        <f>WEEKNUM(orders[[#This Row],[Order Date]])</f>
        <v>7</v>
      </c>
      <c r="O1089" s="1" t="str" cm="1">
        <f t="array" ref="O1089">_xlfn.IFS(orders[[#This Row],[Customer Gender]]="M","Male", orders[[#This Row],[Customer Gender]]="F","Female", orders[[#This Row],[Customer Gender]]="O","Other", TRUE,"Unknown")</f>
        <v>Male</v>
      </c>
    </row>
    <row r="1090" spans="1:15">
      <c r="A1090" s="1" t="s">
        <v>1187</v>
      </c>
      <c r="B1090" s="1" t="s">
        <v>42</v>
      </c>
      <c r="C1090" s="1">
        <v>2</v>
      </c>
      <c r="D1090" s="1">
        <v>57.4</v>
      </c>
      <c r="E1090" s="11">
        <v>114.8</v>
      </c>
      <c r="F1090" s="3">
        <v>45700</v>
      </c>
      <c r="G1090" s="3">
        <v>45702</v>
      </c>
      <c r="H1090" s="1" t="s">
        <v>27</v>
      </c>
      <c r="I1090" s="1" t="s">
        <v>35</v>
      </c>
      <c r="J1090" s="1">
        <v>3</v>
      </c>
      <c r="K1090" s="1" t="s">
        <v>19</v>
      </c>
      <c r="L1090" s="1" t="s">
        <v>334</v>
      </c>
      <c r="M1090" s="1">
        <f>orders[[#This Row],[Ship Date]]-orders[[#This Row],[Order Date]]</f>
        <v>2</v>
      </c>
      <c r="N1090" s="1">
        <f>WEEKNUM(orders[[#This Row],[Order Date]])</f>
        <v>7</v>
      </c>
      <c r="O1090" s="1" t="str" cm="1">
        <f t="array" ref="O1090">_xlfn.IFS(orders[[#This Row],[Customer Gender]]="M","Male", orders[[#This Row],[Customer Gender]]="F","Female", orders[[#This Row],[Customer Gender]]="O","Other", TRUE,"Unknown")</f>
        <v>Female</v>
      </c>
    </row>
    <row r="1091" spans="1:15">
      <c r="A1091" s="1" t="s">
        <v>1188</v>
      </c>
      <c r="B1091" s="1" t="s">
        <v>16</v>
      </c>
      <c r="C1091" s="1">
        <v>2</v>
      </c>
      <c r="D1091" s="1">
        <v>28.5</v>
      </c>
      <c r="E1091" s="11">
        <v>57</v>
      </c>
      <c r="F1091" s="3">
        <v>45700</v>
      </c>
      <c r="G1091" s="3">
        <v>45702</v>
      </c>
      <c r="H1091" s="1" t="s">
        <v>23</v>
      </c>
      <c r="I1091" s="1" t="s">
        <v>51</v>
      </c>
      <c r="J1091" s="1">
        <v>3</v>
      </c>
      <c r="K1091" s="1" t="s">
        <v>19</v>
      </c>
      <c r="L1091" s="1" t="s">
        <v>33</v>
      </c>
      <c r="M1091" s="1">
        <f>orders[[#This Row],[Ship Date]]-orders[[#This Row],[Order Date]]</f>
        <v>2</v>
      </c>
      <c r="N1091" s="1">
        <f>WEEKNUM(orders[[#This Row],[Order Date]])</f>
        <v>7</v>
      </c>
      <c r="O1091" s="1" t="str" cm="1">
        <f t="array" ref="O1091">_xlfn.IFS(orders[[#This Row],[Customer Gender]]="M","Male", orders[[#This Row],[Customer Gender]]="F","Female", orders[[#This Row],[Customer Gender]]="O","Other", TRUE,"Unknown")</f>
        <v>Male</v>
      </c>
    </row>
    <row r="1092" spans="1:15">
      <c r="A1092" s="1" t="s">
        <v>1189</v>
      </c>
      <c r="B1092" s="1" t="s">
        <v>26</v>
      </c>
      <c r="C1092" s="1">
        <v>20</v>
      </c>
      <c r="D1092" s="1">
        <v>106.6</v>
      </c>
      <c r="E1092" s="11">
        <v>2132</v>
      </c>
      <c r="F1092" s="3">
        <v>45700</v>
      </c>
      <c r="G1092" s="3">
        <v>45701</v>
      </c>
      <c r="H1092" s="1" t="s">
        <v>17</v>
      </c>
      <c r="I1092" s="1" t="s">
        <v>35</v>
      </c>
      <c r="J1092" s="1">
        <v>2</v>
      </c>
      <c r="K1092" s="1" t="s">
        <v>19</v>
      </c>
      <c r="L1092" s="1" t="s">
        <v>33</v>
      </c>
      <c r="M1092" s="1">
        <f>orders[[#This Row],[Ship Date]]-orders[[#This Row],[Order Date]]</f>
        <v>1</v>
      </c>
      <c r="N1092" s="1">
        <f>WEEKNUM(orders[[#This Row],[Order Date]])</f>
        <v>7</v>
      </c>
      <c r="O1092" s="1" t="str" cm="1">
        <f t="array" ref="O1092">_xlfn.IFS(orders[[#This Row],[Customer Gender]]="M","Male", orders[[#This Row],[Customer Gender]]="F","Female", orders[[#This Row],[Customer Gender]]="O","Other", TRUE,"Unknown")</f>
        <v>Unknown</v>
      </c>
    </row>
    <row r="1093" spans="1:15">
      <c r="A1093" s="1" t="s">
        <v>1190</v>
      </c>
      <c r="B1093" s="1" t="s">
        <v>26</v>
      </c>
      <c r="C1093" s="1">
        <v>3</v>
      </c>
      <c r="D1093" s="1">
        <v>119.7</v>
      </c>
      <c r="E1093" s="11">
        <v>359.1</v>
      </c>
      <c r="F1093" s="3">
        <v>45700</v>
      </c>
      <c r="G1093" s="3">
        <v>45701</v>
      </c>
      <c r="H1093" s="1" t="s">
        <v>27</v>
      </c>
      <c r="I1093" s="1" t="s">
        <v>35</v>
      </c>
      <c r="J1093" s="1">
        <v>2</v>
      </c>
      <c r="K1093" s="1" t="s">
        <v>19</v>
      </c>
      <c r="L1093" s="1" t="s">
        <v>33</v>
      </c>
      <c r="M1093" s="1">
        <f>orders[[#This Row],[Ship Date]]-orders[[#This Row],[Order Date]]</f>
        <v>1</v>
      </c>
      <c r="N1093" s="1">
        <f>WEEKNUM(orders[[#This Row],[Order Date]])</f>
        <v>7</v>
      </c>
      <c r="O1093" s="1" t="str" cm="1">
        <f t="array" ref="O1093">_xlfn.IFS(orders[[#This Row],[Customer Gender]]="M","Male", orders[[#This Row],[Customer Gender]]="F","Female", orders[[#This Row],[Customer Gender]]="O","Other", TRUE,"Unknown")</f>
        <v>Female</v>
      </c>
    </row>
    <row r="1094" spans="1:15">
      <c r="A1094" s="1" t="s">
        <v>1191</v>
      </c>
      <c r="B1094" s="1" t="s">
        <v>146</v>
      </c>
      <c r="C1094" s="1">
        <v>1</v>
      </c>
      <c r="D1094" s="1">
        <v>73.3</v>
      </c>
      <c r="E1094" s="11">
        <v>73.3</v>
      </c>
      <c r="F1094" s="3">
        <v>45700</v>
      </c>
      <c r="G1094" s="3">
        <v>45705</v>
      </c>
      <c r="H1094" s="1" t="s">
        <v>27</v>
      </c>
      <c r="I1094" s="1" t="s">
        <v>18</v>
      </c>
      <c r="J1094" s="1">
        <v>5</v>
      </c>
      <c r="K1094" s="1" t="s">
        <v>19</v>
      </c>
      <c r="L1094" s="1" t="s">
        <v>33</v>
      </c>
      <c r="M1094" s="1">
        <f>orders[[#This Row],[Ship Date]]-orders[[#This Row],[Order Date]]</f>
        <v>5</v>
      </c>
      <c r="N1094" s="1">
        <f>WEEKNUM(orders[[#This Row],[Order Date]])</f>
        <v>7</v>
      </c>
      <c r="O1094" s="1" t="str" cm="1">
        <f t="array" ref="O1094">_xlfn.IFS(orders[[#This Row],[Customer Gender]]="M","Male", orders[[#This Row],[Customer Gender]]="F","Female", orders[[#This Row],[Customer Gender]]="O","Other", TRUE,"Unknown")</f>
        <v>Female</v>
      </c>
    </row>
    <row r="1095" spans="1:15">
      <c r="A1095" s="1" t="s">
        <v>1192</v>
      </c>
      <c r="B1095" s="1" t="s">
        <v>16</v>
      </c>
      <c r="C1095" s="1">
        <v>2</v>
      </c>
      <c r="D1095" s="1">
        <v>25.8</v>
      </c>
      <c r="E1095" s="11">
        <v>51.6</v>
      </c>
      <c r="F1095" s="3">
        <v>45700</v>
      </c>
      <c r="G1095" s="3">
        <v>45714</v>
      </c>
      <c r="H1095" s="1" t="s">
        <v>23</v>
      </c>
      <c r="I1095" s="1" t="s">
        <v>40</v>
      </c>
      <c r="J1095" s="1">
        <v>4</v>
      </c>
      <c r="K1095" s="1" t="s">
        <v>19</v>
      </c>
      <c r="L1095" s="1" t="s">
        <v>33</v>
      </c>
      <c r="M1095" s="1">
        <f>orders[[#This Row],[Ship Date]]-orders[[#This Row],[Order Date]]</f>
        <v>14</v>
      </c>
      <c r="N1095" s="1">
        <f>WEEKNUM(orders[[#This Row],[Order Date]])</f>
        <v>7</v>
      </c>
      <c r="O1095" s="1" t="str" cm="1">
        <f t="array" ref="O1095">_xlfn.IFS(orders[[#This Row],[Customer Gender]]="M","Male", orders[[#This Row],[Customer Gender]]="F","Female", orders[[#This Row],[Customer Gender]]="O","Other", TRUE,"Unknown")</f>
        <v>Male</v>
      </c>
    </row>
    <row r="1096" spans="1:15">
      <c r="A1096" s="1" t="s">
        <v>1193</v>
      </c>
      <c r="B1096" s="1" t="s">
        <v>135</v>
      </c>
      <c r="C1096" s="1">
        <v>3</v>
      </c>
      <c r="D1096" s="1">
        <v>49.1</v>
      </c>
      <c r="E1096" s="11">
        <v>147.30000000000001</v>
      </c>
      <c r="F1096" s="3">
        <v>45700</v>
      </c>
      <c r="G1096" s="3">
        <v>45702</v>
      </c>
      <c r="H1096" s="1" t="s">
        <v>27</v>
      </c>
      <c r="I1096" s="1" t="s">
        <v>18</v>
      </c>
      <c r="J1096" s="1">
        <v>4</v>
      </c>
      <c r="K1096" s="1" t="s">
        <v>19</v>
      </c>
      <c r="L1096" s="1" t="s">
        <v>186</v>
      </c>
      <c r="M1096" s="1">
        <f>orders[[#This Row],[Ship Date]]-orders[[#This Row],[Order Date]]</f>
        <v>2</v>
      </c>
      <c r="N1096" s="1">
        <f>WEEKNUM(orders[[#This Row],[Order Date]])</f>
        <v>7</v>
      </c>
      <c r="O1096" s="1" t="str" cm="1">
        <f t="array" ref="O1096">_xlfn.IFS(orders[[#This Row],[Customer Gender]]="M","Male", orders[[#This Row],[Customer Gender]]="F","Female", orders[[#This Row],[Customer Gender]]="O","Other", TRUE,"Unknown")</f>
        <v>Female</v>
      </c>
    </row>
    <row r="1097" spans="1:15">
      <c r="A1097" s="1" t="s">
        <v>1194</v>
      </c>
      <c r="B1097" s="1" t="s">
        <v>22</v>
      </c>
      <c r="C1097" s="1">
        <v>1</v>
      </c>
      <c r="D1097" s="1">
        <v>44.9</v>
      </c>
      <c r="E1097" s="11">
        <v>44.9</v>
      </c>
      <c r="F1097" s="3">
        <v>45700</v>
      </c>
      <c r="G1097" s="3">
        <v>45703</v>
      </c>
      <c r="H1097" s="1" t="s">
        <v>27</v>
      </c>
      <c r="I1097" s="1" t="s">
        <v>51</v>
      </c>
      <c r="J1097" s="1">
        <v>5</v>
      </c>
      <c r="K1097" s="1" t="s">
        <v>19</v>
      </c>
      <c r="L1097" s="1" t="s">
        <v>55</v>
      </c>
      <c r="M1097" s="1">
        <f>orders[[#This Row],[Ship Date]]-orders[[#This Row],[Order Date]]</f>
        <v>3</v>
      </c>
      <c r="N1097" s="1">
        <f>WEEKNUM(orders[[#This Row],[Order Date]])</f>
        <v>7</v>
      </c>
      <c r="O1097" s="1" t="str" cm="1">
        <f t="array" ref="O1097">_xlfn.IFS(orders[[#This Row],[Customer Gender]]="M","Male", orders[[#This Row],[Customer Gender]]="F","Female", orders[[#This Row],[Customer Gender]]="O","Other", TRUE,"Unknown")</f>
        <v>Female</v>
      </c>
    </row>
    <row r="1098" spans="1:15">
      <c r="A1098" s="1" t="s">
        <v>1195</v>
      </c>
      <c r="B1098" s="1" t="s">
        <v>123</v>
      </c>
      <c r="C1098" s="1">
        <v>7</v>
      </c>
      <c r="D1098" s="1">
        <v>29.9</v>
      </c>
      <c r="E1098" s="11">
        <v>209.29999999999998</v>
      </c>
      <c r="F1098" s="3">
        <v>45700</v>
      </c>
      <c r="G1098" s="3">
        <v>45701</v>
      </c>
      <c r="H1098" s="1" t="s">
        <v>27</v>
      </c>
      <c r="I1098" s="1" t="s">
        <v>18</v>
      </c>
      <c r="J1098" s="1">
        <v>4</v>
      </c>
      <c r="K1098" s="1" t="s">
        <v>19</v>
      </c>
      <c r="L1098" s="1" t="s">
        <v>55</v>
      </c>
      <c r="M1098" s="1">
        <f>orders[[#This Row],[Ship Date]]-orders[[#This Row],[Order Date]]</f>
        <v>1</v>
      </c>
      <c r="N1098" s="1">
        <f>WEEKNUM(orders[[#This Row],[Order Date]])</f>
        <v>7</v>
      </c>
      <c r="O1098" s="1" t="str" cm="1">
        <f t="array" ref="O1098">_xlfn.IFS(orders[[#This Row],[Customer Gender]]="M","Male", orders[[#This Row],[Customer Gender]]="F","Female", orders[[#This Row],[Customer Gender]]="O","Other", TRUE,"Unknown")</f>
        <v>Female</v>
      </c>
    </row>
    <row r="1099" spans="1:15">
      <c r="A1099" s="1" t="s">
        <v>1196</v>
      </c>
      <c r="B1099" s="1" t="s">
        <v>42</v>
      </c>
      <c r="C1099" s="1">
        <v>2</v>
      </c>
      <c r="D1099" s="1">
        <v>54.3</v>
      </c>
      <c r="E1099" s="11">
        <v>108.6</v>
      </c>
      <c r="F1099" s="3">
        <v>45701</v>
      </c>
      <c r="G1099" s="3">
        <v>45702</v>
      </c>
      <c r="H1099" s="1" t="s">
        <v>23</v>
      </c>
      <c r="I1099" s="1" t="s">
        <v>51</v>
      </c>
      <c r="J1099" s="1">
        <v>4</v>
      </c>
      <c r="K1099" s="1" t="s">
        <v>19</v>
      </c>
      <c r="L1099" s="1" t="s">
        <v>342</v>
      </c>
      <c r="M1099" s="1">
        <f>orders[[#This Row],[Ship Date]]-orders[[#This Row],[Order Date]]</f>
        <v>1</v>
      </c>
      <c r="N1099" s="1">
        <f>WEEKNUM(orders[[#This Row],[Order Date]])</f>
        <v>7</v>
      </c>
      <c r="O1099" s="1" t="str" cm="1">
        <f t="array" ref="O1099">_xlfn.IFS(orders[[#This Row],[Customer Gender]]="M","Male", orders[[#This Row],[Customer Gender]]="F","Female", orders[[#This Row],[Customer Gender]]="O","Other", TRUE,"Unknown")</f>
        <v>Male</v>
      </c>
    </row>
    <row r="1100" spans="1:15">
      <c r="A1100" s="1" t="s">
        <v>1197</v>
      </c>
      <c r="B1100" s="1" t="s">
        <v>46</v>
      </c>
      <c r="C1100" s="1">
        <v>4</v>
      </c>
      <c r="D1100" s="1">
        <v>57</v>
      </c>
      <c r="E1100" s="11">
        <v>228</v>
      </c>
      <c r="F1100" s="3">
        <v>45701</v>
      </c>
      <c r="G1100" s="3">
        <v>45703</v>
      </c>
      <c r="H1100" s="1" t="s">
        <v>27</v>
      </c>
      <c r="I1100" s="1" t="s">
        <v>18</v>
      </c>
      <c r="J1100" s="1">
        <v>4</v>
      </c>
      <c r="K1100" s="1" t="s">
        <v>19</v>
      </c>
      <c r="L1100" s="1" t="s">
        <v>62</v>
      </c>
      <c r="M1100" s="1">
        <f>orders[[#This Row],[Ship Date]]-orders[[#This Row],[Order Date]]</f>
        <v>2</v>
      </c>
      <c r="N1100" s="1">
        <f>WEEKNUM(orders[[#This Row],[Order Date]])</f>
        <v>7</v>
      </c>
      <c r="O1100" s="1" t="str" cm="1">
        <f t="array" ref="O1100">_xlfn.IFS(orders[[#This Row],[Customer Gender]]="M","Male", orders[[#This Row],[Customer Gender]]="F","Female", orders[[#This Row],[Customer Gender]]="O","Other", TRUE,"Unknown")</f>
        <v>Female</v>
      </c>
    </row>
    <row r="1101" spans="1:15">
      <c r="A1101" s="1" t="s">
        <v>1198</v>
      </c>
      <c r="B1101" s="1" t="s">
        <v>26</v>
      </c>
      <c r="C1101" s="1">
        <v>1</v>
      </c>
      <c r="D1101" s="1">
        <v>139.19999999999999</v>
      </c>
      <c r="E1101" s="11">
        <v>139.19999999999999</v>
      </c>
      <c r="F1101" s="3">
        <v>45701</v>
      </c>
      <c r="G1101" s="3">
        <v>45702</v>
      </c>
      <c r="H1101" s="1" t="s">
        <v>27</v>
      </c>
      <c r="I1101" s="1" t="s">
        <v>51</v>
      </c>
      <c r="J1101" s="1">
        <v>5</v>
      </c>
      <c r="K1101" s="1" t="s">
        <v>19</v>
      </c>
      <c r="L1101" s="1" t="s">
        <v>62</v>
      </c>
      <c r="M1101" s="1">
        <f>orders[[#This Row],[Ship Date]]-orders[[#This Row],[Order Date]]</f>
        <v>1</v>
      </c>
      <c r="N1101" s="1">
        <f>WEEKNUM(orders[[#This Row],[Order Date]])</f>
        <v>7</v>
      </c>
      <c r="O1101" s="1" t="str" cm="1">
        <f t="array" ref="O1101">_xlfn.IFS(orders[[#This Row],[Customer Gender]]="M","Male", orders[[#This Row],[Customer Gender]]="F","Female", orders[[#This Row],[Customer Gender]]="O","Other", TRUE,"Unknown")</f>
        <v>Female</v>
      </c>
    </row>
    <row r="1102" spans="1:15">
      <c r="A1102" s="1" t="s">
        <v>1199</v>
      </c>
      <c r="B1102" s="1" t="s">
        <v>54</v>
      </c>
      <c r="C1102" s="1">
        <v>1</v>
      </c>
      <c r="D1102" s="1">
        <v>33</v>
      </c>
      <c r="E1102" s="11">
        <v>33</v>
      </c>
      <c r="F1102" s="3">
        <v>45701</v>
      </c>
      <c r="G1102" s="3">
        <v>45704</v>
      </c>
      <c r="H1102" s="1" t="s">
        <v>27</v>
      </c>
      <c r="I1102" s="1" t="s">
        <v>18</v>
      </c>
      <c r="J1102" s="1">
        <v>5</v>
      </c>
      <c r="K1102" s="1" t="s">
        <v>19</v>
      </c>
      <c r="L1102" s="1" t="s">
        <v>62</v>
      </c>
      <c r="M1102" s="1">
        <f>orders[[#This Row],[Ship Date]]-orders[[#This Row],[Order Date]]</f>
        <v>3</v>
      </c>
      <c r="N1102" s="1">
        <f>WEEKNUM(orders[[#This Row],[Order Date]])</f>
        <v>7</v>
      </c>
      <c r="O1102" s="1" t="str" cm="1">
        <f t="array" ref="O1102">_xlfn.IFS(orders[[#This Row],[Customer Gender]]="M","Male", orders[[#This Row],[Customer Gender]]="F","Female", orders[[#This Row],[Customer Gender]]="O","Other", TRUE,"Unknown")</f>
        <v>Female</v>
      </c>
    </row>
    <row r="1103" spans="1:15">
      <c r="A1103" s="1" t="s">
        <v>1200</v>
      </c>
      <c r="B1103" s="1" t="s">
        <v>67</v>
      </c>
      <c r="C1103" s="1">
        <v>6</v>
      </c>
      <c r="D1103" s="1">
        <v>80.2</v>
      </c>
      <c r="E1103" s="11">
        <v>481.20000000000005</v>
      </c>
      <c r="F1103" s="3">
        <v>45701</v>
      </c>
      <c r="G1103" s="3">
        <v>45703</v>
      </c>
      <c r="H1103" s="1" t="s">
        <v>23</v>
      </c>
      <c r="I1103" s="1" t="s">
        <v>35</v>
      </c>
      <c r="J1103" s="1">
        <v>2</v>
      </c>
      <c r="K1103" s="1" t="s">
        <v>19</v>
      </c>
      <c r="L1103" s="1" t="s">
        <v>62</v>
      </c>
      <c r="M1103" s="1">
        <f>orders[[#This Row],[Ship Date]]-orders[[#This Row],[Order Date]]</f>
        <v>2</v>
      </c>
      <c r="N1103" s="1">
        <f>WEEKNUM(orders[[#This Row],[Order Date]])</f>
        <v>7</v>
      </c>
      <c r="O1103" s="1" t="str" cm="1">
        <f t="array" ref="O1103">_xlfn.IFS(orders[[#This Row],[Customer Gender]]="M","Male", orders[[#This Row],[Customer Gender]]="F","Female", orders[[#This Row],[Customer Gender]]="O","Other", TRUE,"Unknown")</f>
        <v>Male</v>
      </c>
    </row>
    <row r="1104" spans="1:15">
      <c r="A1104" s="1" t="s">
        <v>1201</v>
      </c>
      <c r="B1104" s="1" t="s">
        <v>146</v>
      </c>
      <c r="C1104" s="1">
        <v>8</v>
      </c>
      <c r="D1104" s="1">
        <v>49</v>
      </c>
      <c r="E1104" s="11">
        <v>392</v>
      </c>
      <c r="F1104" s="3">
        <v>45701</v>
      </c>
      <c r="G1104" s="3">
        <v>45702</v>
      </c>
      <c r="H1104" s="1" t="s">
        <v>17</v>
      </c>
      <c r="I1104" s="1" t="s">
        <v>40</v>
      </c>
      <c r="J1104" s="1">
        <v>3</v>
      </c>
      <c r="K1104" s="1" t="s">
        <v>19</v>
      </c>
      <c r="L1104" s="1" t="s">
        <v>72</v>
      </c>
      <c r="M1104" s="1">
        <f>orders[[#This Row],[Ship Date]]-orders[[#This Row],[Order Date]]</f>
        <v>1</v>
      </c>
      <c r="N1104" s="1">
        <f>WEEKNUM(orders[[#This Row],[Order Date]])</f>
        <v>7</v>
      </c>
      <c r="O1104" s="1" t="str" cm="1">
        <f t="array" ref="O1104">_xlfn.IFS(orders[[#This Row],[Customer Gender]]="M","Male", orders[[#This Row],[Customer Gender]]="F","Female", orders[[#This Row],[Customer Gender]]="O","Other", TRUE,"Unknown")</f>
        <v>Unknown</v>
      </c>
    </row>
    <row r="1105" spans="1:15">
      <c r="A1105" s="1" t="s">
        <v>1202</v>
      </c>
      <c r="B1105" s="1" t="s">
        <v>22</v>
      </c>
      <c r="C1105" s="1">
        <v>4</v>
      </c>
      <c r="D1105" s="1">
        <v>104.4</v>
      </c>
      <c r="E1105" s="11">
        <v>417.6</v>
      </c>
      <c r="F1105" s="3">
        <v>45701</v>
      </c>
      <c r="G1105" s="3">
        <v>45701</v>
      </c>
      <c r="H1105" s="1" t="s">
        <v>27</v>
      </c>
      <c r="I1105" s="1" t="s">
        <v>18</v>
      </c>
      <c r="J1105" s="1">
        <v>4</v>
      </c>
      <c r="K1105" s="1" t="s">
        <v>19</v>
      </c>
      <c r="L1105" s="1" t="s">
        <v>72</v>
      </c>
      <c r="M1105" s="1">
        <f>orders[[#This Row],[Ship Date]]-orders[[#This Row],[Order Date]]</f>
        <v>0</v>
      </c>
      <c r="N1105" s="1">
        <f>WEEKNUM(orders[[#This Row],[Order Date]])</f>
        <v>7</v>
      </c>
      <c r="O1105" s="1" t="str" cm="1">
        <f t="array" ref="O1105">_xlfn.IFS(orders[[#This Row],[Customer Gender]]="M","Male", orders[[#This Row],[Customer Gender]]="F","Female", orders[[#This Row],[Customer Gender]]="O","Other", TRUE,"Unknown")</f>
        <v>Female</v>
      </c>
    </row>
    <row r="1106" spans="1:15">
      <c r="A1106" s="1" t="s">
        <v>1203</v>
      </c>
      <c r="B1106" s="1" t="s">
        <v>30</v>
      </c>
      <c r="C1106" s="1">
        <v>1</v>
      </c>
      <c r="D1106" s="1">
        <v>41.6</v>
      </c>
      <c r="E1106" s="11">
        <v>41.6</v>
      </c>
      <c r="F1106" s="3">
        <v>45701</v>
      </c>
      <c r="G1106" s="3">
        <v>45704</v>
      </c>
      <c r="H1106" s="1" t="s">
        <v>23</v>
      </c>
      <c r="I1106" s="1" t="s">
        <v>51</v>
      </c>
      <c r="J1106" s="1">
        <v>4</v>
      </c>
      <c r="K1106" s="1" t="s">
        <v>19</v>
      </c>
      <c r="L1106" s="1" t="s">
        <v>77</v>
      </c>
      <c r="M1106" s="1">
        <f>orders[[#This Row],[Ship Date]]-orders[[#This Row],[Order Date]]</f>
        <v>3</v>
      </c>
      <c r="N1106" s="1">
        <f>WEEKNUM(orders[[#This Row],[Order Date]])</f>
        <v>7</v>
      </c>
      <c r="O1106" s="1" t="str" cm="1">
        <f t="array" ref="O1106">_xlfn.IFS(orders[[#This Row],[Customer Gender]]="M","Male", orders[[#This Row],[Customer Gender]]="F","Female", orders[[#This Row],[Customer Gender]]="O","Other", TRUE,"Unknown")</f>
        <v>Male</v>
      </c>
    </row>
    <row r="1107" spans="1:15">
      <c r="A1107" s="1" t="s">
        <v>1204</v>
      </c>
      <c r="B1107" s="1" t="s">
        <v>171</v>
      </c>
      <c r="C1107" s="1">
        <v>2</v>
      </c>
      <c r="D1107" s="1">
        <v>16.399999999999999</v>
      </c>
      <c r="E1107" s="11">
        <v>32.799999999999997</v>
      </c>
      <c r="F1107" s="3">
        <v>45701</v>
      </c>
      <c r="G1107" s="3">
        <v>45702</v>
      </c>
      <c r="H1107" s="1" t="s">
        <v>89</v>
      </c>
      <c r="I1107" s="1" t="s">
        <v>18</v>
      </c>
      <c r="J1107" s="1">
        <v>5</v>
      </c>
      <c r="K1107" s="1" t="s">
        <v>19</v>
      </c>
      <c r="L1107" s="1" t="s">
        <v>77</v>
      </c>
      <c r="M1107" s="1">
        <f>orders[[#This Row],[Ship Date]]-orders[[#This Row],[Order Date]]</f>
        <v>1</v>
      </c>
      <c r="N1107" s="1">
        <f>WEEKNUM(orders[[#This Row],[Order Date]])</f>
        <v>7</v>
      </c>
      <c r="O1107" s="1" t="str" cm="1">
        <f t="array" ref="O1107">_xlfn.IFS(orders[[#This Row],[Customer Gender]]="M","Male", orders[[#This Row],[Customer Gender]]="F","Female", orders[[#This Row],[Customer Gender]]="O","Other", TRUE,"Unknown")</f>
        <v>Other</v>
      </c>
    </row>
    <row r="1108" spans="1:15">
      <c r="A1108" s="1" t="s">
        <v>1205</v>
      </c>
      <c r="B1108" s="1" t="s">
        <v>44</v>
      </c>
      <c r="C1108" s="1">
        <v>2</v>
      </c>
      <c r="D1108" s="1">
        <v>22</v>
      </c>
      <c r="E1108" s="11">
        <v>44</v>
      </c>
      <c r="F1108" s="3">
        <v>45701</v>
      </c>
      <c r="G1108" s="3">
        <v>45702</v>
      </c>
      <c r="H1108" s="1" t="s">
        <v>23</v>
      </c>
      <c r="I1108" s="1" t="s">
        <v>40</v>
      </c>
      <c r="J1108" s="1">
        <v>5</v>
      </c>
      <c r="K1108" s="1" t="s">
        <v>19</v>
      </c>
      <c r="L1108" s="1" t="s">
        <v>1116</v>
      </c>
      <c r="M1108" s="1">
        <f>orders[[#This Row],[Ship Date]]-orders[[#This Row],[Order Date]]</f>
        <v>1</v>
      </c>
      <c r="N1108" s="1">
        <f>WEEKNUM(orders[[#This Row],[Order Date]])</f>
        <v>7</v>
      </c>
      <c r="O1108" s="1" t="str" cm="1">
        <f t="array" ref="O1108">_xlfn.IFS(orders[[#This Row],[Customer Gender]]="M","Male", orders[[#This Row],[Customer Gender]]="F","Female", orders[[#This Row],[Customer Gender]]="O","Other", TRUE,"Unknown")</f>
        <v>Male</v>
      </c>
    </row>
    <row r="1109" spans="1:15">
      <c r="A1109" s="1" t="s">
        <v>1206</v>
      </c>
      <c r="B1109" s="1" t="s">
        <v>123</v>
      </c>
      <c r="C1109" s="1">
        <v>2</v>
      </c>
      <c r="D1109" s="1">
        <v>33.6</v>
      </c>
      <c r="E1109" s="11">
        <v>67.2</v>
      </c>
      <c r="F1109" s="3">
        <v>45701</v>
      </c>
      <c r="G1109" s="3">
        <v>45706</v>
      </c>
      <c r="H1109" s="1" t="s">
        <v>27</v>
      </c>
      <c r="I1109" s="1" t="s">
        <v>18</v>
      </c>
      <c r="J1109" s="1">
        <v>4</v>
      </c>
      <c r="K1109" s="1" t="s">
        <v>19</v>
      </c>
      <c r="L1109" s="1" t="s">
        <v>115</v>
      </c>
      <c r="M1109" s="1">
        <f>orders[[#This Row],[Ship Date]]-orders[[#This Row],[Order Date]]</f>
        <v>5</v>
      </c>
      <c r="N1109" s="1">
        <f>WEEKNUM(orders[[#This Row],[Order Date]])</f>
        <v>7</v>
      </c>
      <c r="O1109" s="1" t="str" cm="1">
        <f t="array" ref="O1109">_xlfn.IFS(orders[[#This Row],[Customer Gender]]="M","Male", orders[[#This Row],[Customer Gender]]="F","Female", orders[[#This Row],[Customer Gender]]="O","Other", TRUE,"Unknown")</f>
        <v>Female</v>
      </c>
    </row>
    <row r="1110" spans="1:15">
      <c r="A1110" s="1" t="s">
        <v>1207</v>
      </c>
      <c r="B1110" s="1" t="s">
        <v>67</v>
      </c>
      <c r="C1110" s="1">
        <v>6</v>
      </c>
      <c r="D1110" s="1">
        <v>43</v>
      </c>
      <c r="E1110" s="11">
        <v>258</v>
      </c>
      <c r="F1110" s="3">
        <v>45701</v>
      </c>
      <c r="G1110" s="3">
        <v>45702</v>
      </c>
      <c r="H1110" s="1" t="s">
        <v>27</v>
      </c>
      <c r="I1110" s="1" t="s">
        <v>40</v>
      </c>
      <c r="J1110" s="1">
        <v>4</v>
      </c>
      <c r="K1110" s="1" t="s">
        <v>19</v>
      </c>
      <c r="L1110" s="1" t="s">
        <v>115</v>
      </c>
      <c r="M1110" s="1">
        <f>orders[[#This Row],[Ship Date]]-orders[[#This Row],[Order Date]]</f>
        <v>1</v>
      </c>
      <c r="N1110" s="1">
        <f>WEEKNUM(orders[[#This Row],[Order Date]])</f>
        <v>7</v>
      </c>
      <c r="O1110" s="1" t="str" cm="1">
        <f t="array" ref="O1110">_xlfn.IFS(orders[[#This Row],[Customer Gender]]="M","Male", orders[[#This Row],[Customer Gender]]="F","Female", orders[[#This Row],[Customer Gender]]="O","Other", TRUE,"Unknown")</f>
        <v>Female</v>
      </c>
    </row>
    <row r="1111" spans="1:15">
      <c r="A1111" s="1" t="s">
        <v>1208</v>
      </c>
      <c r="B1111" s="1" t="s">
        <v>39</v>
      </c>
      <c r="C1111" s="1">
        <v>5</v>
      </c>
      <c r="D1111" s="1">
        <v>108.8</v>
      </c>
      <c r="E1111" s="11">
        <v>544</v>
      </c>
      <c r="F1111" s="3">
        <v>45701</v>
      </c>
      <c r="G1111" s="3">
        <v>45704</v>
      </c>
      <c r="H1111" s="1" t="s">
        <v>27</v>
      </c>
      <c r="I1111" s="1" t="s">
        <v>70</v>
      </c>
      <c r="J1111" s="1">
        <v>5</v>
      </c>
      <c r="K1111" s="1" t="s">
        <v>19</v>
      </c>
      <c r="L1111" s="1" t="s">
        <v>115</v>
      </c>
      <c r="M1111" s="1">
        <f>orders[[#This Row],[Ship Date]]-orders[[#This Row],[Order Date]]</f>
        <v>3</v>
      </c>
      <c r="N1111" s="1">
        <f>WEEKNUM(orders[[#This Row],[Order Date]])</f>
        <v>7</v>
      </c>
      <c r="O1111" s="1" t="str" cm="1">
        <f t="array" ref="O1111">_xlfn.IFS(orders[[#This Row],[Customer Gender]]="M","Male", orders[[#This Row],[Customer Gender]]="F","Female", orders[[#This Row],[Customer Gender]]="O","Other", TRUE,"Unknown")</f>
        <v>Female</v>
      </c>
    </row>
    <row r="1112" spans="1:15">
      <c r="A1112" s="1" t="s">
        <v>1209</v>
      </c>
      <c r="B1112" s="1" t="s">
        <v>16</v>
      </c>
      <c r="C1112" s="1">
        <v>9</v>
      </c>
      <c r="D1112" s="1">
        <v>29.3</v>
      </c>
      <c r="E1112" s="11">
        <v>263.7</v>
      </c>
      <c r="F1112" s="3">
        <v>45701</v>
      </c>
      <c r="G1112" s="3">
        <v>45703</v>
      </c>
      <c r="H1112" s="1" t="s">
        <v>23</v>
      </c>
      <c r="I1112" s="1" t="s">
        <v>70</v>
      </c>
      <c r="J1112" s="1">
        <v>5</v>
      </c>
      <c r="K1112" s="1" t="s">
        <v>19</v>
      </c>
      <c r="L1112" s="1" t="s">
        <v>115</v>
      </c>
      <c r="M1112" s="1">
        <f>orders[[#This Row],[Ship Date]]-orders[[#This Row],[Order Date]]</f>
        <v>2</v>
      </c>
      <c r="N1112" s="1">
        <f>WEEKNUM(orders[[#This Row],[Order Date]])</f>
        <v>7</v>
      </c>
      <c r="O1112" s="1" t="str" cm="1">
        <f t="array" ref="O1112">_xlfn.IFS(orders[[#This Row],[Customer Gender]]="M","Male", orders[[#This Row],[Customer Gender]]="F","Female", orders[[#This Row],[Customer Gender]]="O","Other", TRUE,"Unknown")</f>
        <v>Male</v>
      </c>
    </row>
    <row r="1113" spans="1:15">
      <c r="A1113" s="1" t="s">
        <v>1210</v>
      </c>
      <c r="B1113" s="1" t="s">
        <v>26</v>
      </c>
      <c r="C1113" s="1">
        <v>1</v>
      </c>
      <c r="D1113" s="1">
        <v>122.7</v>
      </c>
      <c r="E1113" s="11">
        <v>122.7</v>
      </c>
      <c r="F1113" s="3">
        <v>45701</v>
      </c>
      <c r="G1113" s="3">
        <v>45704</v>
      </c>
      <c r="H1113" s="1" t="s">
        <v>89</v>
      </c>
      <c r="I1113" s="1" t="s">
        <v>18</v>
      </c>
      <c r="J1113" s="1">
        <v>5</v>
      </c>
      <c r="K1113" s="1" t="s">
        <v>19</v>
      </c>
      <c r="L1113" s="1" t="s">
        <v>24</v>
      </c>
      <c r="M1113" s="1">
        <f>orders[[#This Row],[Ship Date]]-orders[[#This Row],[Order Date]]</f>
        <v>3</v>
      </c>
      <c r="N1113" s="1">
        <f>WEEKNUM(orders[[#This Row],[Order Date]])</f>
        <v>7</v>
      </c>
      <c r="O1113" s="1" t="str" cm="1">
        <f t="array" ref="O1113">_xlfn.IFS(orders[[#This Row],[Customer Gender]]="M","Male", orders[[#This Row],[Customer Gender]]="F","Female", orders[[#This Row],[Customer Gender]]="O","Other", TRUE,"Unknown")</f>
        <v>Other</v>
      </c>
    </row>
    <row r="1114" spans="1:15">
      <c r="A1114" s="1" t="s">
        <v>1211</v>
      </c>
      <c r="B1114" s="1" t="s">
        <v>32</v>
      </c>
      <c r="C1114" s="1">
        <v>7</v>
      </c>
      <c r="D1114" s="1">
        <v>22.9</v>
      </c>
      <c r="E1114" s="11">
        <v>160.29999999999998</v>
      </c>
      <c r="F1114" s="3">
        <v>45701</v>
      </c>
      <c r="G1114" s="3">
        <v>45702</v>
      </c>
      <c r="H1114" s="1" t="s">
        <v>27</v>
      </c>
      <c r="I1114" s="1" t="s">
        <v>18</v>
      </c>
      <c r="J1114" s="1">
        <v>4</v>
      </c>
      <c r="K1114" s="1" t="s">
        <v>19</v>
      </c>
      <c r="L1114" s="1" t="s">
        <v>437</v>
      </c>
      <c r="M1114" s="1">
        <f>orders[[#This Row],[Ship Date]]-orders[[#This Row],[Order Date]]</f>
        <v>1</v>
      </c>
      <c r="N1114" s="1">
        <f>WEEKNUM(orders[[#This Row],[Order Date]])</f>
        <v>7</v>
      </c>
      <c r="O1114" s="1" t="str" cm="1">
        <f t="array" ref="O1114">_xlfn.IFS(orders[[#This Row],[Customer Gender]]="M","Male", orders[[#This Row],[Customer Gender]]="F","Female", orders[[#This Row],[Customer Gender]]="O","Other", TRUE,"Unknown")</f>
        <v>Female</v>
      </c>
    </row>
    <row r="1115" spans="1:15">
      <c r="A1115" s="1" t="s">
        <v>1212</v>
      </c>
      <c r="B1115" s="1" t="s">
        <v>44</v>
      </c>
      <c r="C1115" s="1">
        <v>10</v>
      </c>
      <c r="D1115" s="1">
        <v>25.5</v>
      </c>
      <c r="E1115" s="11">
        <v>255</v>
      </c>
      <c r="F1115" s="3">
        <v>45701</v>
      </c>
      <c r="G1115" s="3">
        <v>45708</v>
      </c>
      <c r="H1115" s="1" t="s">
        <v>27</v>
      </c>
      <c r="I1115" s="1" t="s">
        <v>18</v>
      </c>
      <c r="J1115" s="1">
        <v>4</v>
      </c>
      <c r="K1115" s="1" t="s">
        <v>19</v>
      </c>
      <c r="L1115" s="1" t="s">
        <v>331</v>
      </c>
      <c r="M1115" s="1">
        <f>orders[[#This Row],[Ship Date]]-orders[[#This Row],[Order Date]]</f>
        <v>7</v>
      </c>
      <c r="N1115" s="1">
        <f>WEEKNUM(orders[[#This Row],[Order Date]])</f>
        <v>7</v>
      </c>
      <c r="O1115" s="1" t="str" cm="1">
        <f t="array" ref="O1115">_xlfn.IFS(orders[[#This Row],[Customer Gender]]="M","Male", orders[[#This Row],[Customer Gender]]="F","Female", orders[[#This Row],[Customer Gender]]="O","Other", TRUE,"Unknown")</f>
        <v>Female</v>
      </c>
    </row>
    <row r="1116" spans="1:15">
      <c r="A1116" s="1" t="s">
        <v>1213</v>
      </c>
      <c r="B1116" s="1" t="s">
        <v>135</v>
      </c>
      <c r="C1116" s="1">
        <v>3</v>
      </c>
      <c r="D1116" s="1">
        <v>23.4</v>
      </c>
      <c r="E1116" s="11">
        <v>70.199999999999989</v>
      </c>
      <c r="F1116" s="3">
        <v>45701</v>
      </c>
      <c r="G1116" s="3">
        <v>45705</v>
      </c>
      <c r="H1116" s="1" t="s">
        <v>27</v>
      </c>
      <c r="I1116" s="1" t="s">
        <v>18</v>
      </c>
      <c r="J1116" s="1">
        <v>5</v>
      </c>
      <c r="K1116" s="1" t="s">
        <v>19</v>
      </c>
      <c r="L1116" s="1" t="s">
        <v>33</v>
      </c>
      <c r="M1116" s="1">
        <f>orders[[#This Row],[Ship Date]]-orders[[#This Row],[Order Date]]</f>
        <v>4</v>
      </c>
      <c r="N1116" s="1">
        <f>WEEKNUM(orders[[#This Row],[Order Date]])</f>
        <v>7</v>
      </c>
      <c r="O1116" s="1" t="str" cm="1">
        <f t="array" ref="O1116">_xlfn.IFS(orders[[#This Row],[Customer Gender]]="M","Male", orders[[#This Row],[Customer Gender]]="F","Female", orders[[#This Row],[Customer Gender]]="O","Other", TRUE,"Unknown")</f>
        <v>Female</v>
      </c>
    </row>
    <row r="1117" spans="1:15">
      <c r="A1117" s="1" t="s">
        <v>1214</v>
      </c>
      <c r="B1117" s="1" t="s">
        <v>37</v>
      </c>
      <c r="C1117" s="1">
        <v>8</v>
      </c>
      <c r="D1117" s="1">
        <v>27.4</v>
      </c>
      <c r="E1117" s="11">
        <v>219.2</v>
      </c>
      <c r="F1117" s="3">
        <v>45701</v>
      </c>
      <c r="G1117" s="3">
        <v>45704</v>
      </c>
      <c r="H1117" s="1" t="s">
        <v>27</v>
      </c>
      <c r="I1117" s="1" t="s">
        <v>40</v>
      </c>
      <c r="J1117" s="1">
        <v>4</v>
      </c>
      <c r="K1117" s="1" t="s">
        <v>19</v>
      </c>
      <c r="L1117" s="1" t="s">
        <v>33</v>
      </c>
      <c r="M1117" s="1">
        <f>orders[[#This Row],[Ship Date]]-orders[[#This Row],[Order Date]]</f>
        <v>3</v>
      </c>
      <c r="N1117" s="1">
        <f>WEEKNUM(orders[[#This Row],[Order Date]])</f>
        <v>7</v>
      </c>
      <c r="O1117" s="1" t="str" cm="1">
        <f t="array" ref="O1117">_xlfn.IFS(orders[[#This Row],[Customer Gender]]="M","Male", orders[[#This Row],[Customer Gender]]="F","Female", orders[[#This Row],[Customer Gender]]="O","Other", TRUE,"Unknown")</f>
        <v>Female</v>
      </c>
    </row>
    <row r="1118" spans="1:15">
      <c r="A1118" s="1" t="s">
        <v>1215</v>
      </c>
      <c r="B1118" s="1" t="s">
        <v>37</v>
      </c>
      <c r="C1118" s="1">
        <v>5</v>
      </c>
      <c r="D1118" s="1">
        <v>68.400000000000006</v>
      </c>
      <c r="E1118" s="11">
        <v>342</v>
      </c>
      <c r="F1118" s="3">
        <v>45701</v>
      </c>
      <c r="G1118" s="3">
        <v>45702</v>
      </c>
      <c r="H1118" s="1" t="s">
        <v>27</v>
      </c>
      <c r="I1118" s="1" t="s">
        <v>18</v>
      </c>
      <c r="J1118" s="1">
        <v>4</v>
      </c>
      <c r="K1118" s="1" t="s">
        <v>19</v>
      </c>
      <c r="L1118" s="1" t="s">
        <v>33</v>
      </c>
      <c r="M1118" s="1">
        <f>orders[[#This Row],[Ship Date]]-orders[[#This Row],[Order Date]]</f>
        <v>1</v>
      </c>
      <c r="N1118" s="1">
        <f>WEEKNUM(orders[[#This Row],[Order Date]])</f>
        <v>7</v>
      </c>
      <c r="O1118" s="1" t="str" cm="1">
        <f t="array" ref="O1118">_xlfn.IFS(orders[[#This Row],[Customer Gender]]="M","Male", orders[[#This Row],[Customer Gender]]="F","Female", orders[[#This Row],[Customer Gender]]="O","Other", TRUE,"Unknown")</f>
        <v>Female</v>
      </c>
    </row>
    <row r="1119" spans="1:15">
      <c r="A1119" s="1" t="s">
        <v>1216</v>
      </c>
      <c r="B1119" s="1" t="s">
        <v>39</v>
      </c>
      <c r="C1119" s="1">
        <v>1</v>
      </c>
      <c r="D1119" s="1">
        <v>51.9</v>
      </c>
      <c r="E1119" s="11">
        <v>51.9</v>
      </c>
      <c r="F1119" s="3">
        <v>45701</v>
      </c>
      <c r="G1119" s="3">
        <v>45701</v>
      </c>
      <c r="H1119" s="1" t="s">
        <v>27</v>
      </c>
      <c r="I1119" s="1" t="s">
        <v>18</v>
      </c>
      <c r="J1119" s="1">
        <v>4</v>
      </c>
      <c r="K1119" s="1" t="s">
        <v>19</v>
      </c>
      <c r="L1119" s="1" t="s">
        <v>33</v>
      </c>
      <c r="M1119" s="1">
        <f>orders[[#This Row],[Ship Date]]-orders[[#This Row],[Order Date]]</f>
        <v>0</v>
      </c>
      <c r="N1119" s="1">
        <f>WEEKNUM(orders[[#This Row],[Order Date]])</f>
        <v>7</v>
      </c>
      <c r="O1119" s="1" t="str" cm="1">
        <f t="array" ref="O1119">_xlfn.IFS(orders[[#This Row],[Customer Gender]]="M","Male", orders[[#This Row],[Customer Gender]]="F","Female", orders[[#This Row],[Customer Gender]]="O","Other", TRUE,"Unknown")</f>
        <v>Female</v>
      </c>
    </row>
    <row r="1120" spans="1:15">
      <c r="A1120" s="1" t="s">
        <v>1217</v>
      </c>
      <c r="B1120" s="1" t="s">
        <v>16</v>
      </c>
      <c r="C1120" s="1">
        <v>5</v>
      </c>
      <c r="D1120" s="1">
        <v>26.4</v>
      </c>
      <c r="E1120" s="11">
        <v>132</v>
      </c>
      <c r="F1120" s="3">
        <v>45701</v>
      </c>
      <c r="G1120" s="3">
        <v>45704</v>
      </c>
      <c r="H1120" s="1" t="s">
        <v>27</v>
      </c>
      <c r="I1120" s="1" t="s">
        <v>18</v>
      </c>
      <c r="J1120" s="1">
        <v>5</v>
      </c>
      <c r="K1120" s="1" t="s">
        <v>19</v>
      </c>
      <c r="L1120" s="1" t="s">
        <v>33</v>
      </c>
      <c r="M1120" s="1">
        <f>orders[[#This Row],[Ship Date]]-orders[[#This Row],[Order Date]]</f>
        <v>3</v>
      </c>
      <c r="N1120" s="1">
        <f>WEEKNUM(orders[[#This Row],[Order Date]])</f>
        <v>7</v>
      </c>
      <c r="O1120" s="1" t="str" cm="1">
        <f t="array" ref="O1120">_xlfn.IFS(orders[[#This Row],[Customer Gender]]="M","Male", orders[[#This Row],[Customer Gender]]="F","Female", orders[[#This Row],[Customer Gender]]="O","Other", TRUE,"Unknown")</f>
        <v>Female</v>
      </c>
    </row>
    <row r="1121" spans="1:15">
      <c r="A1121" s="1" t="s">
        <v>1218</v>
      </c>
      <c r="B1121" s="1" t="s">
        <v>69</v>
      </c>
      <c r="C1121" s="1">
        <v>2</v>
      </c>
      <c r="D1121" s="1">
        <v>117</v>
      </c>
      <c r="E1121" s="11">
        <v>234</v>
      </c>
      <c r="F1121" s="3">
        <v>45701</v>
      </c>
      <c r="G1121" s="3">
        <v>45702</v>
      </c>
      <c r="H1121" s="1" t="s">
        <v>27</v>
      </c>
      <c r="I1121" s="1" t="s">
        <v>35</v>
      </c>
      <c r="J1121" s="1">
        <v>3</v>
      </c>
      <c r="K1121" s="1" t="s">
        <v>19</v>
      </c>
      <c r="L1121" s="1" t="s">
        <v>33</v>
      </c>
      <c r="M1121" s="1">
        <f>orders[[#This Row],[Ship Date]]-orders[[#This Row],[Order Date]]</f>
        <v>1</v>
      </c>
      <c r="N1121" s="1">
        <f>WEEKNUM(orders[[#This Row],[Order Date]])</f>
        <v>7</v>
      </c>
      <c r="O1121" s="1" t="str" cm="1">
        <f t="array" ref="O1121">_xlfn.IFS(orders[[#This Row],[Customer Gender]]="M","Male", orders[[#This Row],[Customer Gender]]="F","Female", orders[[#This Row],[Customer Gender]]="O","Other", TRUE,"Unknown")</f>
        <v>Female</v>
      </c>
    </row>
    <row r="1122" spans="1:15">
      <c r="A1122" s="1" t="s">
        <v>1219</v>
      </c>
      <c r="B1122" s="1" t="s">
        <v>42</v>
      </c>
      <c r="C1122" s="1">
        <v>3</v>
      </c>
      <c r="D1122" s="1">
        <v>49.6</v>
      </c>
      <c r="E1122" s="11">
        <v>148.80000000000001</v>
      </c>
      <c r="F1122" s="3">
        <v>45702</v>
      </c>
      <c r="G1122" s="3">
        <v>45704</v>
      </c>
      <c r="H1122" s="1" t="s">
        <v>27</v>
      </c>
      <c r="I1122" s="1" t="s">
        <v>18</v>
      </c>
      <c r="J1122" s="1">
        <v>4</v>
      </c>
      <c r="K1122" s="1" t="s">
        <v>19</v>
      </c>
      <c r="L1122" s="1" t="s">
        <v>33</v>
      </c>
      <c r="M1122" s="1">
        <f>orders[[#This Row],[Ship Date]]-orders[[#This Row],[Order Date]]</f>
        <v>2</v>
      </c>
      <c r="N1122" s="1">
        <f>WEEKNUM(orders[[#This Row],[Order Date]])</f>
        <v>7</v>
      </c>
      <c r="O1122" s="1" t="str" cm="1">
        <f t="array" ref="O1122">_xlfn.IFS(orders[[#This Row],[Customer Gender]]="M","Male", orders[[#This Row],[Customer Gender]]="F","Female", orders[[#This Row],[Customer Gender]]="O","Other", TRUE,"Unknown")</f>
        <v>Female</v>
      </c>
    </row>
    <row r="1123" spans="1:15">
      <c r="A1123" s="1" t="s">
        <v>1220</v>
      </c>
      <c r="B1123" s="1" t="s">
        <v>32</v>
      </c>
      <c r="C1123" s="1">
        <v>3</v>
      </c>
      <c r="D1123" s="1">
        <v>38</v>
      </c>
      <c r="E1123" s="11">
        <v>114</v>
      </c>
      <c r="F1123" s="3">
        <v>45702</v>
      </c>
      <c r="G1123" s="3">
        <v>45705</v>
      </c>
      <c r="H1123" s="1" t="s">
        <v>23</v>
      </c>
      <c r="I1123" s="1" t="s">
        <v>40</v>
      </c>
      <c r="J1123" s="1">
        <v>2</v>
      </c>
      <c r="K1123" s="1" t="s">
        <v>19</v>
      </c>
      <c r="L1123" s="1" t="s">
        <v>33</v>
      </c>
      <c r="M1123" s="1">
        <f>orders[[#This Row],[Ship Date]]-orders[[#This Row],[Order Date]]</f>
        <v>3</v>
      </c>
      <c r="N1123" s="1">
        <f>WEEKNUM(orders[[#This Row],[Order Date]])</f>
        <v>7</v>
      </c>
      <c r="O1123" s="1" t="str" cm="1">
        <f t="array" ref="O1123">_xlfn.IFS(orders[[#This Row],[Customer Gender]]="M","Male", orders[[#This Row],[Customer Gender]]="F","Female", orders[[#This Row],[Customer Gender]]="O","Other", TRUE,"Unknown")</f>
        <v>Male</v>
      </c>
    </row>
    <row r="1124" spans="1:15">
      <c r="A1124" s="1" t="s">
        <v>1221</v>
      </c>
      <c r="B1124" s="1" t="s">
        <v>16</v>
      </c>
      <c r="C1124" s="1">
        <v>3</v>
      </c>
      <c r="D1124" s="1">
        <v>20.6</v>
      </c>
      <c r="E1124" s="11">
        <v>61.800000000000004</v>
      </c>
      <c r="F1124" s="3">
        <v>45702</v>
      </c>
      <c r="G1124" s="3">
        <v>45704</v>
      </c>
      <c r="H1124" s="1" t="s">
        <v>27</v>
      </c>
      <c r="I1124" s="1" t="s">
        <v>70</v>
      </c>
      <c r="J1124" s="1">
        <v>5</v>
      </c>
      <c r="K1124" s="1" t="s">
        <v>19</v>
      </c>
      <c r="L1124" s="1" t="s">
        <v>33</v>
      </c>
      <c r="M1124" s="1">
        <f>orders[[#This Row],[Ship Date]]-orders[[#This Row],[Order Date]]</f>
        <v>2</v>
      </c>
      <c r="N1124" s="1">
        <f>WEEKNUM(orders[[#This Row],[Order Date]])</f>
        <v>7</v>
      </c>
      <c r="O1124" s="1" t="str" cm="1">
        <f t="array" ref="O1124">_xlfn.IFS(orders[[#This Row],[Customer Gender]]="M","Male", orders[[#This Row],[Customer Gender]]="F","Female", orders[[#This Row],[Customer Gender]]="O","Other", TRUE,"Unknown")</f>
        <v>Female</v>
      </c>
    </row>
    <row r="1125" spans="1:15">
      <c r="A1125" s="1" t="s">
        <v>1222</v>
      </c>
      <c r="B1125" s="1" t="s">
        <v>16</v>
      </c>
      <c r="C1125" s="1">
        <v>2</v>
      </c>
      <c r="D1125" s="1">
        <v>16</v>
      </c>
      <c r="E1125" s="11">
        <v>32</v>
      </c>
      <c r="F1125" s="3">
        <v>45702</v>
      </c>
      <c r="G1125" s="3">
        <v>45703</v>
      </c>
      <c r="H1125" s="1" t="s">
        <v>23</v>
      </c>
      <c r="I1125" s="1" t="s">
        <v>35</v>
      </c>
      <c r="J1125" s="1">
        <v>3</v>
      </c>
      <c r="K1125" s="1" t="s">
        <v>19</v>
      </c>
      <c r="L1125" s="1" t="s">
        <v>802</v>
      </c>
      <c r="M1125" s="1">
        <f>orders[[#This Row],[Ship Date]]-orders[[#This Row],[Order Date]]</f>
        <v>1</v>
      </c>
      <c r="N1125" s="1">
        <f>WEEKNUM(orders[[#This Row],[Order Date]])</f>
        <v>7</v>
      </c>
      <c r="O1125" s="1" t="str" cm="1">
        <f t="array" ref="O1125">_xlfn.IFS(orders[[#This Row],[Customer Gender]]="M","Male", orders[[#This Row],[Customer Gender]]="F","Female", orders[[#This Row],[Customer Gender]]="O","Other", TRUE,"Unknown")</f>
        <v>Male</v>
      </c>
    </row>
    <row r="1126" spans="1:15">
      <c r="A1126" s="1" t="s">
        <v>1223</v>
      </c>
      <c r="B1126" s="1" t="s">
        <v>123</v>
      </c>
      <c r="C1126" s="1">
        <v>4</v>
      </c>
      <c r="D1126" s="1">
        <v>49.3</v>
      </c>
      <c r="E1126" s="11">
        <v>197.2</v>
      </c>
      <c r="F1126" s="3">
        <v>45702</v>
      </c>
      <c r="G1126" s="3">
        <v>45703</v>
      </c>
      <c r="H1126" s="1" t="s">
        <v>27</v>
      </c>
      <c r="I1126" s="1" t="s">
        <v>40</v>
      </c>
      <c r="J1126" s="1">
        <v>4</v>
      </c>
      <c r="K1126" s="1" t="s">
        <v>19</v>
      </c>
      <c r="L1126" s="1" t="s">
        <v>158</v>
      </c>
      <c r="M1126" s="1">
        <f>orders[[#This Row],[Ship Date]]-orders[[#This Row],[Order Date]]</f>
        <v>1</v>
      </c>
      <c r="N1126" s="1">
        <f>WEEKNUM(orders[[#This Row],[Order Date]])</f>
        <v>7</v>
      </c>
      <c r="O1126" s="1" t="str" cm="1">
        <f t="array" ref="O1126">_xlfn.IFS(orders[[#This Row],[Customer Gender]]="M","Male", orders[[#This Row],[Customer Gender]]="F","Female", orders[[#This Row],[Customer Gender]]="O","Other", TRUE,"Unknown")</f>
        <v>Female</v>
      </c>
    </row>
    <row r="1127" spans="1:15">
      <c r="A1127" s="1" t="s">
        <v>1224</v>
      </c>
      <c r="B1127" s="1" t="s">
        <v>46</v>
      </c>
      <c r="C1127" s="1">
        <v>2</v>
      </c>
      <c r="D1127" s="1">
        <v>24.1</v>
      </c>
      <c r="E1127" s="11">
        <v>48.2</v>
      </c>
      <c r="F1127" s="3">
        <v>45702</v>
      </c>
      <c r="G1127" s="3">
        <v>45706</v>
      </c>
      <c r="H1127" s="1" t="s">
        <v>27</v>
      </c>
      <c r="I1127" s="1" t="s">
        <v>18</v>
      </c>
      <c r="J1127" s="1">
        <v>4</v>
      </c>
      <c r="K1127" s="1" t="s">
        <v>19</v>
      </c>
      <c r="L1127" s="1" t="s">
        <v>55</v>
      </c>
      <c r="M1127" s="1">
        <f>orders[[#This Row],[Ship Date]]-orders[[#This Row],[Order Date]]</f>
        <v>4</v>
      </c>
      <c r="N1127" s="1">
        <f>WEEKNUM(orders[[#This Row],[Order Date]])</f>
        <v>7</v>
      </c>
      <c r="O1127" s="1" t="str" cm="1">
        <f t="array" ref="O1127">_xlfn.IFS(orders[[#This Row],[Customer Gender]]="M","Male", orders[[#This Row],[Customer Gender]]="F","Female", orders[[#This Row],[Customer Gender]]="O","Other", TRUE,"Unknown")</f>
        <v>Female</v>
      </c>
    </row>
    <row r="1128" spans="1:15">
      <c r="A1128" s="1" t="s">
        <v>1225</v>
      </c>
      <c r="B1128" s="1" t="s">
        <v>123</v>
      </c>
      <c r="C1128" s="1">
        <v>8</v>
      </c>
      <c r="D1128" s="1">
        <v>32.700000000000003</v>
      </c>
      <c r="E1128" s="11">
        <v>261.60000000000002</v>
      </c>
      <c r="F1128" s="3">
        <v>45702</v>
      </c>
      <c r="G1128" s="3">
        <v>45703</v>
      </c>
      <c r="H1128" s="1" t="s">
        <v>27</v>
      </c>
      <c r="I1128" s="1" t="s">
        <v>35</v>
      </c>
      <c r="J1128" s="1">
        <v>4</v>
      </c>
      <c r="K1128" s="1" t="s">
        <v>19</v>
      </c>
      <c r="L1128" s="1" t="s">
        <v>55</v>
      </c>
      <c r="M1128" s="1">
        <f>orders[[#This Row],[Ship Date]]-orders[[#This Row],[Order Date]]</f>
        <v>1</v>
      </c>
      <c r="N1128" s="1">
        <f>WEEKNUM(orders[[#This Row],[Order Date]])</f>
        <v>7</v>
      </c>
      <c r="O1128" s="1" t="str" cm="1">
        <f t="array" ref="O1128">_xlfn.IFS(orders[[#This Row],[Customer Gender]]="M","Male", orders[[#This Row],[Customer Gender]]="F","Female", orders[[#This Row],[Customer Gender]]="O","Other", TRUE,"Unknown")</f>
        <v>Female</v>
      </c>
    </row>
    <row r="1129" spans="1:15">
      <c r="A1129" s="1" t="s">
        <v>1226</v>
      </c>
      <c r="B1129" s="1" t="s">
        <v>39</v>
      </c>
      <c r="C1129" s="1">
        <v>3</v>
      </c>
      <c r="D1129" s="1">
        <v>74.400000000000006</v>
      </c>
      <c r="E1129" s="11">
        <v>223.20000000000002</v>
      </c>
      <c r="F1129" s="3">
        <v>45702</v>
      </c>
      <c r="G1129" s="3">
        <v>45703</v>
      </c>
      <c r="H1129" s="1" t="s">
        <v>27</v>
      </c>
      <c r="I1129" s="1" t="s">
        <v>51</v>
      </c>
      <c r="J1129" s="1">
        <v>5</v>
      </c>
      <c r="K1129" s="1" t="s">
        <v>19</v>
      </c>
      <c r="L1129" s="1" t="s">
        <v>62</v>
      </c>
      <c r="M1129" s="1">
        <f>orders[[#This Row],[Ship Date]]-orders[[#This Row],[Order Date]]</f>
        <v>1</v>
      </c>
      <c r="N1129" s="1">
        <f>WEEKNUM(orders[[#This Row],[Order Date]])</f>
        <v>7</v>
      </c>
      <c r="O1129" s="1" t="str" cm="1">
        <f t="array" ref="O1129">_xlfn.IFS(orders[[#This Row],[Customer Gender]]="M","Male", orders[[#This Row],[Customer Gender]]="F","Female", orders[[#This Row],[Customer Gender]]="O","Other", TRUE,"Unknown")</f>
        <v>Female</v>
      </c>
    </row>
    <row r="1130" spans="1:15">
      <c r="A1130" s="1" t="s">
        <v>1227</v>
      </c>
      <c r="B1130" s="1" t="s">
        <v>69</v>
      </c>
      <c r="C1130" s="1">
        <v>1</v>
      </c>
      <c r="D1130" s="1">
        <v>45.6</v>
      </c>
      <c r="E1130" s="11">
        <v>45.6</v>
      </c>
      <c r="F1130" s="3">
        <v>45702</v>
      </c>
      <c r="G1130" s="3">
        <v>45706</v>
      </c>
      <c r="H1130" s="1" t="s">
        <v>27</v>
      </c>
      <c r="I1130" s="1" t="s">
        <v>70</v>
      </c>
      <c r="J1130" s="1">
        <v>4</v>
      </c>
      <c r="K1130" s="1" t="s">
        <v>19</v>
      </c>
      <c r="L1130" s="1" t="s">
        <v>62</v>
      </c>
      <c r="M1130" s="1">
        <f>orders[[#This Row],[Ship Date]]-orders[[#This Row],[Order Date]]</f>
        <v>4</v>
      </c>
      <c r="N1130" s="1">
        <f>WEEKNUM(orders[[#This Row],[Order Date]])</f>
        <v>7</v>
      </c>
      <c r="O1130" s="1" t="str" cm="1">
        <f t="array" ref="O1130">_xlfn.IFS(orders[[#This Row],[Customer Gender]]="M","Male", orders[[#This Row],[Customer Gender]]="F","Female", orders[[#This Row],[Customer Gender]]="O","Other", TRUE,"Unknown")</f>
        <v>Female</v>
      </c>
    </row>
    <row r="1131" spans="1:15">
      <c r="A1131" s="1" t="s">
        <v>1228</v>
      </c>
      <c r="B1131" s="1" t="s">
        <v>44</v>
      </c>
      <c r="C1131" s="1">
        <v>8</v>
      </c>
      <c r="D1131" s="1">
        <v>19.600000000000001</v>
      </c>
      <c r="E1131" s="11">
        <v>156.80000000000001</v>
      </c>
      <c r="F1131" s="3">
        <v>45702</v>
      </c>
      <c r="G1131" s="3">
        <v>45715</v>
      </c>
      <c r="H1131" s="1" t="s">
        <v>27</v>
      </c>
      <c r="I1131" s="1" t="s">
        <v>18</v>
      </c>
      <c r="J1131" s="1">
        <v>4</v>
      </c>
      <c r="K1131" s="1" t="s">
        <v>19</v>
      </c>
      <c r="L1131" s="1" t="s">
        <v>62</v>
      </c>
      <c r="M1131" s="1">
        <f>orders[[#This Row],[Ship Date]]-orders[[#This Row],[Order Date]]</f>
        <v>13</v>
      </c>
      <c r="N1131" s="1">
        <f>WEEKNUM(orders[[#This Row],[Order Date]])</f>
        <v>7</v>
      </c>
      <c r="O1131" s="1" t="str" cm="1">
        <f t="array" ref="O1131">_xlfn.IFS(orders[[#This Row],[Customer Gender]]="M","Male", orders[[#This Row],[Customer Gender]]="F","Female", orders[[#This Row],[Customer Gender]]="O","Other", TRUE,"Unknown")</f>
        <v>Female</v>
      </c>
    </row>
    <row r="1132" spans="1:15">
      <c r="A1132" s="1" t="s">
        <v>1229</v>
      </c>
      <c r="B1132" s="1" t="s">
        <v>46</v>
      </c>
      <c r="C1132" s="1">
        <v>1</v>
      </c>
      <c r="D1132" s="1">
        <v>51.8</v>
      </c>
      <c r="E1132" s="11">
        <v>51.8</v>
      </c>
      <c r="F1132" s="3">
        <v>45702</v>
      </c>
      <c r="G1132" s="3">
        <v>45703</v>
      </c>
      <c r="H1132" s="1" t="s">
        <v>27</v>
      </c>
      <c r="I1132" s="1" t="s">
        <v>35</v>
      </c>
      <c r="J1132" s="1">
        <v>4</v>
      </c>
      <c r="K1132" s="1" t="s">
        <v>19</v>
      </c>
      <c r="L1132" s="1" t="s">
        <v>62</v>
      </c>
      <c r="M1132" s="1">
        <f>orders[[#This Row],[Ship Date]]-orders[[#This Row],[Order Date]]</f>
        <v>1</v>
      </c>
      <c r="N1132" s="1">
        <f>WEEKNUM(orders[[#This Row],[Order Date]])</f>
        <v>7</v>
      </c>
      <c r="O1132" s="1" t="str" cm="1">
        <f t="array" ref="O1132">_xlfn.IFS(orders[[#This Row],[Customer Gender]]="M","Male", orders[[#This Row],[Customer Gender]]="F","Female", orders[[#This Row],[Customer Gender]]="O","Other", TRUE,"Unknown")</f>
        <v>Female</v>
      </c>
    </row>
    <row r="1133" spans="1:15">
      <c r="A1133" s="1" t="s">
        <v>1230</v>
      </c>
      <c r="B1133" s="1" t="s">
        <v>39</v>
      </c>
      <c r="C1133" s="1">
        <v>1</v>
      </c>
      <c r="D1133" s="1">
        <v>74.7</v>
      </c>
      <c r="E1133" s="11">
        <v>74.7</v>
      </c>
      <c r="F1133" s="3">
        <v>45702</v>
      </c>
      <c r="G1133" s="3">
        <v>45703</v>
      </c>
      <c r="H1133" s="1" t="s">
        <v>23</v>
      </c>
      <c r="I1133" s="1" t="s">
        <v>18</v>
      </c>
      <c r="J1133" s="1">
        <v>3</v>
      </c>
      <c r="K1133" s="1" t="s">
        <v>19</v>
      </c>
      <c r="L1133" s="1" t="s">
        <v>62</v>
      </c>
      <c r="M1133" s="1">
        <f>orders[[#This Row],[Ship Date]]-orders[[#This Row],[Order Date]]</f>
        <v>1</v>
      </c>
      <c r="N1133" s="1">
        <f>WEEKNUM(orders[[#This Row],[Order Date]])</f>
        <v>7</v>
      </c>
      <c r="O1133" s="1" t="str" cm="1">
        <f t="array" ref="O1133">_xlfn.IFS(orders[[#This Row],[Customer Gender]]="M","Male", orders[[#This Row],[Customer Gender]]="F","Female", orders[[#This Row],[Customer Gender]]="O","Other", TRUE,"Unknown")</f>
        <v>Male</v>
      </c>
    </row>
    <row r="1134" spans="1:15">
      <c r="A1134" s="1" t="s">
        <v>1231</v>
      </c>
      <c r="B1134" s="1" t="s">
        <v>171</v>
      </c>
      <c r="C1134" s="1">
        <v>3</v>
      </c>
      <c r="D1134" s="1">
        <v>22.4</v>
      </c>
      <c r="E1134" s="11">
        <v>67.199999999999989</v>
      </c>
      <c r="F1134" s="3">
        <v>45702</v>
      </c>
      <c r="G1134" s="3">
        <v>45703</v>
      </c>
      <c r="H1134" s="1" t="s">
        <v>27</v>
      </c>
      <c r="I1134" s="1" t="s">
        <v>35</v>
      </c>
      <c r="J1134" s="1">
        <v>5</v>
      </c>
      <c r="K1134" s="1" t="s">
        <v>19</v>
      </c>
      <c r="L1134" s="1" t="s">
        <v>72</v>
      </c>
      <c r="M1134" s="1">
        <f>orders[[#This Row],[Ship Date]]-orders[[#This Row],[Order Date]]</f>
        <v>1</v>
      </c>
      <c r="N1134" s="1">
        <f>WEEKNUM(orders[[#This Row],[Order Date]])</f>
        <v>7</v>
      </c>
      <c r="O1134" s="1" t="str" cm="1">
        <f t="array" ref="O1134">_xlfn.IFS(orders[[#This Row],[Customer Gender]]="M","Male", orders[[#This Row],[Customer Gender]]="F","Female", orders[[#This Row],[Customer Gender]]="O","Other", TRUE,"Unknown")</f>
        <v>Female</v>
      </c>
    </row>
    <row r="1135" spans="1:15">
      <c r="A1135" s="1" t="s">
        <v>1232</v>
      </c>
      <c r="B1135" s="1" t="s">
        <v>22</v>
      </c>
      <c r="C1135" s="1">
        <v>4</v>
      </c>
      <c r="D1135" s="1">
        <v>31.4</v>
      </c>
      <c r="E1135" s="11">
        <v>125.6</v>
      </c>
      <c r="F1135" s="3">
        <v>45702</v>
      </c>
      <c r="G1135" s="3">
        <v>45703</v>
      </c>
      <c r="H1135" s="1" t="s">
        <v>27</v>
      </c>
      <c r="I1135" s="1" t="s">
        <v>35</v>
      </c>
      <c r="J1135" s="1">
        <v>4</v>
      </c>
      <c r="K1135" s="1" t="s">
        <v>19</v>
      </c>
      <c r="L1135" s="1" t="s">
        <v>72</v>
      </c>
      <c r="M1135" s="1">
        <f>orders[[#This Row],[Ship Date]]-orders[[#This Row],[Order Date]]</f>
        <v>1</v>
      </c>
      <c r="N1135" s="1">
        <f>WEEKNUM(orders[[#This Row],[Order Date]])</f>
        <v>7</v>
      </c>
      <c r="O1135" s="1" t="str" cm="1">
        <f t="array" ref="O1135">_xlfn.IFS(orders[[#This Row],[Customer Gender]]="M","Male", orders[[#This Row],[Customer Gender]]="F","Female", orders[[#This Row],[Customer Gender]]="O","Other", TRUE,"Unknown")</f>
        <v>Female</v>
      </c>
    </row>
    <row r="1136" spans="1:15">
      <c r="A1136" s="1" t="s">
        <v>1233</v>
      </c>
      <c r="B1136" s="1" t="s">
        <v>39</v>
      </c>
      <c r="C1136" s="1">
        <v>1</v>
      </c>
      <c r="D1136" s="1">
        <v>94</v>
      </c>
      <c r="E1136" s="11">
        <v>94</v>
      </c>
      <c r="F1136" s="3">
        <v>45702</v>
      </c>
      <c r="G1136" s="3">
        <v>45702</v>
      </c>
      <c r="H1136" s="1" t="s">
        <v>27</v>
      </c>
      <c r="I1136" s="1" t="s">
        <v>35</v>
      </c>
      <c r="J1136" s="1">
        <v>5</v>
      </c>
      <c r="K1136" s="1" t="s">
        <v>19</v>
      </c>
      <c r="L1136" s="1" t="s">
        <v>74</v>
      </c>
      <c r="M1136" s="1">
        <f>orders[[#This Row],[Ship Date]]-orders[[#This Row],[Order Date]]</f>
        <v>0</v>
      </c>
      <c r="N1136" s="1">
        <f>WEEKNUM(orders[[#This Row],[Order Date]])</f>
        <v>7</v>
      </c>
      <c r="O1136" s="1" t="str" cm="1">
        <f t="array" ref="O1136">_xlfn.IFS(orders[[#This Row],[Customer Gender]]="M","Male", orders[[#This Row],[Customer Gender]]="F","Female", orders[[#This Row],[Customer Gender]]="O","Other", TRUE,"Unknown")</f>
        <v>Female</v>
      </c>
    </row>
    <row r="1137" spans="1:15">
      <c r="A1137" s="1" t="s">
        <v>1234</v>
      </c>
      <c r="B1137" s="1" t="s">
        <v>54</v>
      </c>
      <c r="C1137" s="1">
        <v>1</v>
      </c>
      <c r="D1137" s="1">
        <v>22.3</v>
      </c>
      <c r="E1137" s="11">
        <v>22.3</v>
      </c>
      <c r="F1137" s="3">
        <v>45702</v>
      </c>
      <c r="G1137" s="3">
        <v>45703</v>
      </c>
      <c r="H1137" s="1" t="s">
        <v>23</v>
      </c>
      <c r="I1137" s="1" t="s">
        <v>70</v>
      </c>
      <c r="J1137" s="1">
        <v>4</v>
      </c>
      <c r="K1137" s="1" t="s">
        <v>19</v>
      </c>
      <c r="L1137" s="1" t="s">
        <v>113</v>
      </c>
      <c r="M1137" s="1">
        <f>orders[[#This Row],[Ship Date]]-orders[[#This Row],[Order Date]]</f>
        <v>1</v>
      </c>
      <c r="N1137" s="1">
        <f>WEEKNUM(orders[[#This Row],[Order Date]])</f>
        <v>7</v>
      </c>
      <c r="O1137" s="1" t="str" cm="1">
        <f t="array" ref="O1137">_xlfn.IFS(orders[[#This Row],[Customer Gender]]="M","Male", orders[[#This Row],[Customer Gender]]="F","Female", orders[[#This Row],[Customer Gender]]="O","Other", TRUE,"Unknown")</f>
        <v>Male</v>
      </c>
    </row>
    <row r="1138" spans="1:15">
      <c r="A1138" s="1" t="s">
        <v>1235</v>
      </c>
      <c r="B1138" s="1" t="s">
        <v>16</v>
      </c>
      <c r="C1138" s="1">
        <v>1</v>
      </c>
      <c r="D1138" s="1">
        <v>21.9</v>
      </c>
      <c r="E1138" s="11">
        <v>21.9</v>
      </c>
      <c r="F1138" s="3">
        <v>45702</v>
      </c>
      <c r="G1138" s="3">
        <v>45705</v>
      </c>
      <c r="H1138" s="1" t="s">
        <v>27</v>
      </c>
      <c r="I1138" s="1" t="s">
        <v>40</v>
      </c>
      <c r="J1138" s="1">
        <v>4</v>
      </c>
      <c r="K1138" s="1" t="s">
        <v>19</v>
      </c>
      <c r="L1138" s="1" t="s">
        <v>115</v>
      </c>
      <c r="M1138" s="1">
        <f>orders[[#This Row],[Ship Date]]-orders[[#This Row],[Order Date]]</f>
        <v>3</v>
      </c>
      <c r="N1138" s="1">
        <f>WEEKNUM(orders[[#This Row],[Order Date]])</f>
        <v>7</v>
      </c>
      <c r="O1138" s="1" t="str" cm="1">
        <f t="array" ref="O1138">_xlfn.IFS(orders[[#This Row],[Customer Gender]]="M","Male", orders[[#This Row],[Customer Gender]]="F","Female", orders[[#This Row],[Customer Gender]]="O","Other", TRUE,"Unknown")</f>
        <v>Female</v>
      </c>
    </row>
    <row r="1139" spans="1:15">
      <c r="A1139" s="1" t="s">
        <v>1236</v>
      </c>
      <c r="B1139" s="1" t="s">
        <v>135</v>
      </c>
      <c r="C1139" s="1">
        <v>3</v>
      </c>
      <c r="D1139" s="1">
        <v>27</v>
      </c>
      <c r="E1139" s="11">
        <v>81</v>
      </c>
      <c r="F1139" s="3">
        <v>45702</v>
      </c>
      <c r="G1139" s="3">
        <v>45704</v>
      </c>
      <c r="H1139" s="1" t="s">
        <v>27</v>
      </c>
      <c r="I1139" s="1" t="s">
        <v>70</v>
      </c>
      <c r="J1139" s="1">
        <v>5</v>
      </c>
      <c r="K1139" s="1" t="s">
        <v>19</v>
      </c>
      <c r="L1139" s="1" t="s">
        <v>28</v>
      </c>
      <c r="M1139" s="1">
        <f>orders[[#This Row],[Ship Date]]-orders[[#This Row],[Order Date]]</f>
        <v>2</v>
      </c>
      <c r="N1139" s="1">
        <f>WEEKNUM(orders[[#This Row],[Order Date]])</f>
        <v>7</v>
      </c>
      <c r="O1139" s="1" t="str" cm="1">
        <f t="array" ref="O1139">_xlfn.IFS(orders[[#This Row],[Customer Gender]]="M","Male", orders[[#This Row],[Customer Gender]]="F","Female", orders[[#This Row],[Customer Gender]]="O","Other", TRUE,"Unknown")</f>
        <v>Female</v>
      </c>
    </row>
    <row r="1140" spans="1:15">
      <c r="A1140" s="1" t="s">
        <v>1237</v>
      </c>
      <c r="B1140" s="1" t="s">
        <v>26</v>
      </c>
      <c r="C1140" s="1">
        <v>4</v>
      </c>
      <c r="D1140" s="1">
        <v>149.6</v>
      </c>
      <c r="E1140" s="11">
        <v>598.4</v>
      </c>
      <c r="F1140" s="3">
        <v>45702</v>
      </c>
      <c r="G1140" s="3">
        <v>45702</v>
      </c>
      <c r="H1140" s="1" t="s">
        <v>27</v>
      </c>
      <c r="I1140" s="1" t="s">
        <v>70</v>
      </c>
      <c r="J1140" s="1">
        <v>4</v>
      </c>
      <c r="K1140" s="1" t="s">
        <v>19</v>
      </c>
      <c r="L1140" s="1" t="s">
        <v>147</v>
      </c>
      <c r="M1140" s="1">
        <f>orders[[#This Row],[Ship Date]]-orders[[#This Row],[Order Date]]</f>
        <v>0</v>
      </c>
      <c r="N1140" s="1">
        <f>WEEKNUM(orders[[#This Row],[Order Date]])</f>
        <v>7</v>
      </c>
      <c r="O1140" s="1" t="str" cm="1">
        <f t="array" ref="O1140">_xlfn.IFS(orders[[#This Row],[Customer Gender]]="M","Male", orders[[#This Row],[Customer Gender]]="F","Female", orders[[#This Row],[Customer Gender]]="O","Other", TRUE,"Unknown")</f>
        <v>Female</v>
      </c>
    </row>
    <row r="1141" spans="1:15">
      <c r="A1141" s="1" t="s">
        <v>1238</v>
      </c>
      <c r="B1141" s="1" t="s">
        <v>26</v>
      </c>
      <c r="C1141" s="1">
        <v>4</v>
      </c>
      <c r="D1141" s="1">
        <v>129.1</v>
      </c>
      <c r="E1141" s="11">
        <v>516.4</v>
      </c>
      <c r="F1141" s="3">
        <v>45702</v>
      </c>
      <c r="G1141" s="3">
        <v>45712</v>
      </c>
      <c r="H1141" s="1" t="s">
        <v>23</v>
      </c>
      <c r="I1141" s="1" t="s">
        <v>18</v>
      </c>
      <c r="J1141" s="1">
        <v>3</v>
      </c>
      <c r="K1141" s="1" t="s">
        <v>19</v>
      </c>
      <c r="L1141" s="1" t="s">
        <v>33</v>
      </c>
      <c r="M1141" s="1">
        <f>orders[[#This Row],[Ship Date]]-orders[[#This Row],[Order Date]]</f>
        <v>10</v>
      </c>
      <c r="N1141" s="1">
        <f>WEEKNUM(orders[[#This Row],[Order Date]])</f>
        <v>7</v>
      </c>
      <c r="O1141" s="1" t="str" cm="1">
        <f t="array" ref="O1141">_xlfn.IFS(orders[[#This Row],[Customer Gender]]="M","Male", orders[[#This Row],[Customer Gender]]="F","Female", orders[[#This Row],[Customer Gender]]="O","Other", TRUE,"Unknown")</f>
        <v>Male</v>
      </c>
    </row>
    <row r="1142" spans="1:15">
      <c r="A1142" s="1" t="s">
        <v>1239</v>
      </c>
      <c r="B1142" s="1" t="s">
        <v>22</v>
      </c>
      <c r="C1142" s="1">
        <v>12</v>
      </c>
      <c r="D1142" s="1">
        <v>40.4</v>
      </c>
      <c r="E1142" s="11">
        <v>484.79999999999995</v>
      </c>
      <c r="F1142" s="3">
        <v>45702</v>
      </c>
      <c r="G1142" s="3">
        <v>45703</v>
      </c>
      <c r="H1142" s="1" t="s">
        <v>23</v>
      </c>
      <c r="I1142" s="1" t="s">
        <v>35</v>
      </c>
      <c r="J1142" s="1">
        <v>3</v>
      </c>
      <c r="K1142" s="1" t="s">
        <v>19</v>
      </c>
      <c r="L1142" s="1" t="s">
        <v>33</v>
      </c>
      <c r="M1142" s="1">
        <f>orders[[#This Row],[Ship Date]]-orders[[#This Row],[Order Date]]</f>
        <v>1</v>
      </c>
      <c r="N1142" s="1">
        <f>WEEKNUM(orders[[#This Row],[Order Date]])</f>
        <v>7</v>
      </c>
      <c r="O1142" s="1" t="str" cm="1">
        <f t="array" ref="O1142">_xlfn.IFS(orders[[#This Row],[Customer Gender]]="M","Male", orders[[#This Row],[Customer Gender]]="F","Female", orders[[#This Row],[Customer Gender]]="O","Other", TRUE,"Unknown")</f>
        <v>Male</v>
      </c>
    </row>
    <row r="1143" spans="1:15">
      <c r="A1143" s="1" t="s">
        <v>1240</v>
      </c>
      <c r="B1143" s="1" t="s">
        <v>32</v>
      </c>
      <c r="C1143" s="1">
        <v>3</v>
      </c>
      <c r="D1143" s="1">
        <v>48.5</v>
      </c>
      <c r="E1143" s="11">
        <v>145.5</v>
      </c>
      <c r="F1143" s="3">
        <v>45702</v>
      </c>
      <c r="G1143" s="3">
        <v>45704</v>
      </c>
      <c r="H1143" s="1" t="s">
        <v>27</v>
      </c>
      <c r="I1143" s="1" t="s">
        <v>18</v>
      </c>
      <c r="J1143" s="1">
        <v>2</v>
      </c>
      <c r="K1143" s="1" t="s">
        <v>19</v>
      </c>
      <c r="L1143" s="1" t="s">
        <v>33</v>
      </c>
      <c r="M1143" s="1">
        <f>orders[[#This Row],[Ship Date]]-orders[[#This Row],[Order Date]]</f>
        <v>2</v>
      </c>
      <c r="N1143" s="1">
        <f>WEEKNUM(orders[[#This Row],[Order Date]])</f>
        <v>7</v>
      </c>
      <c r="O1143" s="1" t="str" cm="1">
        <f t="array" ref="O1143">_xlfn.IFS(orders[[#This Row],[Customer Gender]]="M","Male", orders[[#This Row],[Customer Gender]]="F","Female", orders[[#This Row],[Customer Gender]]="O","Other", TRUE,"Unknown")</f>
        <v>Female</v>
      </c>
    </row>
    <row r="1144" spans="1:15">
      <c r="A1144" s="1" t="s">
        <v>1241</v>
      </c>
      <c r="B1144" s="1" t="s">
        <v>46</v>
      </c>
      <c r="C1144" s="1">
        <v>2</v>
      </c>
      <c r="D1144" s="1">
        <v>37.6</v>
      </c>
      <c r="E1144" s="11">
        <v>75.2</v>
      </c>
      <c r="F1144" s="3">
        <v>45702</v>
      </c>
      <c r="G1144" s="3">
        <v>45704</v>
      </c>
      <c r="H1144" s="1" t="s">
        <v>27</v>
      </c>
      <c r="I1144" s="1" t="s">
        <v>35</v>
      </c>
      <c r="J1144" s="1">
        <v>5</v>
      </c>
      <c r="K1144" s="1" t="s">
        <v>19</v>
      </c>
      <c r="L1144" s="1" t="s">
        <v>33</v>
      </c>
      <c r="M1144" s="1">
        <f>orders[[#This Row],[Ship Date]]-orders[[#This Row],[Order Date]]</f>
        <v>2</v>
      </c>
      <c r="N1144" s="1">
        <f>WEEKNUM(orders[[#This Row],[Order Date]])</f>
        <v>7</v>
      </c>
      <c r="O1144" s="1" t="str" cm="1">
        <f t="array" ref="O1144">_xlfn.IFS(orders[[#This Row],[Customer Gender]]="M","Male", orders[[#This Row],[Customer Gender]]="F","Female", orders[[#This Row],[Customer Gender]]="O","Other", TRUE,"Unknown")</f>
        <v>Female</v>
      </c>
    </row>
    <row r="1145" spans="1:15">
      <c r="A1145" s="1" t="s">
        <v>1242</v>
      </c>
      <c r="B1145" s="1" t="s">
        <v>44</v>
      </c>
      <c r="C1145" s="1">
        <v>2</v>
      </c>
      <c r="D1145" s="1">
        <v>19.600000000000001</v>
      </c>
      <c r="E1145" s="11">
        <v>39.200000000000003</v>
      </c>
      <c r="F1145" s="3">
        <v>45702</v>
      </c>
      <c r="G1145" s="3">
        <v>45703</v>
      </c>
      <c r="H1145" s="1" t="s">
        <v>23</v>
      </c>
      <c r="I1145" s="1" t="s">
        <v>51</v>
      </c>
      <c r="J1145" s="1">
        <v>2</v>
      </c>
      <c r="K1145" s="1" t="s">
        <v>19</v>
      </c>
      <c r="L1145" s="1" t="s">
        <v>545</v>
      </c>
      <c r="M1145" s="1">
        <f>orders[[#This Row],[Ship Date]]-orders[[#This Row],[Order Date]]</f>
        <v>1</v>
      </c>
      <c r="N1145" s="1">
        <f>WEEKNUM(orders[[#This Row],[Order Date]])</f>
        <v>7</v>
      </c>
      <c r="O1145" s="1" t="str" cm="1">
        <f t="array" ref="O1145">_xlfn.IFS(orders[[#This Row],[Customer Gender]]="M","Male", orders[[#This Row],[Customer Gender]]="F","Female", orders[[#This Row],[Customer Gender]]="O","Other", TRUE,"Unknown")</f>
        <v>Male</v>
      </c>
    </row>
    <row r="1146" spans="1:15">
      <c r="A1146" s="1" t="s">
        <v>1243</v>
      </c>
      <c r="B1146" s="1" t="s">
        <v>44</v>
      </c>
      <c r="C1146" s="1">
        <v>5</v>
      </c>
      <c r="D1146" s="1">
        <v>18.5</v>
      </c>
      <c r="E1146" s="11">
        <v>92.5</v>
      </c>
      <c r="F1146" s="3">
        <v>45702</v>
      </c>
      <c r="G1146" s="3">
        <v>45703</v>
      </c>
      <c r="H1146" s="1" t="s">
        <v>27</v>
      </c>
      <c r="I1146" s="1" t="s">
        <v>40</v>
      </c>
      <c r="J1146" s="1">
        <v>3</v>
      </c>
      <c r="K1146" s="1" t="s">
        <v>19</v>
      </c>
      <c r="L1146" s="1" t="s">
        <v>55</v>
      </c>
      <c r="M1146" s="1">
        <f>orders[[#This Row],[Ship Date]]-orders[[#This Row],[Order Date]]</f>
        <v>1</v>
      </c>
      <c r="N1146" s="1">
        <f>WEEKNUM(orders[[#This Row],[Order Date]])</f>
        <v>7</v>
      </c>
      <c r="O1146" s="1" t="str" cm="1">
        <f t="array" ref="O1146">_xlfn.IFS(orders[[#This Row],[Customer Gender]]="M","Male", orders[[#This Row],[Customer Gender]]="F","Female", orders[[#This Row],[Customer Gender]]="O","Other", TRUE,"Unknown")</f>
        <v>Female</v>
      </c>
    </row>
    <row r="1147" spans="1:15">
      <c r="A1147" s="1" t="s">
        <v>1244</v>
      </c>
      <c r="B1147" s="1" t="s">
        <v>37</v>
      </c>
      <c r="C1147" s="1">
        <v>3</v>
      </c>
      <c r="D1147" s="1">
        <v>25.5</v>
      </c>
      <c r="E1147" s="11">
        <v>76.5</v>
      </c>
      <c r="F1147" s="3">
        <v>45702</v>
      </c>
      <c r="G1147" s="3">
        <v>45704</v>
      </c>
      <c r="H1147" s="1" t="s">
        <v>27</v>
      </c>
      <c r="I1147" s="1" t="s">
        <v>70</v>
      </c>
      <c r="J1147" s="1">
        <v>3</v>
      </c>
      <c r="K1147" s="1" t="s">
        <v>19</v>
      </c>
      <c r="L1147" s="1" t="s">
        <v>55</v>
      </c>
      <c r="M1147" s="1">
        <f>orders[[#This Row],[Ship Date]]-orders[[#This Row],[Order Date]]</f>
        <v>2</v>
      </c>
      <c r="N1147" s="1">
        <f>WEEKNUM(orders[[#This Row],[Order Date]])</f>
        <v>7</v>
      </c>
      <c r="O1147" s="1" t="str" cm="1">
        <f t="array" ref="O1147">_xlfn.IFS(orders[[#This Row],[Customer Gender]]="M","Male", orders[[#This Row],[Customer Gender]]="F","Female", orders[[#This Row],[Customer Gender]]="O","Other", TRUE,"Unknown")</f>
        <v>Female</v>
      </c>
    </row>
    <row r="1148" spans="1:15">
      <c r="A1148" s="1" t="s">
        <v>1245</v>
      </c>
      <c r="B1148" s="1" t="s">
        <v>26</v>
      </c>
      <c r="C1148" s="1">
        <v>2</v>
      </c>
      <c r="D1148" s="1">
        <v>94.7</v>
      </c>
      <c r="E1148" s="11">
        <v>189.4</v>
      </c>
      <c r="F1148" s="3">
        <v>45702</v>
      </c>
      <c r="G1148" s="3">
        <v>45703</v>
      </c>
      <c r="H1148" s="1" t="s">
        <v>27</v>
      </c>
      <c r="I1148" s="1" t="s">
        <v>40</v>
      </c>
      <c r="J1148" s="1">
        <v>4</v>
      </c>
      <c r="K1148" s="1" t="s">
        <v>19</v>
      </c>
      <c r="L1148" s="1" t="s">
        <v>342</v>
      </c>
      <c r="M1148" s="1">
        <f>orders[[#This Row],[Ship Date]]-orders[[#This Row],[Order Date]]</f>
        <v>1</v>
      </c>
      <c r="N1148" s="1">
        <f>WEEKNUM(orders[[#This Row],[Order Date]])</f>
        <v>7</v>
      </c>
      <c r="O1148" s="1" t="str" cm="1">
        <f t="array" ref="O1148">_xlfn.IFS(orders[[#This Row],[Customer Gender]]="M","Male", orders[[#This Row],[Customer Gender]]="F","Female", orders[[#This Row],[Customer Gender]]="O","Other", TRUE,"Unknown")</f>
        <v>Female</v>
      </c>
    </row>
    <row r="1149" spans="1:15">
      <c r="A1149" s="1" t="s">
        <v>1246</v>
      </c>
      <c r="B1149" s="1" t="s">
        <v>22</v>
      </c>
      <c r="C1149" s="1">
        <v>6</v>
      </c>
      <c r="D1149" s="1">
        <v>38.799999999999997</v>
      </c>
      <c r="E1149" s="11">
        <v>232.79999999999998</v>
      </c>
      <c r="F1149" s="3">
        <v>45702</v>
      </c>
      <c r="G1149" s="3">
        <v>45707</v>
      </c>
      <c r="H1149" s="1" t="s">
        <v>27</v>
      </c>
      <c r="I1149" s="1" t="s">
        <v>40</v>
      </c>
      <c r="J1149" s="1">
        <v>5</v>
      </c>
      <c r="K1149" s="1" t="s">
        <v>19</v>
      </c>
      <c r="L1149" s="1" t="s">
        <v>62</v>
      </c>
      <c r="M1149" s="1">
        <f>orders[[#This Row],[Ship Date]]-orders[[#This Row],[Order Date]]</f>
        <v>5</v>
      </c>
      <c r="N1149" s="1">
        <f>WEEKNUM(orders[[#This Row],[Order Date]])</f>
        <v>7</v>
      </c>
      <c r="O1149" s="1" t="str" cm="1">
        <f t="array" ref="O1149">_xlfn.IFS(orders[[#This Row],[Customer Gender]]="M","Male", orders[[#This Row],[Customer Gender]]="F","Female", orders[[#This Row],[Customer Gender]]="O","Other", TRUE,"Unknown")</f>
        <v>Female</v>
      </c>
    </row>
    <row r="1150" spans="1:15">
      <c r="A1150" s="1" t="s">
        <v>1247</v>
      </c>
      <c r="B1150" s="1" t="s">
        <v>46</v>
      </c>
      <c r="C1150" s="1">
        <v>2</v>
      </c>
      <c r="D1150" s="1">
        <v>49.4</v>
      </c>
      <c r="E1150" s="11">
        <v>98.8</v>
      </c>
      <c r="F1150" s="3">
        <v>45703</v>
      </c>
      <c r="G1150" s="3">
        <v>45711</v>
      </c>
      <c r="H1150" s="1" t="s">
        <v>23</v>
      </c>
      <c r="I1150" s="1" t="s">
        <v>70</v>
      </c>
      <c r="J1150" s="1">
        <v>3</v>
      </c>
      <c r="K1150" s="1" t="s">
        <v>19</v>
      </c>
      <c r="L1150" s="1" t="s">
        <v>62</v>
      </c>
      <c r="M1150" s="1">
        <f>orders[[#This Row],[Ship Date]]-orders[[#This Row],[Order Date]]</f>
        <v>8</v>
      </c>
      <c r="N1150" s="1">
        <f>WEEKNUM(orders[[#This Row],[Order Date]])</f>
        <v>7</v>
      </c>
      <c r="O1150" s="1" t="str" cm="1">
        <f t="array" ref="O1150">_xlfn.IFS(orders[[#This Row],[Customer Gender]]="M","Male", orders[[#This Row],[Customer Gender]]="F","Female", orders[[#This Row],[Customer Gender]]="O","Other", TRUE,"Unknown")</f>
        <v>Male</v>
      </c>
    </row>
    <row r="1151" spans="1:15">
      <c r="A1151" s="1" t="s">
        <v>1248</v>
      </c>
      <c r="B1151" s="1" t="s">
        <v>42</v>
      </c>
      <c r="C1151" s="1">
        <v>3</v>
      </c>
      <c r="D1151" s="1">
        <v>68</v>
      </c>
      <c r="E1151" s="11">
        <v>204</v>
      </c>
      <c r="F1151" s="3">
        <v>45703</v>
      </c>
      <c r="G1151" s="3">
        <v>45706</v>
      </c>
      <c r="H1151" s="1" t="s">
        <v>23</v>
      </c>
      <c r="I1151" s="1" t="s">
        <v>18</v>
      </c>
      <c r="J1151" s="1">
        <v>5</v>
      </c>
      <c r="K1151" s="1" t="s">
        <v>19</v>
      </c>
      <c r="L1151" s="1" t="s">
        <v>62</v>
      </c>
      <c r="M1151" s="1">
        <f>orders[[#This Row],[Ship Date]]-orders[[#This Row],[Order Date]]</f>
        <v>3</v>
      </c>
      <c r="N1151" s="1">
        <f>WEEKNUM(orders[[#This Row],[Order Date]])</f>
        <v>7</v>
      </c>
      <c r="O1151" s="1" t="str" cm="1">
        <f t="array" ref="O1151">_xlfn.IFS(orders[[#This Row],[Customer Gender]]="M","Male", orders[[#This Row],[Customer Gender]]="F","Female", orders[[#This Row],[Customer Gender]]="O","Other", TRUE,"Unknown")</f>
        <v>Male</v>
      </c>
    </row>
    <row r="1152" spans="1:15">
      <c r="A1152" s="1" t="s">
        <v>1249</v>
      </c>
      <c r="B1152" s="1" t="s">
        <v>123</v>
      </c>
      <c r="C1152" s="1">
        <v>7</v>
      </c>
      <c r="D1152" s="1">
        <v>63.7</v>
      </c>
      <c r="E1152" s="11">
        <v>445.90000000000003</v>
      </c>
      <c r="F1152" s="3">
        <v>45703</v>
      </c>
      <c r="G1152" s="3">
        <v>45704</v>
      </c>
      <c r="H1152" s="1" t="s">
        <v>27</v>
      </c>
      <c r="I1152" s="1" t="s">
        <v>40</v>
      </c>
      <c r="J1152" s="1">
        <v>5</v>
      </c>
      <c r="K1152" s="1" t="s">
        <v>19</v>
      </c>
      <c r="L1152" s="1" t="s">
        <v>62</v>
      </c>
      <c r="M1152" s="1">
        <f>orders[[#This Row],[Ship Date]]-orders[[#This Row],[Order Date]]</f>
        <v>1</v>
      </c>
      <c r="N1152" s="1">
        <f>WEEKNUM(orders[[#This Row],[Order Date]])</f>
        <v>7</v>
      </c>
      <c r="O1152" s="1" t="str" cm="1">
        <f t="array" ref="O1152">_xlfn.IFS(orders[[#This Row],[Customer Gender]]="M","Male", orders[[#This Row],[Customer Gender]]="F","Female", orders[[#This Row],[Customer Gender]]="O","Other", TRUE,"Unknown")</f>
        <v>Female</v>
      </c>
    </row>
    <row r="1153" spans="1:15">
      <c r="A1153" s="1" t="s">
        <v>1250</v>
      </c>
      <c r="B1153" s="1" t="s">
        <v>54</v>
      </c>
      <c r="C1153" s="1">
        <v>2</v>
      </c>
      <c r="D1153" s="1">
        <v>66.2</v>
      </c>
      <c r="E1153" s="11">
        <v>132.4</v>
      </c>
      <c r="F1153" s="3">
        <v>45703</v>
      </c>
      <c r="G1153" s="3">
        <v>45704</v>
      </c>
      <c r="H1153" s="1" t="s">
        <v>27</v>
      </c>
      <c r="I1153" s="1" t="s">
        <v>70</v>
      </c>
      <c r="J1153" s="1">
        <v>5</v>
      </c>
      <c r="K1153" s="1" t="s">
        <v>19</v>
      </c>
      <c r="L1153" s="1" t="s">
        <v>103</v>
      </c>
      <c r="M1153" s="1">
        <f>orders[[#This Row],[Ship Date]]-orders[[#This Row],[Order Date]]</f>
        <v>1</v>
      </c>
      <c r="N1153" s="1">
        <f>WEEKNUM(orders[[#This Row],[Order Date]])</f>
        <v>7</v>
      </c>
      <c r="O1153" s="1" t="str" cm="1">
        <f t="array" ref="O1153">_xlfn.IFS(orders[[#This Row],[Customer Gender]]="M","Male", orders[[#This Row],[Customer Gender]]="F","Female", orders[[#This Row],[Customer Gender]]="O","Other", TRUE,"Unknown")</f>
        <v>Female</v>
      </c>
    </row>
    <row r="1154" spans="1:15">
      <c r="A1154" s="1" t="s">
        <v>1251</v>
      </c>
      <c r="B1154" s="1" t="s">
        <v>69</v>
      </c>
      <c r="C1154" s="1">
        <v>3</v>
      </c>
      <c r="D1154" s="1">
        <v>32.299999999999997</v>
      </c>
      <c r="E1154" s="11">
        <v>96.899999999999991</v>
      </c>
      <c r="F1154" s="3">
        <v>45703</v>
      </c>
      <c r="G1154" s="3">
        <v>45704</v>
      </c>
      <c r="H1154" s="1" t="s">
        <v>89</v>
      </c>
      <c r="I1154" s="1" t="s">
        <v>40</v>
      </c>
      <c r="J1154" s="1">
        <v>3</v>
      </c>
      <c r="K1154" s="1" t="s">
        <v>19</v>
      </c>
      <c r="L1154" s="1" t="s">
        <v>72</v>
      </c>
      <c r="M1154" s="1">
        <f>orders[[#This Row],[Ship Date]]-orders[[#This Row],[Order Date]]</f>
        <v>1</v>
      </c>
      <c r="N1154" s="1">
        <f>WEEKNUM(orders[[#This Row],[Order Date]])</f>
        <v>7</v>
      </c>
      <c r="O1154" s="1" t="str" cm="1">
        <f t="array" ref="O1154">_xlfn.IFS(orders[[#This Row],[Customer Gender]]="M","Male", orders[[#This Row],[Customer Gender]]="F","Female", orders[[#This Row],[Customer Gender]]="O","Other", TRUE,"Unknown")</f>
        <v>Other</v>
      </c>
    </row>
    <row r="1155" spans="1:15">
      <c r="A1155" s="1" t="s">
        <v>1252</v>
      </c>
      <c r="B1155" s="1" t="s">
        <v>32</v>
      </c>
      <c r="C1155" s="1">
        <v>2</v>
      </c>
      <c r="D1155" s="1">
        <v>66.900000000000006</v>
      </c>
      <c r="E1155" s="11">
        <v>133.80000000000001</v>
      </c>
      <c r="F1155" s="3">
        <v>45703</v>
      </c>
      <c r="G1155" s="3">
        <v>45706</v>
      </c>
      <c r="H1155" s="1" t="s">
        <v>23</v>
      </c>
      <c r="I1155" s="1" t="s">
        <v>35</v>
      </c>
      <c r="J1155" s="1">
        <v>4</v>
      </c>
      <c r="K1155" s="1" t="s">
        <v>19</v>
      </c>
      <c r="L1155" s="1" t="s">
        <v>77</v>
      </c>
      <c r="M1155" s="1">
        <f>orders[[#This Row],[Ship Date]]-orders[[#This Row],[Order Date]]</f>
        <v>3</v>
      </c>
      <c r="N1155" s="1">
        <f>WEEKNUM(orders[[#This Row],[Order Date]])</f>
        <v>7</v>
      </c>
      <c r="O1155" s="1" t="str" cm="1">
        <f t="array" ref="O1155">_xlfn.IFS(orders[[#This Row],[Customer Gender]]="M","Male", orders[[#This Row],[Customer Gender]]="F","Female", orders[[#This Row],[Customer Gender]]="O","Other", TRUE,"Unknown")</f>
        <v>Male</v>
      </c>
    </row>
    <row r="1156" spans="1:15">
      <c r="A1156" s="1" t="s">
        <v>1253</v>
      </c>
      <c r="B1156" s="1" t="s">
        <v>32</v>
      </c>
      <c r="C1156" s="1">
        <v>12</v>
      </c>
      <c r="D1156" s="1">
        <v>25.2</v>
      </c>
      <c r="E1156" s="11">
        <v>302.39999999999998</v>
      </c>
      <c r="F1156" s="3">
        <v>45703</v>
      </c>
      <c r="G1156" s="3">
        <v>45707</v>
      </c>
      <c r="H1156" s="1" t="s">
        <v>27</v>
      </c>
      <c r="I1156" s="1" t="s">
        <v>18</v>
      </c>
      <c r="J1156" s="1">
        <v>3</v>
      </c>
      <c r="K1156" s="1" t="s">
        <v>19</v>
      </c>
      <c r="L1156" s="1" t="s">
        <v>77</v>
      </c>
      <c r="M1156" s="1">
        <f>orders[[#This Row],[Ship Date]]-orders[[#This Row],[Order Date]]</f>
        <v>4</v>
      </c>
      <c r="N1156" s="1">
        <f>WEEKNUM(orders[[#This Row],[Order Date]])</f>
        <v>7</v>
      </c>
      <c r="O1156" s="1" t="str" cm="1">
        <f t="array" ref="O1156">_xlfn.IFS(orders[[#This Row],[Customer Gender]]="M","Male", orders[[#This Row],[Customer Gender]]="F","Female", orders[[#This Row],[Customer Gender]]="O","Other", TRUE,"Unknown")</f>
        <v>Female</v>
      </c>
    </row>
    <row r="1157" spans="1:15">
      <c r="A1157" s="1" t="s">
        <v>1254</v>
      </c>
      <c r="B1157" s="1" t="s">
        <v>54</v>
      </c>
      <c r="C1157" s="1">
        <v>6</v>
      </c>
      <c r="D1157" s="1">
        <v>29.5</v>
      </c>
      <c r="E1157" s="11">
        <v>177</v>
      </c>
      <c r="F1157" s="3">
        <v>45703</v>
      </c>
      <c r="G1157" s="3">
        <v>45704</v>
      </c>
      <c r="H1157" s="1" t="s">
        <v>23</v>
      </c>
      <c r="I1157" s="1" t="s">
        <v>40</v>
      </c>
      <c r="J1157" s="1">
        <v>4</v>
      </c>
      <c r="K1157" s="1" t="s">
        <v>19</v>
      </c>
      <c r="L1157" s="1" t="s">
        <v>77</v>
      </c>
      <c r="M1157" s="1">
        <f>orders[[#This Row],[Ship Date]]-orders[[#This Row],[Order Date]]</f>
        <v>1</v>
      </c>
      <c r="N1157" s="1">
        <f>WEEKNUM(orders[[#This Row],[Order Date]])</f>
        <v>7</v>
      </c>
      <c r="O1157" s="1" t="str" cm="1">
        <f t="array" ref="O1157">_xlfn.IFS(orders[[#This Row],[Customer Gender]]="M","Male", orders[[#This Row],[Customer Gender]]="F","Female", orders[[#This Row],[Customer Gender]]="O","Other", TRUE,"Unknown")</f>
        <v>Male</v>
      </c>
    </row>
    <row r="1158" spans="1:15">
      <c r="A1158" s="1" t="s">
        <v>1255</v>
      </c>
      <c r="B1158" s="1" t="s">
        <v>44</v>
      </c>
      <c r="C1158" s="1">
        <v>5</v>
      </c>
      <c r="D1158" s="1">
        <v>21.6</v>
      </c>
      <c r="E1158" s="11">
        <v>108</v>
      </c>
      <c r="F1158" s="3">
        <v>45703</v>
      </c>
      <c r="G1158" s="3">
        <v>45705</v>
      </c>
      <c r="H1158" s="1" t="s">
        <v>27</v>
      </c>
      <c r="I1158" s="1" t="s">
        <v>18</v>
      </c>
      <c r="J1158" s="1">
        <v>5</v>
      </c>
      <c r="K1158" s="1" t="s">
        <v>19</v>
      </c>
      <c r="L1158" s="1" t="s">
        <v>309</v>
      </c>
      <c r="M1158" s="1">
        <f>orders[[#This Row],[Ship Date]]-orders[[#This Row],[Order Date]]</f>
        <v>2</v>
      </c>
      <c r="N1158" s="1">
        <f>WEEKNUM(orders[[#This Row],[Order Date]])</f>
        <v>7</v>
      </c>
      <c r="O1158" s="1" t="str" cm="1">
        <f t="array" ref="O1158">_xlfn.IFS(orders[[#This Row],[Customer Gender]]="M","Male", orders[[#This Row],[Customer Gender]]="F","Female", orders[[#This Row],[Customer Gender]]="O","Other", TRUE,"Unknown")</f>
        <v>Female</v>
      </c>
    </row>
    <row r="1159" spans="1:15">
      <c r="A1159" s="1" t="s">
        <v>1256</v>
      </c>
      <c r="B1159" s="1" t="s">
        <v>69</v>
      </c>
      <c r="C1159" s="1">
        <v>3</v>
      </c>
      <c r="D1159" s="1">
        <v>69</v>
      </c>
      <c r="E1159" s="11">
        <v>207</v>
      </c>
      <c r="F1159" s="3">
        <v>45703</v>
      </c>
      <c r="G1159" s="3">
        <v>45704</v>
      </c>
      <c r="H1159" s="1" t="s">
        <v>27</v>
      </c>
      <c r="I1159" s="1" t="s">
        <v>18</v>
      </c>
      <c r="J1159" s="1">
        <v>4</v>
      </c>
      <c r="K1159" s="1" t="s">
        <v>19</v>
      </c>
      <c r="L1159" s="1" t="s">
        <v>108</v>
      </c>
      <c r="M1159" s="1">
        <f>orders[[#This Row],[Ship Date]]-orders[[#This Row],[Order Date]]</f>
        <v>1</v>
      </c>
      <c r="N1159" s="1">
        <f>WEEKNUM(orders[[#This Row],[Order Date]])</f>
        <v>7</v>
      </c>
      <c r="O1159" s="1" t="str" cm="1">
        <f t="array" ref="O1159">_xlfn.IFS(orders[[#This Row],[Customer Gender]]="M","Male", orders[[#This Row],[Customer Gender]]="F","Female", orders[[#This Row],[Customer Gender]]="O","Other", TRUE,"Unknown")</f>
        <v>Female</v>
      </c>
    </row>
    <row r="1160" spans="1:15">
      <c r="A1160" s="1" t="s">
        <v>1257</v>
      </c>
      <c r="B1160" s="1" t="s">
        <v>42</v>
      </c>
      <c r="C1160" s="1">
        <v>2</v>
      </c>
      <c r="D1160" s="1">
        <v>115</v>
      </c>
      <c r="E1160" s="11">
        <v>230</v>
      </c>
      <c r="F1160" s="3">
        <v>45703</v>
      </c>
      <c r="G1160" s="3">
        <v>45707</v>
      </c>
      <c r="H1160" s="1" t="s">
        <v>23</v>
      </c>
      <c r="I1160" s="1" t="s">
        <v>18</v>
      </c>
      <c r="J1160" s="1">
        <v>5</v>
      </c>
      <c r="K1160" s="1" t="s">
        <v>19</v>
      </c>
      <c r="L1160" s="1" t="s">
        <v>108</v>
      </c>
      <c r="M1160" s="1">
        <f>orders[[#This Row],[Ship Date]]-orders[[#This Row],[Order Date]]</f>
        <v>4</v>
      </c>
      <c r="N1160" s="1">
        <f>WEEKNUM(orders[[#This Row],[Order Date]])</f>
        <v>7</v>
      </c>
      <c r="O1160" s="1" t="str" cm="1">
        <f t="array" ref="O1160">_xlfn.IFS(orders[[#This Row],[Customer Gender]]="M","Male", orders[[#This Row],[Customer Gender]]="F","Female", orders[[#This Row],[Customer Gender]]="O","Other", TRUE,"Unknown")</f>
        <v>Male</v>
      </c>
    </row>
    <row r="1161" spans="1:15">
      <c r="A1161" s="1" t="s">
        <v>1258</v>
      </c>
      <c r="B1161" s="1" t="s">
        <v>26</v>
      </c>
      <c r="C1161" s="1">
        <v>2</v>
      </c>
      <c r="D1161" s="1">
        <v>109.3</v>
      </c>
      <c r="E1161" s="11">
        <v>218.6</v>
      </c>
      <c r="F1161" s="3">
        <v>45703</v>
      </c>
      <c r="G1161" s="3">
        <v>45705</v>
      </c>
      <c r="H1161" s="1" t="s">
        <v>17</v>
      </c>
      <c r="I1161" s="1" t="s">
        <v>51</v>
      </c>
      <c r="J1161" s="1">
        <v>3</v>
      </c>
      <c r="K1161" s="1" t="s">
        <v>19</v>
      </c>
      <c r="L1161" s="1" t="s">
        <v>110</v>
      </c>
      <c r="M1161" s="1">
        <f>orders[[#This Row],[Ship Date]]-orders[[#This Row],[Order Date]]</f>
        <v>2</v>
      </c>
      <c r="N1161" s="1">
        <f>WEEKNUM(orders[[#This Row],[Order Date]])</f>
        <v>7</v>
      </c>
      <c r="O1161" s="1" t="str" cm="1">
        <f t="array" ref="O1161">_xlfn.IFS(orders[[#This Row],[Customer Gender]]="M","Male", orders[[#This Row],[Customer Gender]]="F","Female", orders[[#This Row],[Customer Gender]]="O","Other", TRUE,"Unknown")</f>
        <v>Unknown</v>
      </c>
    </row>
    <row r="1162" spans="1:15">
      <c r="A1162" s="1" t="s">
        <v>1259</v>
      </c>
      <c r="B1162" s="1" t="s">
        <v>46</v>
      </c>
      <c r="C1162" s="1">
        <v>2</v>
      </c>
      <c r="D1162" s="1">
        <v>66.599999999999994</v>
      </c>
      <c r="E1162" s="11">
        <v>133.19999999999999</v>
      </c>
      <c r="F1162" s="3">
        <v>45703</v>
      </c>
      <c r="G1162" s="3">
        <v>45706</v>
      </c>
      <c r="H1162" s="1" t="s">
        <v>17</v>
      </c>
      <c r="I1162" s="1" t="s">
        <v>70</v>
      </c>
      <c r="J1162" s="1">
        <v>3</v>
      </c>
      <c r="K1162" s="1" t="s">
        <v>19</v>
      </c>
      <c r="L1162" s="1" t="s">
        <v>110</v>
      </c>
      <c r="M1162" s="1">
        <f>orders[[#This Row],[Ship Date]]-orders[[#This Row],[Order Date]]</f>
        <v>3</v>
      </c>
      <c r="N1162" s="1">
        <f>WEEKNUM(orders[[#This Row],[Order Date]])</f>
        <v>7</v>
      </c>
      <c r="O1162" s="1" t="str" cm="1">
        <f t="array" ref="O1162">_xlfn.IFS(orders[[#This Row],[Customer Gender]]="M","Male", orders[[#This Row],[Customer Gender]]="F","Female", orders[[#This Row],[Customer Gender]]="O","Other", TRUE,"Unknown")</f>
        <v>Unknown</v>
      </c>
    </row>
    <row r="1163" spans="1:15">
      <c r="A1163" s="1" t="s">
        <v>1260</v>
      </c>
      <c r="B1163" s="1" t="s">
        <v>69</v>
      </c>
      <c r="C1163" s="1">
        <v>5</v>
      </c>
      <c r="D1163" s="1">
        <v>47.7</v>
      </c>
      <c r="E1163" s="11">
        <v>238.5</v>
      </c>
      <c r="F1163" s="3">
        <v>45703</v>
      </c>
      <c r="G1163" s="3">
        <v>45704</v>
      </c>
      <c r="H1163" s="1" t="s">
        <v>23</v>
      </c>
      <c r="I1163" s="1" t="s">
        <v>51</v>
      </c>
      <c r="J1163" s="1">
        <v>5</v>
      </c>
      <c r="K1163" s="1" t="s">
        <v>19</v>
      </c>
      <c r="L1163" s="1" t="s">
        <v>115</v>
      </c>
      <c r="M1163" s="1">
        <f>orders[[#This Row],[Ship Date]]-orders[[#This Row],[Order Date]]</f>
        <v>1</v>
      </c>
      <c r="N1163" s="1">
        <f>WEEKNUM(orders[[#This Row],[Order Date]])</f>
        <v>7</v>
      </c>
      <c r="O1163" s="1" t="str" cm="1">
        <f t="array" ref="O1163">_xlfn.IFS(orders[[#This Row],[Customer Gender]]="M","Male", orders[[#This Row],[Customer Gender]]="F","Female", orders[[#This Row],[Customer Gender]]="O","Other", TRUE,"Unknown")</f>
        <v>Male</v>
      </c>
    </row>
    <row r="1164" spans="1:15">
      <c r="A1164" s="1" t="s">
        <v>1261</v>
      </c>
      <c r="B1164" s="1" t="s">
        <v>44</v>
      </c>
      <c r="C1164" s="1">
        <v>2</v>
      </c>
      <c r="D1164" s="1">
        <v>46</v>
      </c>
      <c r="E1164" s="11">
        <v>92</v>
      </c>
      <c r="F1164" s="3">
        <v>45703</v>
      </c>
      <c r="G1164" s="3">
        <v>45704</v>
      </c>
      <c r="H1164" s="1" t="s">
        <v>27</v>
      </c>
      <c r="I1164" s="1" t="s">
        <v>70</v>
      </c>
      <c r="J1164" s="1">
        <v>2</v>
      </c>
      <c r="K1164" s="1" t="s">
        <v>19</v>
      </c>
      <c r="L1164" s="1" t="s">
        <v>147</v>
      </c>
      <c r="M1164" s="1">
        <f>orders[[#This Row],[Ship Date]]-orders[[#This Row],[Order Date]]</f>
        <v>1</v>
      </c>
      <c r="N1164" s="1">
        <f>WEEKNUM(orders[[#This Row],[Order Date]])</f>
        <v>7</v>
      </c>
      <c r="O1164" s="1" t="str" cm="1">
        <f t="array" ref="O1164">_xlfn.IFS(orders[[#This Row],[Customer Gender]]="M","Male", orders[[#This Row],[Customer Gender]]="F","Female", orders[[#This Row],[Customer Gender]]="O","Other", TRUE,"Unknown")</f>
        <v>Female</v>
      </c>
    </row>
    <row r="1165" spans="1:15">
      <c r="A1165" s="1" t="s">
        <v>1262</v>
      </c>
      <c r="B1165" s="1" t="s">
        <v>22</v>
      </c>
      <c r="C1165" s="1">
        <v>6</v>
      </c>
      <c r="D1165" s="1">
        <v>39.299999999999997</v>
      </c>
      <c r="E1165" s="11">
        <v>235.79999999999998</v>
      </c>
      <c r="F1165" s="3">
        <v>45703</v>
      </c>
      <c r="G1165" s="3">
        <v>45705</v>
      </c>
      <c r="H1165" s="1" t="s">
        <v>23</v>
      </c>
      <c r="I1165" s="1" t="s">
        <v>51</v>
      </c>
      <c r="J1165" s="1">
        <v>5</v>
      </c>
      <c r="K1165" s="1" t="s">
        <v>19</v>
      </c>
      <c r="L1165" s="1" t="s">
        <v>33</v>
      </c>
      <c r="M1165" s="1">
        <f>orders[[#This Row],[Ship Date]]-orders[[#This Row],[Order Date]]</f>
        <v>2</v>
      </c>
      <c r="N1165" s="1">
        <f>WEEKNUM(orders[[#This Row],[Order Date]])</f>
        <v>7</v>
      </c>
      <c r="O1165" s="1" t="str" cm="1">
        <f t="array" ref="O1165">_xlfn.IFS(orders[[#This Row],[Customer Gender]]="M","Male", orders[[#This Row],[Customer Gender]]="F","Female", orders[[#This Row],[Customer Gender]]="O","Other", TRUE,"Unknown")</f>
        <v>Male</v>
      </c>
    </row>
    <row r="1166" spans="1:15">
      <c r="A1166" s="1" t="s">
        <v>1263</v>
      </c>
      <c r="B1166" s="1" t="s">
        <v>46</v>
      </c>
      <c r="C1166" s="1">
        <v>1</v>
      </c>
      <c r="D1166" s="1">
        <v>70.2</v>
      </c>
      <c r="E1166" s="11">
        <v>70.2</v>
      </c>
      <c r="F1166" s="3">
        <v>45703</v>
      </c>
      <c r="G1166" s="3">
        <v>45704</v>
      </c>
      <c r="H1166" s="1" t="s">
        <v>27</v>
      </c>
      <c r="I1166" s="1" t="s">
        <v>18</v>
      </c>
      <c r="J1166" s="1">
        <v>2</v>
      </c>
      <c r="K1166" s="1" t="s">
        <v>19</v>
      </c>
      <c r="L1166" s="1" t="s">
        <v>33</v>
      </c>
      <c r="M1166" s="1">
        <f>orders[[#This Row],[Ship Date]]-orders[[#This Row],[Order Date]]</f>
        <v>1</v>
      </c>
      <c r="N1166" s="1">
        <f>WEEKNUM(orders[[#This Row],[Order Date]])</f>
        <v>7</v>
      </c>
      <c r="O1166" s="1" t="str" cm="1">
        <f t="array" ref="O1166">_xlfn.IFS(orders[[#This Row],[Customer Gender]]="M","Male", orders[[#This Row],[Customer Gender]]="F","Female", orders[[#This Row],[Customer Gender]]="O","Other", TRUE,"Unknown")</f>
        <v>Female</v>
      </c>
    </row>
    <row r="1167" spans="1:15">
      <c r="A1167" s="1" t="s">
        <v>1264</v>
      </c>
      <c r="B1167" s="1" t="s">
        <v>30</v>
      </c>
      <c r="C1167" s="1">
        <v>4</v>
      </c>
      <c r="D1167" s="1">
        <v>71.5</v>
      </c>
      <c r="E1167" s="11">
        <v>286</v>
      </c>
      <c r="F1167" s="3">
        <v>45703</v>
      </c>
      <c r="G1167" s="3">
        <v>45703</v>
      </c>
      <c r="H1167" s="1" t="s">
        <v>27</v>
      </c>
      <c r="I1167" s="1" t="s">
        <v>35</v>
      </c>
      <c r="J1167" s="1">
        <v>5</v>
      </c>
      <c r="K1167" s="1" t="s">
        <v>19</v>
      </c>
      <c r="L1167" s="1" t="s">
        <v>33</v>
      </c>
      <c r="M1167" s="1">
        <f>orders[[#This Row],[Ship Date]]-orders[[#This Row],[Order Date]]</f>
        <v>0</v>
      </c>
      <c r="N1167" s="1">
        <f>WEEKNUM(orders[[#This Row],[Order Date]])</f>
        <v>7</v>
      </c>
      <c r="O1167" s="1" t="str" cm="1">
        <f t="array" ref="O1167">_xlfn.IFS(orders[[#This Row],[Customer Gender]]="M","Male", orders[[#This Row],[Customer Gender]]="F","Female", orders[[#This Row],[Customer Gender]]="O","Other", TRUE,"Unknown")</f>
        <v>Female</v>
      </c>
    </row>
    <row r="1168" spans="1:15">
      <c r="A1168" s="1" t="s">
        <v>1265</v>
      </c>
      <c r="B1168" s="1" t="s">
        <v>54</v>
      </c>
      <c r="C1168" s="1">
        <v>7</v>
      </c>
      <c r="D1168" s="1">
        <v>31</v>
      </c>
      <c r="E1168" s="11">
        <v>217</v>
      </c>
      <c r="F1168" s="3">
        <v>45703</v>
      </c>
      <c r="G1168" s="3">
        <v>45710</v>
      </c>
      <c r="H1168" s="1" t="s">
        <v>27</v>
      </c>
      <c r="I1168" s="1" t="s">
        <v>51</v>
      </c>
      <c r="J1168" s="1">
        <v>5</v>
      </c>
      <c r="K1168" s="1" t="s">
        <v>19</v>
      </c>
      <c r="L1168" s="1" t="s">
        <v>33</v>
      </c>
      <c r="M1168" s="1">
        <f>orders[[#This Row],[Ship Date]]-orders[[#This Row],[Order Date]]</f>
        <v>7</v>
      </c>
      <c r="N1168" s="1">
        <f>WEEKNUM(orders[[#This Row],[Order Date]])</f>
        <v>7</v>
      </c>
      <c r="O1168" s="1" t="str" cm="1">
        <f t="array" ref="O1168">_xlfn.IFS(orders[[#This Row],[Customer Gender]]="M","Male", orders[[#This Row],[Customer Gender]]="F","Female", orders[[#This Row],[Customer Gender]]="O","Other", TRUE,"Unknown")</f>
        <v>Female</v>
      </c>
    </row>
    <row r="1169" spans="1:15">
      <c r="A1169" s="1" t="s">
        <v>1266</v>
      </c>
      <c r="B1169" s="1" t="s">
        <v>26</v>
      </c>
      <c r="C1169" s="1">
        <v>5</v>
      </c>
      <c r="D1169" s="1">
        <v>68.2</v>
      </c>
      <c r="E1169" s="11">
        <v>341</v>
      </c>
      <c r="F1169" s="3">
        <v>45703</v>
      </c>
      <c r="G1169" s="3">
        <v>45708</v>
      </c>
      <c r="H1169" s="1" t="s">
        <v>27</v>
      </c>
      <c r="I1169" s="1" t="s">
        <v>18</v>
      </c>
      <c r="J1169" s="1">
        <v>5</v>
      </c>
      <c r="K1169" s="1" t="s">
        <v>19</v>
      </c>
      <c r="L1169" s="1" t="s">
        <v>33</v>
      </c>
      <c r="M1169" s="1">
        <f>orders[[#This Row],[Ship Date]]-orders[[#This Row],[Order Date]]</f>
        <v>5</v>
      </c>
      <c r="N1169" s="1">
        <f>WEEKNUM(orders[[#This Row],[Order Date]])</f>
        <v>7</v>
      </c>
      <c r="O1169" s="1" t="str" cm="1">
        <f t="array" ref="O1169">_xlfn.IFS(orders[[#This Row],[Customer Gender]]="M","Male", orders[[#This Row],[Customer Gender]]="F","Female", orders[[#This Row],[Customer Gender]]="O","Other", TRUE,"Unknown")</f>
        <v>Female</v>
      </c>
    </row>
    <row r="1170" spans="1:15">
      <c r="A1170" s="1" t="s">
        <v>1267</v>
      </c>
      <c r="B1170" s="1" t="s">
        <v>26</v>
      </c>
      <c r="C1170" s="1">
        <v>1</v>
      </c>
      <c r="D1170" s="1">
        <v>91.4</v>
      </c>
      <c r="E1170" s="11">
        <v>91.4</v>
      </c>
      <c r="F1170" s="3">
        <v>45703</v>
      </c>
      <c r="G1170" s="3">
        <v>45707</v>
      </c>
      <c r="H1170" s="1" t="s">
        <v>27</v>
      </c>
      <c r="I1170" s="1" t="s">
        <v>35</v>
      </c>
      <c r="J1170" s="1">
        <v>5</v>
      </c>
      <c r="K1170" s="1" t="s">
        <v>19</v>
      </c>
      <c r="L1170" s="1" t="s">
        <v>55</v>
      </c>
      <c r="M1170" s="1">
        <f>orders[[#This Row],[Ship Date]]-orders[[#This Row],[Order Date]]</f>
        <v>4</v>
      </c>
      <c r="N1170" s="1">
        <f>WEEKNUM(orders[[#This Row],[Order Date]])</f>
        <v>7</v>
      </c>
      <c r="O1170" s="1" t="str" cm="1">
        <f t="array" ref="O1170">_xlfn.IFS(orders[[#This Row],[Customer Gender]]="M","Male", orders[[#This Row],[Customer Gender]]="F","Female", orders[[#This Row],[Customer Gender]]="O","Other", TRUE,"Unknown")</f>
        <v>Female</v>
      </c>
    </row>
    <row r="1171" spans="1:15">
      <c r="A1171" s="1" t="s">
        <v>1268</v>
      </c>
      <c r="B1171" s="1" t="s">
        <v>39</v>
      </c>
      <c r="C1171" s="1">
        <v>10</v>
      </c>
      <c r="D1171" s="1">
        <v>112.9</v>
      </c>
      <c r="E1171" s="11">
        <v>1129</v>
      </c>
      <c r="F1171" s="3">
        <v>45703</v>
      </c>
      <c r="G1171" s="3">
        <v>45704</v>
      </c>
      <c r="H1171" s="1" t="s">
        <v>27</v>
      </c>
      <c r="I1171" s="1" t="s">
        <v>18</v>
      </c>
      <c r="J1171" s="1">
        <v>4</v>
      </c>
      <c r="K1171" s="1" t="s">
        <v>19</v>
      </c>
      <c r="L1171" s="1" t="s">
        <v>55</v>
      </c>
      <c r="M1171" s="1">
        <f>orders[[#This Row],[Ship Date]]-orders[[#This Row],[Order Date]]</f>
        <v>1</v>
      </c>
      <c r="N1171" s="1">
        <f>WEEKNUM(orders[[#This Row],[Order Date]])</f>
        <v>7</v>
      </c>
      <c r="O1171" s="1" t="str" cm="1">
        <f t="array" ref="O1171">_xlfn.IFS(orders[[#This Row],[Customer Gender]]="M","Male", orders[[#This Row],[Customer Gender]]="F","Female", orders[[#This Row],[Customer Gender]]="O","Other", TRUE,"Unknown")</f>
        <v>Female</v>
      </c>
    </row>
    <row r="1172" spans="1:15">
      <c r="A1172" s="1" t="s">
        <v>1269</v>
      </c>
      <c r="B1172" s="1" t="s">
        <v>135</v>
      </c>
      <c r="C1172" s="1">
        <v>9</v>
      </c>
      <c r="D1172" s="1">
        <v>33.700000000000003</v>
      </c>
      <c r="E1172" s="11">
        <v>303.3</v>
      </c>
      <c r="F1172" s="3">
        <v>45703</v>
      </c>
      <c r="G1172" s="3">
        <v>45704</v>
      </c>
      <c r="H1172" s="1" t="s">
        <v>27</v>
      </c>
      <c r="I1172" s="1" t="s">
        <v>35</v>
      </c>
      <c r="J1172" s="1">
        <v>5</v>
      </c>
      <c r="K1172" s="1" t="s">
        <v>19</v>
      </c>
      <c r="L1172" s="1" t="s">
        <v>62</v>
      </c>
      <c r="M1172" s="1">
        <f>orders[[#This Row],[Ship Date]]-orders[[#This Row],[Order Date]]</f>
        <v>1</v>
      </c>
      <c r="N1172" s="1">
        <f>WEEKNUM(orders[[#This Row],[Order Date]])</f>
        <v>7</v>
      </c>
      <c r="O1172" s="1" t="str" cm="1">
        <f t="array" ref="O1172">_xlfn.IFS(orders[[#This Row],[Customer Gender]]="M","Male", orders[[#This Row],[Customer Gender]]="F","Female", orders[[#This Row],[Customer Gender]]="O","Other", TRUE,"Unknown")</f>
        <v>Female</v>
      </c>
    </row>
    <row r="1173" spans="1:15">
      <c r="A1173" s="1" t="s">
        <v>1270</v>
      </c>
      <c r="B1173" s="1" t="s">
        <v>123</v>
      </c>
      <c r="C1173" s="1">
        <v>10</v>
      </c>
      <c r="D1173" s="1">
        <v>35.299999999999997</v>
      </c>
      <c r="E1173" s="11">
        <v>353</v>
      </c>
      <c r="F1173" s="3">
        <v>45703</v>
      </c>
      <c r="G1173" s="3">
        <v>45705</v>
      </c>
      <c r="H1173" s="1" t="s">
        <v>23</v>
      </c>
      <c r="I1173" s="1" t="s">
        <v>40</v>
      </c>
      <c r="J1173" s="1">
        <v>4</v>
      </c>
      <c r="K1173" s="1" t="s">
        <v>19</v>
      </c>
      <c r="L1173" s="1" t="s">
        <v>62</v>
      </c>
      <c r="M1173" s="1">
        <f>orders[[#This Row],[Ship Date]]-orders[[#This Row],[Order Date]]</f>
        <v>2</v>
      </c>
      <c r="N1173" s="1">
        <f>WEEKNUM(orders[[#This Row],[Order Date]])</f>
        <v>7</v>
      </c>
      <c r="O1173" s="1" t="str" cm="1">
        <f t="array" ref="O1173">_xlfn.IFS(orders[[#This Row],[Customer Gender]]="M","Male", orders[[#This Row],[Customer Gender]]="F","Female", orders[[#This Row],[Customer Gender]]="O","Other", TRUE,"Unknown")</f>
        <v>Male</v>
      </c>
    </row>
    <row r="1174" spans="1:15">
      <c r="A1174" s="1" t="s">
        <v>1271</v>
      </c>
      <c r="B1174" s="1" t="s">
        <v>146</v>
      </c>
      <c r="C1174" s="1">
        <v>3</v>
      </c>
      <c r="D1174" s="1">
        <v>45.6</v>
      </c>
      <c r="E1174" s="11">
        <v>136.80000000000001</v>
      </c>
      <c r="F1174" s="3">
        <v>45703</v>
      </c>
      <c r="G1174" s="3">
        <v>45707</v>
      </c>
      <c r="H1174" s="1" t="s">
        <v>23</v>
      </c>
      <c r="I1174" s="1" t="s">
        <v>51</v>
      </c>
      <c r="J1174" s="1">
        <v>4</v>
      </c>
      <c r="K1174" s="1" t="s">
        <v>19</v>
      </c>
      <c r="L1174" s="1" t="s">
        <v>62</v>
      </c>
      <c r="M1174" s="1">
        <f>orders[[#This Row],[Ship Date]]-orders[[#This Row],[Order Date]]</f>
        <v>4</v>
      </c>
      <c r="N1174" s="1">
        <f>WEEKNUM(orders[[#This Row],[Order Date]])</f>
        <v>7</v>
      </c>
      <c r="O1174" s="1" t="str" cm="1">
        <f t="array" ref="O1174">_xlfn.IFS(orders[[#This Row],[Customer Gender]]="M","Male", orders[[#This Row],[Customer Gender]]="F","Female", orders[[#This Row],[Customer Gender]]="O","Other", TRUE,"Unknown")</f>
        <v>Male</v>
      </c>
    </row>
    <row r="1175" spans="1:15">
      <c r="A1175" s="1" t="s">
        <v>1272</v>
      </c>
      <c r="B1175" s="1" t="s">
        <v>42</v>
      </c>
      <c r="C1175" s="1">
        <v>7</v>
      </c>
      <c r="D1175" s="1">
        <v>47.1</v>
      </c>
      <c r="E1175" s="11">
        <v>329.7</v>
      </c>
      <c r="F1175" s="3">
        <v>45703</v>
      </c>
      <c r="G1175" s="3">
        <v>45704</v>
      </c>
      <c r="H1175" s="1" t="s">
        <v>27</v>
      </c>
      <c r="I1175" s="1" t="s">
        <v>70</v>
      </c>
      <c r="J1175" s="1">
        <v>5</v>
      </c>
      <c r="K1175" s="1" t="s">
        <v>19</v>
      </c>
      <c r="L1175" s="1" t="s">
        <v>72</v>
      </c>
      <c r="M1175" s="1">
        <f>orders[[#This Row],[Ship Date]]-orders[[#This Row],[Order Date]]</f>
        <v>1</v>
      </c>
      <c r="N1175" s="1">
        <f>WEEKNUM(orders[[#This Row],[Order Date]])</f>
        <v>7</v>
      </c>
      <c r="O1175" s="1" t="str" cm="1">
        <f t="array" ref="O1175">_xlfn.IFS(orders[[#This Row],[Customer Gender]]="M","Male", orders[[#This Row],[Customer Gender]]="F","Female", orders[[#This Row],[Customer Gender]]="O","Other", TRUE,"Unknown")</f>
        <v>Female</v>
      </c>
    </row>
    <row r="1176" spans="1:15">
      <c r="A1176" s="1" t="s">
        <v>1273</v>
      </c>
      <c r="B1176" s="1" t="s">
        <v>44</v>
      </c>
      <c r="C1176" s="1">
        <v>5</v>
      </c>
      <c r="D1176" s="1">
        <v>16.2</v>
      </c>
      <c r="E1176" s="11">
        <v>81</v>
      </c>
      <c r="F1176" s="3">
        <v>45703</v>
      </c>
      <c r="G1176" s="3">
        <v>45705</v>
      </c>
      <c r="H1176" s="1" t="s">
        <v>27</v>
      </c>
      <c r="I1176" s="1" t="s">
        <v>51</v>
      </c>
      <c r="J1176" s="1">
        <v>5</v>
      </c>
      <c r="K1176" s="1" t="s">
        <v>19</v>
      </c>
      <c r="L1176" s="1" t="s">
        <v>110</v>
      </c>
      <c r="M1176" s="1">
        <f>orders[[#This Row],[Ship Date]]-orders[[#This Row],[Order Date]]</f>
        <v>2</v>
      </c>
      <c r="N1176" s="1">
        <f>WEEKNUM(orders[[#This Row],[Order Date]])</f>
        <v>7</v>
      </c>
      <c r="O1176" s="1" t="str" cm="1">
        <f t="array" ref="O1176">_xlfn.IFS(orders[[#This Row],[Customer Gender]]="M","Male", orders[[#This Row],[Customer Gender]]="F","Female", orders[[#This Row],[Customer Gender]]="O","Other", TRUE,"Unknown")</f>
        <v>Female</v>
      </c>
    </row>
    <row r="1177" spans="1:15">
      <c r="A1177" s="1" t="s">
        <v>1274</v>
      </c>
      <c r="B1177" s="1" t="s">
        <v>22</v>
      </c>
      <c r="C1177" s="1">
        <v>2</v>
      </c>
      <c r="D1177" s="1">
        <v>159.69999999999999</v>
      </c>
      <c r="E1177" s="11">
        <v>319.39999999999998</v>
      </c>
      <c r="F1177" s="3">
        <v>45704</v>
      </c>
      <c r="G1177" s="3">
        <v>45705</v>
      </c>
      <c r="H1177" s="1" t="s">
        <v>23</v>
      </c>
      <c r="I1177" s="1" t="s">
        <v>70</v>
      </c>
      <c r="J1177" s="1">
        <v>4</v>
      </c>
      <c r="K1177" s="1" t="s">
        <v>19</v>
      </c>
      <c r="L1177" s="1" t="s">
        <v>82</v>
      </c>
      <c r="M1177" s="1">
        <f>orders[[#This Row],[Ship Date]]-orders[[#This Row],[Order Date]]</f>
        <v>1</v>
      </c>
      <c r="N1177" s="1">
        <f>WEEKNUM(orders[[#This Row],[Order Date]])</f>
        <v>8</v>
      </c>
      <c r="O1177" s="1" t="str" cm="1">
        <f t="array" ref="O1177">_xlfn.IFS(orders[[#This Row],[Customer Gender]]="M","Male", orders[[#This Row],[Customer Gender]]="F","Female", orders[[#This Row],[Customer Gender]]="O","Other", TRUE,"Unknown")</f>
        <v>Male</v>
      </c>
    </row>
    <row r="1178" spans="1:15">
      <c r="A1178" s="1" t="s">
        <v>1275</v>
      </c>
      <c r="B1178" s="1" t="s">
        <v>44</v>
      </c>
      <c r="C1178" s="1">
        <v>4</v>
      </c>
      <c r="D1178" s="1">
        <v>19</v>
      </c>
      <c r="E1178" s="11">
        <v>76</v>
      </c>
      <c r="F1178" s="3">
        <v>45704</v>
      </c>
      <c r="G1178" s="3">
        <v>45711</v>
      </c>
      <c r="H1178" s="1" t="s">
        <v>27</v>
      </c>
      <c r="I1178" s="1" t="s">
        <v>40</v>
      </c>
      <c r="J1178" s="1">
        <v>5</v>
      </c>
      <c r="K1178" s="1" t="s">
        <v>19</v>
      </c>
      <c r="L1178" s="1" t="s">
        <v>115</v>
      </c>
      <c r="M1178" s="1">
        <f>orders[[#This Row],[Ship Date]]-orders[[#This Row],[Order Date]]</f>
        <v>7</v>
      </c>
      <c r="N1178" s="1">
        <f>WEEKNUM(orders[[#This Row],[Order Date]])</f>
        <v>8</v>
      </c>
      <c r="O1178" s="1" t="str" cm="1">
        <f t="array" ref="O1178">_xlfn.IFS(orders[[#This Row],[Customer Gender]]="M","Male", orders[[#This Row],[Customer Gender]]="F","Female", orders[[#This Row],[Customer Gender]]="O","Other", TRUE,"Unknown")</f>
        <v>Female</v>
      </c>
    </row>
    <row r="1179" spans="1:15">
      <c r="A1179" s="1" t="s">
        <v>1276</v>
      </c>
      <c r="B1179" s="1" t="s">
        <v>39</v>
      </c>
      <c r="C1179" s="1">
        <v>6</v>
      </c>
      <c r="D1179" s="1">
        <v>91.1</v>
      </c>
      <c r="E1179" s="11">
        <v>546.59999999999991</v>
      </c>
      <c r="F1179" s="3">
        <v>45704</v>
      </c>
      <c r="G1179" s="3">
        <v>45713</v>
      </c>
      <c r="H1179" s="1" t="s">
        <v>27</v>
      </c>
      <c r="I1179" s="1" t="s">
        <v>70</v>
      </c>
      <c r="J1179" s="1">
        <v>4</v>
      </c>
      <c r="K1179" s="1" t="s">
        <v>19</v>
      </c>
      <c r="L1179" s="1" t="s">
        <v>115</v>
      </c>
      <c r="M1179" s="1">
        <f>orders[[#This Row],[Ship Date]]-orders[[#This Row],[Order Date]]</f>
        <v>9</v>
      </c>
      <c r="N1179" s="1">
        <f>WEEKNUM(orders[[#This Row],[Order Date]])</f>
        <v>8</v>
      </c>
      <c r="O1179" s="1" t="str" cm="1">
        <f t="array" ref="O1179">_xlfn.IFS(orders[[#This Row],[Customer Gender]]="M","Male", orders[[#This Row],[Customer Gender]]="F","Female", orders[[#This Row],[Customer Gender]]="O","Other", TRUE,"Unknown")</f>
        <v>Female</v>
      </c>
    </row>
    <row r="1180" spans="1:15">
      <c r="A1180" s="1" t="s">
        <v>1277</v>
      </c>
      <c r="B1180" s="1" t="s">
        <v>26</v>
      </c>
      <c r="C1180" s="1">
        <v>5</v>
      </c>
      <c r="D1180" s="1">
        <v>94.1</v>
      </c>
      <c r="E1180" s="11">
        <v>470.5</v>
      </c>
      <c r="F1180" s="3">
        <v>45704</v>
      </c>
      <c r="G1180" s="3">
        <v>45707</v>
      </c>
      <c r="H1180" s="1" t="s">
        <v>17</v>
      </c>
      <c r="I1180" s="1" t="s">
        <v>35</v>
      </c>
      <c r="J1180" s="1">
        <v>3</v>
      </c>
      <c r="K1180" s="1" t="s">
        <v>19</v>
      </c>
      <c r="L1180" s="1" t="s">
        <v>115</v>
      </c>
      <c r="M1180" s="1">
        <f>orders[[#This Row],[Ship Date]]-orders[[#This Row],[Order Date]]</f>
        <v>3</v>
      </c>
      <c r="N1180" s="1">
        <f>WEEKNUM(orders[[#This Row],[Order Date]])</f>
        <v>8</v>
      </c>
      <c r="O1180" s="1" t="str" cm="1">
        <f t="array" ref="O1180">_xlfn.IFS(orders[[#This Row],[Customer Gender]]="M","Male", orders[[#This Row],[Customer Gender]]="F","Female", orders[[#This Row],[Customer Gender]]="O","Other", TRUE,"Unknown")</f>
        <v>Unknown</v>
      </c>
    </row>
    <row r="1181" spans="1:15">
      <c r="A1181" s="1" t="s">
        <v>1278</v>
      </c>
      <c r="B1181" s="1" t="s">
        <v>46</v>
      </c>
      <c r="C1181" s="1">
        <v>9</v>
      </c>
      <c r="D1181" s="1">
        <v>21.1</v>
      </c>
      <c r="E1181" s="11">
        <v>189.9</v>
      </c>
      <c r="F1181" s="3">
        <v>45704</v>
      </c>
      <c r="G1181" s="3">
        <v>45705</v>
      </c>
      <c r="H1181" s="1" t="s">
        <v>27</v>
      </c>
      <c r="I1181" s="1" t="s">
        <v>70</v>
      </c>
      <c r="J1181" s="1">
        <v>5</v>
      </c>
      <c r="K1181" s="1" t="s">
        <v>19</v>
      </c>
      <c r="L1181" s="1" t="s">
        <v>967</v>
      </c>
      <c r="M1181" s="1">
        <f>orders[[#This Row],[Ship Date]]-orders[[#This Row],[Order Date]]</f>
        <v>1</v>
      </c>
      <c r="N1181" s="1">
        <f>WEEKNUM(orders[[#This Row],[Order Date]])</f>
        <v>8</v>
      </c>
      <c r="O1181" s="1" t="str" cm="1">
        <f t="array" ref="O1181">_xlfn.IFS(orders[[#This Row],[Customer Gender]]="M","Male", orders[[#This Row],[Customer Gender]]="F","Female", orders[[#This Row],[Customer Gender]]="O","Other", TRUE,"Unknown")</f>
        <v>Female</v>
      </c>
    </row>
    <row r="1182" spans="1:15">
      <c r="A1182" s="1" t="s">
        <v>1279</v>
      </c>
      <c r="B1182" s="1" t="s">
        <v>44</v>
      </c>
      <c r="C1182" s="1">
        <v>7</v>
      </c>
      <c r="D1182" s="1">
        <v>15.3</v>
      </c>
      <c r="E1182" s="11">
        <v>107.10000000000001</v>
      </c>
      <c r="F1182" s="3">
        <v>45704</v>
      </c>
      <c r="G1182" s="3">
        <v>45712</v>
      </c>
      <c r="H1182" s="1" t="s">
        <v>27</v>
      </c>
      <c r="I1182" s="1" t="s">
        <v>40</v>
      </c>
      <c r="J1182" s="1">
        <v>4</v>
      </c>
      <c r="K1182" s="1" t="s">
        <v>19</v>
      </c>
      <c r="L1182" s="1" t="s">
        <v>24</v>
      </c>
      <c r="M1182" s="1">
        <f>orders[[#This Row],[Ship Date]]-orders[[#This Row],[Order Date]]</f>
        <v>8</v>
      </c>
      <c r="N1182" s="1">
        <f>WEEKNUM(orders[[#This Row],[Order Date]])</f>
        <v>8</v>
      </c>
      <c r="O1182" s="1" t="str" cm="1">
        <f t="array" ref="O1182">_xlfn.IFS(orders[[#This Row],[Customer Gender]]="M","Male", orders[[#This Row],[Customer Gender]]="F","Female", orders[[#This Row],[Customer Gender]]="O","Other", TRUE,"Unknown")</f>
        <v>Female</v>
      </c>
    </row>
    <row r="1183" spans="1:15">
      <c r="A1183" s="1" t="s">
        <v>1280</v>
      </c>
      <c r="B1183" s="1" t="s">
        <v>123</v>
      </c>
      <c r="C1183" s="1">
        <v>4</v>
      </c>
      <c r="D1183" s="1">
        <v>21.3</v>
      </c>
      <c r="E1183" s="11">
        <v>85.2</v>
      </c>
      <c r="F1183" s="3">
        <v>45704</v>
      </c>
      <c r="G1183" s="3">
        <v>45707</v>
      </c>
      <c r="H1183" s="1" t="s">
        <v>23</v>
      </c>
      <c r="I1183" s="1" t="s">
        <v>35</v>
      </c>
      <c r="J1183" s="1">
        <v>4</v>
      </c>
      <c r="K1183" s="1" t="s">
        <v>19</v>
      </c>
      <c r="L1183" s="1" t="s">
        <v>33</v>
      </c>
      <c r="M1183" s="1">
        <f>orders[[#This Row],[Ship Date]]-orders[[#This Row],[Order Date]]</f>
        <v>3</v>
      </c>
      <c r="N1183" s="1">
        <f>WEEKNUM(orders[[#This Row],[Order Date]])</f>
        <v>8</v>
      </c>
      <c r="O1183" s="1" t="str" cm="1">
        <f t="array" ref="O1183">_xlfn.IFS(orders[[#This Row],[Customer Gender]]="M","Male", orders[[#This Row],[Customer Gender]]="F","Female", orders[[#This Row],[Customer Gender]]="O","Other", TRUE,"Unknown")</f>
        <v>Male</v>
      </c>
    </row>
    <row r="1184" spans="1:15">
      <c r="A1184" s="1" t="s">
        <v>1281</v>
      </c>
      <c r="B1184" s="1" t="s">
        <v>16</v>
      </c>
      <c r="C1184" s="1">
        <v>2</v>
      </c>
      <c r="D1184" s="1">
        <v>23.2</v>
      </c>
      <c r="E1184" s="11">
        <v>46.4</v>
      </c>
      <c r="F1184" s="3">
        <v>45704</v>
      </c>
      <c r="G1184" s="3">
        <v>45704</v>
      </c>
      <c r="H1184" s="1" t="s">
        <v>17</v>
      </c>
      <c r="I1184" s="1" t="s">
        <v>51</v>
      </c>
      <c r="J1184" s="1">
        <v>3</v>
      </c>
      <c r="K1184" s="1" t="s">
        <v>19</v>
      </c>
      <c r="L1184" s="1" t="s">
        <v>33</v>
      </c>
      <c r="M1184" s="1">
        <f>orders[[#This Row],[Ship Date]]-orders[[#This Row],[Order Date]]</f>
        <v>0</v>
      </c>
      <c r="N1184" s="1">
        <f>WEEKNUM(orders[[#This Row],[Order Date]])</f>
        <v>8</v>
      </c>
      <c r="O1184" s="1" t="str" cm="1">
        <f t="array" ref="O1184">_xlfn.IFS(orders[[#This Row],[Customer Gender]]="M","Male", orders[[#This Row],[Customer Gender]]="F","Female", orders[[#This Row],[Customer Gender]]="O","Other", TRUE,"Unknown")</f>
        <v>Unknown</v>
      </c>
    </row>
    <row r="1185" spans="1:15">
      <c r="A1185" s="1" t="s">
        <v>1282</v>
      </c>
      <c r="B1185" s="1" t="s">
        <v>32</v>
      </c>
      <c r="C1185" s="1">
        <v>3</v>
      </c>
      <c r="D1185" s="1">
        <v>25.7</v>
      </c>
      <c r="E1185" s="11">
        <v>77.099999999999994</v>
      </c>
      <c r="F1185" s="3">
        <v>45704</v>
      </c>
      <c r="G1185" s="3">
        <v>45705</v>
      </c>
      <c r="H1185" s="1" t="s">
        <v>23</v>
      </c>
      <c r="I1185" s="1" t="s">
        <v>70</v>
      </c>
      <c r="J1185" s="1">
        <v>4</v>
      </c>
      <c r="K1185" s="1" t="s">
        <v>19</v>
      </c>
      <c r="L1185" s="1" t="s">
        <v>33</v>
      </c>
      <c r="M1185" s="1">
        <f>orders[[#This Row],[Ship Date]]-orders[[#This Row],[Order Date]]</f>
        <v>1</v>
      </c>
      <c r="N1185" s="1">
        <f>WEEKNUM(orders[[#This Row],[Order Date]])</f>
        <v>8</v>
      </c>
      <c r="O1185" s="1" t="str" cm="1">
        <f t="array" ref="O1185">_xlfn.IFS(orders[[#This Row],[Customer Gender]]="M","Male", orders[[#This Row],[Customer Gender]]="F","Female", orders[[#This Row],[Customer Gender]]="O","Other", TRUE,"Unknown")</f>
        <v>Male</v>
      </c>
    </row>
    <row r="1186" spans="1:15">
      <c r="A1186" s="1" t="s">
        <v>1283</v>
      </c>
      <c r="B1186" s="1" t="s">
        <v>16</v>
      </c>
      <c r="C1186" s="1">
        <v>9</v>
      </c>
      <c r="D1186" s="1">
        <v>31.6</v>
      </c>
      <c r="E1186" s="11">
        <v>284.40000000000003</v>
      </c>
      <c r="F1186" s="3">
        <v>45704</v>
      </c>
      <c r="G1186" s="3">
        <v>45706</v>
      </c>
      <c r="H1186" s="1" t="s">
        <v>27</v>
      </c>
      <c r="I1186" s="1" t="s">
        <v>18</v>
      </c>
      <c r="J1186" s="1">
        <v>4</v>
      </c>
      <c r="K1186" s="1" t="s">
        <v>19</v>
      </c>
      <c r="L1186" s="1" t="s">
        <v>33</v>
      </c>
      <c r="M1186" s="1">
        <f>orders[[#This Row],[Ship Date]]-orders[[#This Row],[Order Date]]</f>
        <v>2</v>
      </c>
      <c r="N1186" s="1">
        <f>WEEKNUM(orders[[#This Row],[Order Date]])</f>
        <v>8</v>
      </c>
      <c r="O1186" s="1" t="str" cm="1">
        <f t="array" ref="O1186">_xlfn.IFS(orders[[#This Row],[Customer Gender]]="M","Male", orders[[#This Row],[Customer Gender]]="F","Female", orders[[#This Row],[Customer Gender]]="O","Other", TRUE,"Unknown")</f>
        <v>Female</v>
      </c>
    </row>
    <row r="1187" spans="1:15">
      <c r="A1187" s="1" t="s">
        <v>1284</v>
      </c>
      <c r="B1187" s="1" t="s">
        <v>39</v>
      </c>
      <c r="C1187" s="1">
        <v>1</v>
      </c>
      <c r="D1187" s="1">
        <v>64.2</v>
      </c>
      <c r="E1187" s="11">
        <v>64.2</v>
      </c>
      <c r="F1187" s="3">
        <v>45704</v>
      </c>
      <c r="G1187" s="3">
        <v>45709</v>
      </c>
      <c r="H1187" s="1" t="s">
        <v>23</v>
      </c>
      <c r="I1187" s="1" t="s">
        <v>18</v>
      </c>
      <c r="J1187" s="1">
        <v>4</v>
      </c>
      <c r="K1187" s="1" t="s">
        <v>19</v>
      </c>
      <c r="L1187" s="1" t="s">
        <v>33</v>
      </c>
      <c r="M1187" s="1">
        <f>orders[[#This Row],[Ship Date]]-orders[[#This Row],[Order Date]]</f>
        <v>5</v>
      </c>
      <c r="N1187" s="1">
        <f>WEEKNUM(orders[[#This Row],[Order Date]])</f>
        <v>8</v>
      </c>
      <c r="O1187" s="1" t="str" cm="1">
        <f t="array" ref="O1187">_xlfn.IFS(orders[[#This Row],[Customer Gender]]="M","Male", orders[[#This Row],[Customer Gender]]="F","Female", orders[[#This Row],[Customer Gender]]="O","Other", TRUE,"Unknown")</f>
        <v>Male</v>
      </c>
    </row>
    <row r="1188" spans="1:15">
      <c r="A1188" s="1" t="s">
        <v>1285</v>
      </c>
      <c r="B1188" s="1" t="s">
        <v>44</v>
      </c>
      <c r="C1188" s="1">
        <v>2</v>
      </c>
      <c r="D1188" s="1">
        <v>55.8</v>
      </c>
      <c r="E1188" s="11">
        <v>111.6</v>
      </c>
      <c r="F1188" s="3">
        <v>45704</v>
      </c>
      <c r="G1188" s="3">
        <v>45706</v>
      </c>
      <c r="H1188" s="1" t="s">
        <v>17</v>
      </c>
      <c r="I1188" s="1" t="s">
        <v>18</v>
      </c>
      <c r="J1188" s="1">
        <v>4</v>
      </c>
      <c r="K1188" s="1" t="s">
        <v>19</v>
      </c>
      <c r="L1188" s="1" t="s">
        <v>33</v>
      </c>
      <c r="M1188" s="1">
        <f>orders[[#This Row],[Ship Date]]-orders[[#This Row],[Order Date]]</f>
        <v>2</v>
      </c>
      <c r="N1188" s="1">
        <f>WEEKNUM(orders[[#This Row],[Order Date]])</f>
        <v>8</v>
      </c>
      <c r="O1188" s="1" t="str" cm="1">
        <f t="array" ref="O1188">_xlfn.IFS(orders[[#This Row],[Customer Gender]]="M","Male", orders[[#This Row],[Customer Gender]]="F","Female", orders[[#This Row],[Customer Gender]]="O","Other", TRUE,"Unknown")</f>
        <v>Unknown</v>
      </c>
    </row>
    <row r="1189" spans="1:15">
      <c r="A1189" s="1" t="s">
        <v>1286</v>
      </c>
      <c r="B1189" s="1" t="s">
        <v>44</v>
      </c>
      <c r="C1189" s="1">
        <v>2</v>
      </c>
      <c r="D1189" s="1">
        <v>28.1</v>
      </c>
      <c r="E1189" s="11">
        <v>56.2</v>
      </c>
      <c r="F1189" s="3">
        <v>45704</v>
      </c>
      <c r="G1189" s="3">
        <v>45705</v>
      </c>
      <c r="H1189" s="1" t="s">
        <v>27</v>
      </c>
      <c r="I1189" s="1" t="s">
        <v>70</v>
      </c>
      <c r="J1189" s="1">
        <v>3</v>
      </c>
      <c r="K1189" s="1" t="s">
        <v>19</v>
      </c>
      <c r="L1189" s="1" t="s">
        <v>33</v>
      </c>
      <c r="M1189" s="1">
        <f>orders[[#This Row],[Ship Date]]-orders[[#This Row],[Order Date]]</f>
        <v>1</v>
      </c>
      <c r="N1189" s="1">
        <f>WEEKNUM(orders[[#This Row],[Order Date]])</f>
        <v>8</v>
      </c>
      <c r="O1189" s="1" t="str" cm="1">
        <f t="array" ref="O1189">_xlfn.IFS(orders[[#This Row],[Customer Gender]]="M","Male", orders[[#This Row],[Customer Gender]]="F","Female", orders[[#This Row],[Customer Gender]]="O","Other", TRUE,"Unknown")</f>
        <v>Female</v>
      </c>
    </row>
    <row r="1190" spans="1:15">
      <c r="A1190" s="1" t="s">
        <v>1287</v>
      </c>
      <c r="B1190" s="1" t="s">
        <v>16</v>
      </c>
      <c r="C1190" s="1">
        <v>2</v>
      </c>
      <c r="D1190" s="1">
        <v>11.6</v>
      </c>
      <c r="E1190" s="11">
        <v>23.2</v>
      </c>
      <c r="F1190" s="3">
        <v>45704</v>
      </c>
      <c r="G1190" s="3">
        <v>45706</v>
      </c>
      <c r="H1190" s="1" t="s">
        <v>27</v>
      </c>
      <c r="I1190" s="1" t="s">
        <v>35</v>
      </c>
      <c r="J1190" s="1">
        <v>4</v>
      </c>
      <c r="K1190" s="1" t="s">
        <v>19</v>
      </c>
      <c r="L1190" s="1" t="s">
        <v>186</v>
      </c>
      <c r="M1190" s="1">
        <f>orders[[#This Row],[Ship Date]]-orders[[#This Row],[Order Date]]</f>
        <v>2</v>
      </c>
      <c r="N1190" s="1">
        <f>WEEKNUM(orders[[#This Row],[Order Date]])</f>
        <v>8</v>
      </c>
      <c r="O1190" s="1" t="str" cm="1">
        <f t="array" ref="O1190">_xlfn.IFS(orders[[#This Row],[Customer Gender]]="M","Male", orders[[#This Row],[Customer Gender]]="F","Female", orders[[#This Row],[Customer Gender]]="O","Other", TRUE,"Unknown")</f>
        <v>Female</v>
      </c>
    </row>
    <row r="1191" spans="1:15">
      <c r="A1191" s="1" t="s">
        <v>1288</v>
      </c>
      <c r="B1191" s="1" t="s">
        <v>37</v>
      </c>
      <c r="C1191" s="1">
        <v>3</v>
      </c>
      <c r="D1191" s="1">
        <v>50.4</v>
      </c>
      <c r="E1191" s="11">
        <v>151.19999999999999</v>
      </c>
      <c r="F1191" s="3">
        <v>45704</v>
      </c>
      <c r="G1191" s="3">
        <v>45705</v>
      </c>
      <c r="H1191" s="1" t="s">
        <v>23</v>
      </c>
      <c r="I1191" s="1" t="s">
        <v>70</v>
      </c>
      <c r="J1191" s="1">
        <v>5</v>
      </c>
      <c r="K1191" s="1" t="s">
        <v>19</v>
      </c>
      <c r="L1191" s="1" t="s">
        <v>188</v>
      </c>
      <c r="M1191" s="1">
        <f>orders[[#This Row],[Ship Date]]-orders[[#This Row],[Order Date]]</f>
        <v>1</v>
      </c>
      <c r="N1191" s="1">
        <f>WEEKNUM(orders[[#This Row],[Order Date]])</f>
        <v>8</v>
      </c>
      <c r="O1191" s="1" t="str" cm="1">
        <f t="array" ref="O1191">_xlfn.IFS(orders[[#This Row],[Customer Gender]]="M","Male", orders[[#This Row],[Customer Gender]]="F","Female", orders[[#This Row],[Customer Gender]]="O","Other", TRUE,"Unknown")</f>
        <v>Male</v>
      </c>
    </row>
    <row r="1192" spans="1:15">
      <c r="A1192" s="1" t="s">
        <v>1289</v>
      </c>
      <c r="B1192" s="1" t="s">
        <v>39</v>
      </c>
      <c r="C1192" s="1">
        <v>6</v>
      </c>
      <c r="D1192" s="1">
        <v>48.3</v>
      </c>
      <c r="E1192" s="11">
        <v>289.79999999999995</v>
      </c>
      <c r="F1192" s="3">
        <v>45704</v>
      </c>
      <c r="G1192" s="3">
        <v>45708</v>
      </c>
      <c r="H1192" s="1" t="s">
        <v>27</v>
      </c>
      <c r="I1192" s="1" t="s">
        <v>18</v>
      </c>
      <c r="J1192" s="1">
        <v>4</v>
      </c>
      <c r="K1192" s="1" t="s">
        <v>19</v>
      </c>
      <c r="L1192" s="1" t="s">
        <v>188</v>
      </c>
      <c r="M1192" s="1">
        <f>orders[[#This Row],[Ship Date]]-orders[[#This Row],[Order Date]]</f>
        <v>4</v>
      </c>
      <c r="N1192" s="1">
        <f>WEEKNUM(orders[[#This Row],[Order Date]])</f>
        <v>8</v>
      </c>
      <c r="O1192" s="1" t="str" cm="1">
        <f t="array" ref="O1192">_xlfn.IFS(orders[[#This Row],[Customer Gender]]="M","Male", orders[[#This Row],[Customer Gender]]="F","Female", orders[[#This Row],[Customer Gender]]="O","Other", TRUE,"Unknown")</f>
        <v>Female</v>
      </c>
    </row>
    <row r="1193" spans="1:15">
      <c r="A1193" s="1" t="s">
        <v>1290</v>
      </c>
      <c r="B1193" s="1" t="s">
        <v>135</v>
      </c>
      <c r="C1193" s="1">
        <v>7</v>
      </c>
      <c r="D1193" s="1">
        <v>32.200000000000003</v>
      </c>
      <c r="E1193" s="11">
        <v>225.40000000000003</v>
      </c>
      <c r="F1193" s="3">
        <v>45704</v>
      </c>
      <c r="G1193" s="3">
        <v>45706</v>
      </c>
      <c r="H1193" s="1" t="s">
        <v>27</v>
      </c>
      <c r="I1193" s="1" t="s">
        <v>40</v>
      </c>
      <c r="J1193" s="1">
        <v>4</v>
      </c>
      <c r="K1193" s="1" t="s">
        <v>19</v>
      </c>
      <c r="L1193" s="1" t="s">
        <v>188</v>
      </c>
      <c r="M1193" s="1">
        <f>orders[[#This Row],[Ship Date]]-orders[[#This Row],[Order Date]]</f>
        <v>2</v>
      </c>
      <c r="N1193" s="1">
        <f>WEEKNUM(orders[[#This Row],[Order Date]])</f>
        <v>8</v>
      </c>
      <c r="O1193" s="1" t="str" cm="1">
        <f t="array" ref="O1193">_xlfn.IFS(orders[[#This Row],[Customer Gender]]="M","Male", orders[[#This Row],[Customer Gender]]="F","Female", orders[[#This Row],[Customer Gender]]="O","Other", TRUE,"Unknown")</f>
        <v>Female</v>
      </c>
    </row>
    <row r="1194" spans="1:15">
      <c r="A1194" s="1" t="s">
        <v>1291</v>
      </c>
      <c r="B1194" s="1" t="s">
        <v>42</v>
      </c>
      <c r="C1194" s="1">
        <v>28</v>
      </c>
      <c r="D1194" s="1">
        <v>48.5</v>
      </c>
      <c r="E1194" s="11">
        <v>1358</v>
      </c>
      <c r="F1194" s="3">
        <v>45704</v>
      </c>
      <c r="G1194" s="3">
        <v>45705</v>
      </c>
      <c r="H1194" s="1" t="s">
        <v>23</v>
      </c>
      <c r="I1194" s="1" t="s">
        <v>18</v>
      </c>
      <c r="J1194" s="1">
        <v>4</v>
      </c>
      <c r="K1194" s="1" t="s">
        <v>19</v>
      </c>
      <c r="L1194" s="1" t="s">
        <v>52</v>
      </c>
      <c r="M1194" s="1">
        <f>orders[[#This Row],[Ship Date]]-orders[[#This Row],[Order Date]]</f>
        <v>1</v>
      </c>
      <c r="N1194" s="1">
        <f>WEEKNUM(orders[[#This Row],[Order Date]])</f>
        <v>8</v>
      </c>
      <c r="O1194" s="1" t="str" cm="1">
        <f t="array" ref="O1194">_xlfn.IFS(orders[[#This Row],[Customer Gender]]="M","Male", orders[[#This Row],[Customer Gender]]="F","Female", orders[[#This Row],[Customer Gender]]="O","Other", TRUE,"Unknown")</f>
        <v>Male</v>
      </c>
    </row>
    <row r="1195" spans="1:15">
      <c r="A1195" s="1" t="s">
        <v>1292</v>
      </c>
      <c r="B1195" s="1" t="s">
        <v>26</v>
      </c>
      <c r="C1195" s="1">
        <v>5</v>
      </c>
      <c r="D1195" s="1">
        <v>62</v>
      </c>
      <c r="E1195" s="11">
        <v>310</v>
      </c>
      <c r="F1195" s="3">
        <v>45704</v>
      </c>
      <c r="G1195" s="3">
        <v>45707</v>
      </c>
      <c r="H1195" s="1" t="s">
        <v>27</v>
      </c>
      <c r="I1195" s="1" t="s">
        <v>35</v>
      </c>
      <c r="J1195" s="1">
        <v>4</v>
      </c>
      <c r="K1195" s="1" t="s">
        <v>19</v>
      </c>
      <c r="L1195" s="1" t="s">
        <v>55</v>
      </c>
      <c r="M1195" s="1">
        <f>orders[[#This Row],[Ship Date]]-orders[[#This Row],[Order Date]]</f>
        <v>3</v>
      </c>
      <c r="N1195" s="1">
        <f>WEEKNUM(orders[[#This Row],[Order Date]])</f>
        <v>8</v>
      </c>
      <c r="O1195" s="1" t="str" cm="1">
        <f t="array" ref="O1195">_xlfn.IFS(orders[[#This Row],[Customer Gender]]="M","Male", orders[[#This Row],[Customer Gender]]="F","Female", orders[[#This Row],[Customer Gender]]="O","Other", TRUE,"Unknown")</f>
        <v>Female</v>
      </c>
    </row>
    <row r="1196" spans="1:15">
      <c r="A1196" s="1" t="s">
        <v>1293</v>
      </c>
      <c r="B1196" s="1" t="s">
        <v>44</v>
      </c>
      <c r="C1196" s="1">
        <v>3</v>
      </c>
      <c r="D1196" s="1">
        <v>32.1</v>
      </c>
      <c r="E1196" s="11">
        <v>96.300000000000011</v>
      </c>
      <c r="F1196" s="3">
        <v>45705</v>
      </c>
      <c r="G1196" s="3">
        <v>45707</v>
      </c>
      <c r="H1196" s="1" t="s">
        <v>23</v>
      </c>
      <c r="I1196" s="1" t="s">
        <v>18</v>
      </c>
      <c r="J1196" s="1">
        <v>4</v>
      </c>
      <c r="K1196" s="1" t="s">
        <v>19</v>
      </c>
      <c r="L1196" s="1" t="s">
        <v>55</v>
      </c>
      <c r="M1196" s="1">
        <f>orders[[#This Row],[Ship Date]]-orders[[#This Row],[Order Date]]</f>
        <v>2</v>
      </c>
      <c r="N1196" s="1">
        <f>WEEKNUM(orders[[#This Row],[Order Date]])</f>
        <v>8</v>
      </c>
      <c r="O1196" s="1" t="str" cm="1">
        <f t="array" ref="O1196">_xlfn.IFS(orders[[#This Row],[Customer Gender]]="M","Male", orders[[#This Row],[Customer Gender]]="F","Female", orders[[#This Row],[Customer Gender]]="O","Other", TRUE,"Unknown")</f>
        <v>Male</v>
      </c>
    </row>
    <row r="1197" spans="1:15">
      <c r="A1197" s="1" t="s">
        <v>1294</v>
      </c>
      <c r="B1197" s="1" t="s">
        <v>69</v>
      </c>
      <c r="C1197" s="1">
        <v>3</v>
      </c>
      <c r="D1197" s="1">
        <v>106.1</v>
      </c>
      <c r="E1197" s="11">
        <v>318.29999999999995</v>
      </c>
      <c r="F1197" s="3">
        <v>45705</v>
      </c>
      <c r="G1197" s="3">
        <v>45707</v>
      </c>
      <c r="H1197" s="1" t="s">
        <v>23</v>
      </c>
      <c r="I1197" s="1" t="s">
        <v>18</v>
      </c>
      <c r="J1197" s="1">
        <v>3</v>
      </c>
      <c r="K1197" s="1" t="s">
        <v>19</v>
      </c>
      <c r="L1197" s="1" t="s">
        <v>59</v>
      </c>
      <c r="M1197" s="1">
        <f>orders[[#This Row],[Ship Date]]-orders[[#This Row],[Order Date]]</f>
        <v>2</v>
      </c>
      <c r="N1197" s="1">
        <f>WEEKNUM(orders[[#This Row],[Order Date]])</f>
        <v>8</v>
      </c>
      <c r="O1197" s="1" t="str" cm="1">
        <f t="array" ref="O1197">_xlfn.IFS(orders[[#This Row],[Customer Gender]]="M","Male", orders[[#This Row],[Customer Gender]]="F","Female", orders[[#This Row],[Customer Gender]]="O","Other", TRUE,"Unknown")</f>
        <v>Male</v>
      </c>
    </row>
    <row r="1198" spans="1:15">
      <c r="A1198" s="1" t="s">
        <v>1295</v>
      </c>
      <c r="B1198" s="1" t="s">
        <v>54</v>
      </c>
      <c r="C1198" s="1">
        <v>3</v>
      </c>
      <c r="D1198" s="1">
        <v>23.5</v>
      </c>
      <c r="E1198" s="11">
        <v>70.5</v>
      </c>
      <c r="F1198" s="3">
        <v>45705</v>
      </c>
      <c r="G1198" s="3">
        <v>45708</v>
      </c>
      <c r="H1198" s="1" t="s">
        <v>23</v>
      </c>
      <c r="I1198" s="1" t="s">
        <v>18</v>
      </c>
      <c r="J1198" s="1">
        <v>2</v>
      </c>
      <c r="K1198" s="1" t="s">
        <v>19</v>
      </c>
      <c r="L1198" s="1" t="s">
        <v>59</v>
      </c>
      <c r="M1198" s="1">
        <f>orders[[#This Row],[Ship Date]]-orders[[#This Row],[Order Date]]</f>
        <v>3</v>
      </c>
      <c r="N1198" s="1">
        <f>WEEKNUM(orders[[#This Row],[Order Date]])</f>
        <v>8</v>
      </c>
      <c r="O1198" s="1" t="str" cm="1">
        <f t="array" ref="O1198">_xlfn.IFS(orders[[#This Row],[Customer Gender]]="M","Male", orders[[#This Row],[Customer Gender]]="F","Female", orders[[#This Row],[Customer Gender]]="O","Other", TRUE,"Unknown")</f>
        <v>Male</v>
      </c>
    </row>
    <row r="1199" spans="1:15">
      <c r="A1199" s="1" t="s">
        <v>1296</v>
      </c>
      <c r="B1199" s="1" t="s">
        <v>22</v>
      </c>
      <c r="C1199" s="1">
        <v>2</v>
      </c>
      <c r="D1199" s="1">
        <v>35.6</v>
      </c>
      <c r="E1199" s="11">
        <v>71.2</v>
      </c>
      <c r="F1199" s="3">
        <v>45705</v>
      </c>
      <c r="G1199" s="3">
        <v>45710</v>
      </c>
      <c r="H1199" s="1" t="s">
        <v>23</v>
      </c>
      <c r="I1199" s="1" t="s">
        <v>70</v>
      </c>
      <c r="J1199" s="1">
        <v>4</v>
      </c>
      <c r="K1199" s="1" t="s">
        <v>19</v>
      </c>
      <c r="L1199" s="1" t="s">
        <v>62</v>
      </c>
      <c r="M1199" s="1">
        <f>orders[[#This Row],[Ship Date]]-orders[[#This Row],[Order Date]]</f>
        <v>5</v>
      </c>
      <c r="N1199" s="1">
        <f>WEEKNUM(orders[[#This Row],[Order Date]])</f>
        <v>8</v>
      </c>
      <c r="O1199" s="1" t="str" cm="1">
        <f t="array" ref="O1199">_xlfn.IFS(orders[[#This Row],[Customer Gender]]="M","Male", orders[[#This Row],[Customer Gender]]="F","Female", orders[[#This Row],[Customer Gender]]="O","Other", TRUE,"Unknown")</f>
        <v>Male</v>
      </c>
    </row>
    <row r="1200" spans="1:15">
      <c r="A1200" s="1" t="s">
        <v>1297</v>
      </c>
      <c r="B1200" s="1" t="s">
        <v>22</v>
      </c>
      <c r="C1200" s="1">
        <v>2</v>
      </c>
      <c r="D1200" s="1">
        <v>63.5</v>
      </c>
      <c r="E1200" s="11">
        <v>127</v>
      </c>
      <c r="F1200" s="3">
        <v>45705</v>
      </c>
      <c r="G1200" s="3">
        <v>45705</v>
      </c>
      <c r="H1200" s="1" t="s">
        <v>27</v>
      </c>
      <c r="I1200" s="1" t="s">
        <v>35</v>
      </c>
      <c r="J1200" s="1">
        <v>5</v>
      </c>
      <c r="K1200" s="1" t="s">
        <v>19</v>
      </c>
      <c r="L1200" s="1" t="s">
        <v>62</v>
      </c>
      <c r="M1200" s="1">
        <f>orders[[#This Row],[Ship Date]]-orders[[#This Row],[Order Date]]</f>
        <v>0</v>
      </c>
      <c r="N1200" s="1">
        <f>WEEKNUM(orders[[#This Row],[Order Date]])</f>
        <v>8</v>
      </c>
      <c r="O1200" s="1" t="str" cm="1">
        <f t="array" ref="O1200">_xlfn.IFS(orders[[#This Row],[Customer Gender]]="M","Male", orders[[#This Row],[Customer Gender]]="F","Female", orders[[#This Row],[Customer Gender]]="O","Other", TRUE,"Unknown")</f>
        <v>Female</v>
      </c>
    </row>
    <row r="1201" spans="1:15">
      <c r="A1201" s="1" t="s">
        <v>1298</v>
      </c>
      <c r="B1201" s="1" t="s">
        <v>39</v>
      </c>
      <c r="C1201" s="1">
        <v>7</v>
      </c>
      <c r="D1201" s="1">
        <v>82.9</v>
      </c>
      <c r="E1201" s="11">
        <v>580.30000000000007</v>
      </c>
      <c r="F1201" s="3">
        <v>45705</v>
      </c>
      <c r="G1201" s="3">
        <v>45710</v>
      </c>
      <c r="H1201" s="1" t="s">
        <v>27</v>
      </c>
      <c r="I1201" s="1" t="s">
        <v>70</v>
      </c>
      <c r="J1201" s="1">
        <v>4</v>
      </c>
      <c r="K1201" s="1" t="s">
        <v>19</v>
      </c>
      <c r="L1201" s="1" t="s">
        <v>72</v>
      </c>
      <c r="M1201" s="1">
        <f>orders[[#This Row],[Ship Date]]-orders[[#This Row],[Order Date]]</f>
        <v>5</v>
      </c>
      <c r="N1201" s="1">
        <f>WEEKNUM(orders[[#This Row],[Order Date]])</f>
        <v>8</v>
      </c>
      <c r="O1201" s="1" t="str" cm="1">
        <f t="array" ref="O1201">_xlfn.IFS(orders[[#This Row],[Customer Gender]]="M","Male", orders[[#This Row],[Customer Gender]]="F","Female", orders[[#This Row],[Customer Gender]]="O","Other", TRUE,"Unknown")</f>
        <v>Female</v>
      </c>
    </row>
    <row r="1202" spans="1:15">
      <c r="A1202" s="1" t="s">
        <v>1299</v>
      </c>
      <c r="B1202" s="1" t="s">
        <v>39</v>
      </c>
      <c r="C1202" s="1">
        <v>2</v>
      </c>
      <c r="D1202" s="1">
        <v>83.6</v>
      </c>
      <c r="E1202" s="11">
        <v>167.2</v>
      </c>
      <c r="F1202" s="3">
        <v>45705</v>
      </c>
      <c r="G1202" s="3">
        <v>45710</v>
      </c>
      <c r="H1202" s="1" t="s">
        <v>27</v>
      </c>
      <c r="I1202" s="1" t="s">
        <v>18</v>
      </c>
      <c r="J1202" s="1">
        <v>4</v>
      </c>
      <c r="K1202" s="1" t="s">
        <v>19</v>
      </c>
      <c r="L1202" s="1" t="s">
        <v>77</v>
      </c>
      <c r="M1202" s="1">
        <f>orders[[#This Row],[Ship Date]]-orders[[#This Row],[Order Date]]</f>
        <v>5</v>
      </c>
      <c r="N1202" s="1">
        <f>WEEKNUM(orders[[#This Row],[Order Date]])</f>
        <v>8</v>
      </c>
      <c r="O1202" s="1" t="str" cm="1">
        <f t="array" ref="O1202">_xlfn.IFS(orders[[#This Row],[Customer Gender]]="M","Male", orders[[#This Row],[Customer Gender]]="F","Female", orders[[#This Row],[Customer Gender]]="O","Other", TRUE,"Unknown")</f>
        <v>Female</v>
      </c>
    </row>
    <row r="1203" spans="1:15">
      <c r="A1203" s="1" t="s">
        <v>1300</v>
      </c>
      <c r="B1203" s="1" t="s">
        <v>32</v>
      </c>
      <c r="C1203" s="1">
        <v>2</v>
      </c>
      <c r="D1203" s="1">
        <v>29.4</v>
      </c>
      <c r="E1203" s="11">
        <v>58.8</v>
      </c>
      <c r="F1203" s="3">
        <v>45705</v>
      </c>
      <c r="G1203" s="3">
        <v>45705</v>
      </c>
      <c r="H1203" s="1" t="s">
        <v>27</v>
      </c>
      <c r="I1203" s="1" t="s">
        <v>18</v>
      </c>
      <c r="J1203" s="1">
        <v>3</v>
      </c>
      <c r="K1203" s="1" t="s">
        <v>19</v>
      </c>
      <c r="L1203" s="1" t="s">
        <v>268</v>
      </c>
      <c r="M1203" s="1">
        <f>orders[[#This Row],[Ship Date]]-orders[[#This Row],[Order Date]]</f>
        <v>0</v>
      </c>
      <c r="N1203" s="1">
        <f>WEEKNUM(orders[[#This Row],[Order Date]])</f>
        <v>8</v>
      </c>
      <c r="O1203" s="1" t="str" cm="1">
        <f t="array" ref="O1203">_xlfn.IFS(orders[[#This Row],[Customer Gender]]="M","Male", orders[[#This Row],[Customer Gender]]="F","Female", orders[[#This Row],[Customer Gender]]="O","Other", TRUE,"Unknown")</f>
        <v>Female</v>
      </c>
    </row>
    <row r="1204" spans="1:15">
      <c r="A1204" s="1" t="s">
        <v>1301</v>
      </c>
      <c r="B1204" s="1" t="s">
        <v>26</v>
      </c>
      <c r="C1204" s="1">
        <v>3</v>
      </c>
      <c r="D1204" s="1">
        <v>107.1</v>
      </c>
      <c r="E1204" s="11">
        <v>321.29999999999995</v>
      </c>
      <c r="F1204" s="3">
        <v>45705</v>
      </c>
      <c r="G1204" s="3">
        <v>45709</v>
      </c>
      <c r="H1204" s="1" t="s">
        <v>27</v>
      </c>
      <c r="I1204" s="1" t="s">
        <v>40</v>
      </c>
      <c r="J1204" s="1">
        <v>4</v>
      </c>
      <c r="K1204" s="1" t="s">
        <v>19</v>
      </c>
      <c r="L1204" s="1" t="s">
        <v>113</v>
      </c>
      <c r="M1204" s="1">
        <f>orders[[#This Row],[Ship Date]]-orders[[#This Row],[Order Date]]</f>
        <v>4</v>
      </c>
      <c r="N1204" s="1">
        <f>WEEKNUM(orders[[#This Row],[Order Date]])</f>
        <v>8</v>
      </c>
      <c r="O1204" s="1" t="str" cm="1">
        <f t="array" ref="O1204">_xlfn.IFS(orders[[#This Row],[Customer Gender]]="M","Male", orders[[#This Row],[Customer Gender]]="F","Female", orders[[#This Row],[Customer Gender]]="O","Other", TRUE,"Unknown")</f>
        <v>Female</v>
      </c>
    </row>
    <row r="1205" spans="1:15">
      <c r="A1205" s="1" t="s">
        <v>1302</v>
      </c>
      <c r="B1205" s="1" t="s">
        <v>26</v>
      </c>
      <c r="C1205" s="1">
        <v>1</v>
      </c>
      <c r="D1205" s="1">
        <v>62.7</v>
      </c>
      <c r="E1205" s="11">
        <v>62.7</v>
      </c>
      <c r="F1205" s="3">
        <v>45705</v>
      </c>
      <c r="G1205" s="3">
        <v>45709</v>
      </c>
      <c r="H1205" s="1" t="s">
        <v>23</v>
      </c>
      <c r="I1205" s="1" t="s">
        <v>35</v>
      </c>
      <c r="J1205" s="1">
        <v>4</v>
      </c>
      <c r="K1205" s="1" t="s">
        <v>19</v>
      </c>
      <c r="L1205" s="1" t="s">
        <v>115</v>
      </c>
      <c r="M1205" s="1">
        <f>orders[[#This Row],[Ship Date]]-orders[[#This Row],[Order Date]]</f>
        <v>4</v>
      </c>
      <c r="N1205" s="1">
        <f>WEEKNUM(orders[[#This Row],[Order Date]])</f>
        <v>8</v>
      </c>
      <c r="O1205" s="1" t="str" cm="1">
        <f t="array" ref="O1205">_xlfn.IFS(orders[[#This Row],[Customer Gender]]="M","Male", orders[[#This Row],[Customer Gender]]="F","Female", orders[[#This Row],[Customer Gender]]="O","Other", TRUE,"Unknown")</f>
        <v>Male</v>
      </c>
    </row>
    <row r="1206" spans="1:15">
      <c r="A1206" s="1" t="s">
        <v>1303</v>
      </c>
      <c r="B1206" s="1" t="s">
        <v>67</v>
      </c>
      <c r="C1206" s="1">
        <v>1</v>
      </c>
      <c r="D1206" s="1">
        <v>41.6</v>
      </c>
      <c r="E1206" s="11">
        <v>41.6</v>
      </c>
      <c r="F1206" s="3">
        <v>45705</v>
      </c>
      <c r="G1206" s="3">
        <v>45706</v>
      </c>
      <c r="H1206" s="1" t="s">
        <v>23</v>
      </c>
      <c r="I1206" s="1" t="s">
        <v>18</v>
      </c>
      <c r="J1206" s="1">
        <v>3</v>
      </c>
      <c r="K1206" s="1" t="s">
        <v>19</v>
      </c>
      <c r="L1206" s="1" t="s">
        <v>24</v>
      </c>
      <c r="M1206" s="1">
        <f>orders[[#This Row],[Ship Date]]-orders[[#This Row],[Order Date]]</f>
        <v>1</v>
      </c>
      <c r="N1206" s="1">
        <f>WEEKNUM(orders[[#This Row],[Order Date]])</f>
        <v>8</v>
      </c>
      <c r="O1206" s="1" t="str" cm="1">
        <f t="array" ref="O1206">_xlfn.IFS(orders[[#This Row],[Customer Gender]]="M","Male", orders[[#This Row],[Customer Gender]]="F","Female", orders[[#This Row],[Customer Gender]]="O","Other", TRUE,"Unknown")</f>
        <v>Male</v>
      </c>
    </row>
    <row r="1207" spans="1:15">
      <c r="A1207" s="1" t="s">
        <v>1304</v>
      </c>
      <c r="B1207" s="1" t="s">
        <v>39</v>
      </c>
      <c r="C1207" s="1">
        <v>1</v>
      </c>
      <c r="D1207" s="1">
        <v>44.2</v>
      </c>
      <c r="E1207" s="11">
        <v>44.2</v>
      </c>
      <c r="F1207" s="3">
        <v>45705</v>
      </c>
      <c r="G1207" s="3">
        <v>45706</v>
      </c>
      <c r="H1207" s="1" t="s">
        <v>89</v>
      </c>
      <c r="I1207" s="1" t="s">
        <v>18</v>
      </c>
      <c r="J1207" s="1">
        <v>3</v>
      </c>
      <c r="K1207" s="1" t="s">
        <v>19</v>
      </c>
      <c r="L1207" s="1" t="s">
        <v>24</v>
      </c>
      <c r="M1207" s="1">
        <f>orders[[#This Row],[Ship Date]]-orders[[#This Row],[Order Date]]</f>
        <v>1</v>
      </c>
      <c r="N1207" s="1">
        <f>WEEKNUM(orders[[#This Row],[Order Date]])</f>
        <v>8</v>
      </c>
      <c r="O1207" s="1" t="str" cm="1">
        <f t="array" ref="O1207">_xlfn.IFS(orders[[#This Row],[Customer Gender]]="M","Male", orders[[#This Row],[Customer Gender]]="F","Female", orders[[#This Row],[Customer Gender]]="O","Other", TRUE,"Unknown")</f>
        <v>Other</v>
      </c>
    </row>
    <row r="1208" spans="1:15">
      <c r="A1208" s="1" t="s">
        <v>1305</v>
      </c>
      <c r="B1208" s="1" t="s">
        <v>32</v>
      </c>
      <c r="C1208" s="1">
        <v>6</v>
      </c>
      <c r="D1208" s="1">
        <v>40.4</v>
      </c>
      <c r="E1208" s="11">
        <v>242.39999999999998</v>
      </c>
      <c r="F1208" s="3">
        <v>45705</v>
      </c>
      <c r="G1208" s="3">
        <v>45718</v>
      </c>
      <c r="H1208" s="1" t="s">
        <v>27</v>
      </c>
      <c r="I1208" s="1" t="s">
        <v>40</v>
      </c>
      <c r="J1208" s="1">
        <v>4</v>
      </c>
      <c r="K1208" s="1" t="s">
        <v>19</v>
      </c>
      <c r="L1208" s="1" t="s">
        <v>147</v>
      </c>
      <c r="M1208" s="1">
        <f>orders[[#This Row],[Ship Date]]-orders[[#This Row],[Order Date]]</f>
        <v>13</v>
      </c>
      <c r="N1208" s="1">
        <f>WEEKNUM(orders[[#This Row],[Order Date]])</f>
        <v>8</v>
      </c>
      <c r="O1208" s="1" t="str" cm="1">
        <f t="array" ref="O1208">_xlfn.IFS(orders[[#This Row],[Customer Gender]]="M","Male", orders[[#This Row],[Customer Gender]]="F","Female", orders[[#This Row],[Customer Gender]]="O","Other", TRUE,"Unknown")</f>
        <v>Female</v>
      </c>
    </row>
    <row r="1209" spans="1:15">
      <c r="A1209" s="1" t="s">
        <v>1306</v>
      </c>
      <c r="B1209" s="1" t="s">
        <v>123</v>
      </c>
      <c r="C1209" s="1">
        <v>6</v>
      </c>
      <c r="D1209" s="1">
        <v>59.6</v>
      </c>
      <c r="E1209" s="11">
        <v>357.6</v>
      </c>
      <c r="F1209" s="3">
        <v>45705</v>
      </c>
      <c r="G1209" s="3">
        <v>45706</v>
      </c>
      <c r="H1209" s="1" t="s">
        <v>27</v>
      </c>
      <c r="I1209" s="1" t="s">
        <v>70</v>
      </c>
      <c r="J1209" s="1">
        <v>4</v>
      </c>
      <c r="K1209" s="1" t="s">
        <v>19</v>
      </c>
      <c r="L1209" s="1" t="s">
        <v>334</v>
      </c>
      <c r="M1209" s="1">
        <f>orders[[#This Row],[Ship Date]]-orders[[#This Row],[Order Date]]</f>
        <v>1</v>
      </c>
      <c r="N1209" s="1">
        <f>WEEKNUM(orders[[#This Row],[Order Date]])</f>
        <v>8</v>
      </c>
      <c r="O1209" s="1" t="str" cm="1">
        <f t="array" ref="O1209">_xlfn.IFS(orders[[#This Row],[Customer Gender]]="M","Male", orders[[#This Row],[Customer Gender]]="F","Female", orders[[#This Row],[Customer Gender]]="O","Other", TRUE,"Unknown")</f>
        <v>Female</v>
      </c>
    </row>
    <row r="1210" spans="1:15">
      <c r="A1210" s="1" t="s">
        <v>1307</v>
      </c>
      <c r="B1210" s="1" t="s">
        <v>135</v>
      </c>
      <c r="C1210" s="1">
        <v>12</v>
      </c>
      <c r="D1210" s="1">
        <v>63.8</v>
      </c>
      <c r="E1210" s="11">
        <v>765.59999999999991</v>
      </c>
      <c r="F1210" s="3">
        <v>45705</v>
      </c>
      <c r="G1210" s="3">
        <v>45706</v>
      </c>
      <c r="H1210" s="1" t="s">
        <v>23</v>
      </c>
      <c r="I1210" s="1" t="s">
        <v>35</v>
      </c>
      <c r="J1210" s="1">
        <v>4</v>
      </c>
      <c r="K1210" s="1" t="s">
        <v>19</v>
      </c>
      <c r="L1210" s="1" t="s">
        <v>33</v>
      </c>
      <c r="M1210" s="1">
        <f>orders[[#This Row],[Ship Date]]-orders[[#This Row],[Order Date]]</f>
        <v>1</v>
      </c>
      <c r="N1210" s="1">
        <f>WEEKNUM(orders[[#This Row],[Order Date]])</f>
        <v>8</v>
      </c>
      <c r="O1210" s="1" t="str" cm="1">
        <f t="array" ref="O1210">_xlfn.IFS(orders[[#This Row],[Customer Gender]]="M","Male", orders[[#This Row],[Customer Gender]]="F","Female", orders[[#This Row],[Customer Gender]]="O","Other", TRUE,"Unknown")</f>
        <v>Male</v>
      </c>
    </row>
    <row r="1211" spans="1:15">
      <c r="A1211" s="1" t="s">
        <v>1308</v>
      </c>
      <c r="B1211" s="1" t="s">
        <v>46</v>
      </c>
      <c r="C1211" s="1">
        <v>6</v>
      </c>
      <c r="D1211" s="1">
        <v>30.8</v>
      </c>
      <c r="E1211" s="11">
        <v>184.8</v>
      </c>
      <c r="F1211" s="3">
        <v>45705</v>
      </c>
      <c r="G1211" s="3">
        <v>45707</v>
      </c>
      <c r="H1211" s="1" t="s">
        <v>23</v>
      </c>
      <c r="I1211" s="1" t="s">
        <v>70</v>
      </c>
      <c r="J1211" s="1">
        <v>4</v>
      </c>
      <c r="K1211" s="1" t="s">
        <v>19</v>
      </c>
      <c r="L1211" s="1" t="s">
        <v>33</v>
      </c>
      <c r="M1211" s="1">
        <f>orders[[#This Row],[Ship Date]]-orders[[#This Row],[Order Date]]</f>
        <v>2</v>
      </c>
      <c r="N1211" s="1">
        <f>WEEKNUM(orders[[#This Row],[Order Date]])</f>
        <v>8</v>
      </c>
      <c r="O1211" s="1" t="str" cm="1">
        <f t="array" ref="O1211">_xlfn.IFS(orders[[#This Row],[Customer Gender]]="M","Male", orders[[#This Row],[Customer Gender]]="F","Female", orders[[#This Row],[Customer Gender]]="O","Other", TRUE,"Unknown")</f>
        <v>Male</v>
      </c>
    </row>
    <row r="1212" spans="1:15">
      <c r="A1212" s="1" t="s">
        <v>1309</v>
      </c>
      <c r="B1212" s="1" t="s">
        <v>22</v>
      </c>
      <c r="C1212" s="1">
        <v>2</v>
      </c>
      <c r="D1212" s="1">
        <v>41.5</v>
      </c>
      <c r="E1212" s="11">
        <v>83</v>
      </c>
      <c r="F1212" s="3">
        <v>45705</v>
      </c>
      <c r="G1212" s="3">
        <v>45708</v>
      </c>
      <c r="H1212" s="1" t="s">
        <v>89</v>
      </c>
      <c r="I1212" s="1" t="s">
        <v>18</v>
      </c>
      <c r="J1212" s="1">
        <v>4</v>
      </c>
      <c r="K1212" s="1" t="s">
        <v>19</v>
      </c>
      <c r="L1212" s="1" t="s">
        <v>33</v>
      </c>
      <c r="M1212" s="1">
        <f>orders[[#This Row],[Ship Date]]-orders[[#This Row],[Order Date]]</f>
        <v>3</v>
      </c>
      <c r="N1212" s="1">
        <f>WEEKNUM(orders[[#This Row],[Order Date]])</f>
        <v>8</v>
      </c>
      <c r="O1212" s="1" t="str" cm="1">
        <f t="array" ref="O1212">_xlfn.IFS(orders[[#This Row],[Customer Gender]]="M","Male", orders[[#This Row],[Customer Gender]]="F","Female", orders[[#This Row],[Customer Gender]]="O","Other", TRUE,"Unknown")</f>
        <v>Other</v>
      </c>
    </row>
    <row r="1213" spans="1:15">
      <c r="A1213" s="1" t="s">
        <v>1310</v>
      </c>
      <c r="B1213" s="1" t="s">
        <v>54</v>
      </c>
      <c r="C1213" s="1">
        <v>4</v>
      </c>
      <c r="D1213" s="1">
        <v>44.7</v>
      </c>
      <c r="E1213" s="11">
        <v>178.8</v>
      </c>
      <c r="F1213" s="3">
        <v>45705</v>
      </c>
      <c r="G1213" s="3">
        <v>45707</v>
      </c>
      <c r="H1213" s="1" t="s">
        <v>27</v>
      </c>
      <c r="I1213" s="1" t="s">
        <v>40</v>
      </c>
      <c r="J1213" s="1">
        <v>3</v>
      </c>
      <c r="K1213" s="1" t="s">
        <v>19</v>
      </c>
      <c r="L1213" s="1" t="s">
        <v>33</v>
      </c>
      <c r="M1213" s="1">
        <f>orders[[#This Row],[Ship Date]]-orders[[#This Row],[Order Date]]</f>
        <v>2</v>
      </c>
      <c r="N1213" s="1">
        <f>WEEKNUM(orders[[#This Row],[Order Date]])</f>
        <v>8</v>
      </c>
      <c r="O1213" s="1" t="str" cm="1">
        <f t="array" ref="O1213">_xlfn.IFS(orders[[#This Row],[Customer Gender]]="M","Male", orders[[#This Row],[Customer Gender]]="F","Female", orders[[#This Row],[Customer Gender]]="O","Other", TRUE,"Unknown")</f>
        <v>Female</v>
      </c>
    </row>
    <row r="1214" spans="1:15">
      <c r="A1214" s="1" t="s">
        <v>1311</v>
      </c>
      <c r="B1214" s="1" t="s">
        <v>69</v>
      </c>
      <c r="C1214" s="1">
        <v>2</v>
      </c>
      <c r="D1214" s="1">
        <v>64.099999999999994</v>
      </c>
      <c r="E1214" s="11">
        <v>128.19999999999999</v>
      </c>
      <c r="F1214" s="3">
        <v>45705</v>
      </c>
      <c r="G1214" s="3">
        <v>45709</v>
      </c>
      <c r="H1214" s="1" t="s">
        <v>27</v>
      </c>
      <c r="I1214" s="1" t="s">
        <v>35</v>
      </c>
      <c r="J1214" s="1">
        <v>2</v>
      </c>
      <c r="K1214" s="1" t="s">
        <v>19</v>
      </c>
      <c r="L1214" s="1" t="s">
        <v>33</v>
      </c>
      <c r="M1214" s="1">
        <f>orders[[#This Row],[Ship Date]]-orders[[#This Row],[Order Date]]</f>
        <v>4</v>
      </c>
      <c r="N1214" s="1">
        <f>WEEKNUM(orders[[#This Row],[Order Date]])</f>
        <v>8</v>
      </c>
      <c r="O1214" s="1" t="str" cm="1">
        <f t="array" ref="O1214">_xlfn.IFS(orders[[#This Row],[Customer Gender]]="M","Male", orders[[#This Row],[Customer Gender]]="F","Female", orders[[#This Row],[Customer Gender]]="O","Other", TRUE,"Unknown")</f>
        <v>Female</v>
      </c>
    </row>
    <row r="1215" spans="1:15">
      <c r="A1215" s="1" t="s">
        <v>1312</v>
      </c>
      <c r="B1215" s="1" t="s">
        <v>44</v>
      </c>
      <c r="C1215" s="1">
        <v>1</v>
      </c>
      <c r="D1215" s="1">
        <v>15.9</v>
      </c>
      <c r="E1215" s="11">
        <v>15.9</v>
      </c>
      <c r="F1215" s="3">
        <v>45705</v>
      </c>
      <c r="G1215" s="3">
        <v>45708</v>
      </c>
      <c r="H1215" s="1" t="s">
        <v>17</v>
      </c>
      <c r="I1215" s="1" t="s">
        <v>35</v>
      </c>
      <c r="J1215" s="1">
        <v>4</v>
      </c>
      <c r="K1215" s="1" t="s">
        <v>19</v>
      </c>
      <c r="L1215" s="1" t="s">
        <v>33</v>
      </c>
      <c r="M1215" s="1">
        <f>orders[[#This Row],[Ship Date]]-orders[[#This Row],[Order Date]]</f>
        <v>3</v>
      </c>
      <c r="N1215" s="1">
        <f>WEEKNUM(orders[[#This Row],[Order Date]])</f>
        <v>8</v>
      </c>
      <c r="O1215" s="1" t="str" cm="1">
        <f t="array" ref="O1215">_xlfn.IFS(orders[[#This Row],[Customer Gender]]="M","Male", orders[[#This Row],[Customer Gender]]="F","Female", orders[[#This Row],[Customer Gender]]="O","Other", TRUE,"Unknown")</f>
        <v>Unknown</v>
      </c>
    </row>
    <row r="1216" spans="1:15">
      <c r="A1216" s="1" t="s">
        <v>1313</v>
      </c>
      <c r="B1216" s="1" t="s">
        <v>39</v>
      </c>
      <c r="C1216" s="1">
        <v>2</v>
      </c>
      <c r="D1216" s="1">
        <v>78.7</v>
      </c>
      <c r="E1216" s="11">
        <v>157.4</v>
      </c>
      <c r="F1216" s="3">
        <v>45705</v>
      </c>
      <c r="G1216" s="3">
        <v>45705</v>
      </c>
      <c r="H1216" s="1" t="s">
        <v>27</v>
      </c>
      <c r="I1216" s="1" t="s">
        <v>40</v>
      </c>
      <c r="J1216" s="1">
        <v>3</v>
      </c>
      <c r="K1216" s="1" t="s">
        <v>19</v>
      </c>
      <c r="L1216" s="1" t="s">
        <v>33</v>
      </c>
      <c r="M1216" s="1">
        <f>orders[[#This Row],[Ship Date]]-orders[[#This Row],[Order Date]]</f>
        <v>0</v>
      </c>
      <c r="N1216" s="1">
        <f>WEEKNUM(orders[[#This Row],[Order Date]])</f>
        <v>8</v>
      </c>
      <c r="O1216" s="1" t="str" cm="1">
        <f t="array" ref="O1216">_xlfn.IFS(orders[[#This Row],[Customer Gender]]="M","Male", orders[[#This Row],[Customer Gender]]="F","Female", orders[[#This Row],[Customer Gender]]="O","Other", TRUE,"Unknown")</f>
        <v>Female</v>
      </c>
    </row>
    <row r="1217" spans="1:15">
      <c r="A1217" s="1" t="s">
        <v>1314</v>
      </c>
      <c r="B1217" s="1" t="s">
        <v>37</v>
      </c>
      <c r="C1217" s="1">
        <v>12</v>
      </c>
      <c r="D1217" s="1">
        <v>29.6</v>
      </c>
      <c r="E1217" s="11">
        <v>355.20000000000005</v>
      </c>
      <c r="F1217" s="3">
        <v>45705</v>
      </c>
      <c r="G1217" s="3">
        <v>45709</v>
      </c>
      <c r="H1217" s="1" t="s">
        <v>23</v>
      </c>
      <c r="I1217" s="1" t="s">
        <v>40</v>
      </c>
      <c r="J1217" s="1">
        <v>2</v>
      </c>
      <c r="K1217" s="1" t="s">
        <v>19</v>
      </c>
      <c r="L1217" s="1" t="s">
        <v>33</v>
      </c>
      <c r="M1217" s="1">
        <f>orders[[#This Row],[Ship Date]]-orders[[#This Row],[Order Date]]</f>
        <v>4</v>
      </c>
      <c r="N1217" s="1">
        <f>WEEKNUM(orders[[#This Row],[Order Date]])</f>
        <v>8</v>
      </c>
      <c r="O1217" s="1" t="str" cm="1">
        <f t="array" ref="O1217">_xlfn.IFS(orders[[#This Row],[Customer Gender]]="M","Male", orders[[#This Row],[Customer Gender]]="F","Female", orders[[#This Row],[Customer Gender]]="O","Other", TRUE,"Unknown")</f>
        <v>Male</v>
      </c>
    </row>
    <row r="1218" spans="1:15">
      <c r="A1218" s="1" t="s">
        <v>1315</v>
      </c>
      <c r="B1218" s="1" t="s">
        <v>44</v>
      </c>
      <c r="C1218" s="1">
        <v>4</v>
      </c>
      <c r="D1218" s="1">
        <v>21.5</v>
      </c>
      <c r="E1218" s="11">
        <v>86</v>
      </c>
      <c r="F1218" s="3">
        <v>45705</v>
      </c>
      <c r="G1218" s="3">
        <v>45708</v>
      </c>
      <c r="H1218" s="1" t="s">
        <v>23</v>
      </c>
      <c r="I1218" s="1" t="s">
        <v>35</v>
      </c>
      <c r="J1218" s="1">
        <v>4</v>
      </c>
      <c r="K1218" s="1" t="s">
        <v>19</v>
      </c>
      <c r="L1218" s="1" t="s">
        <v>33</v>
      </c>
      <c r="M1218" s="1">
        <f>orders[[#This Row],[Ship Date]]-orders[[#This Row],[Order Date]]</f>
        <v>3</v>
      </c>
      <c r="N1218" s="1">
        <f>WEEKNUM(orders[[#This Row],[Order Date]])</f>
        <v>8</v>
      </c>
      <c r="O1218" s="1" t="str" cm="1">
        <f t="array" ref="O1218">_xlfn.IFS(orders[[#This Row],[Customer Gender]]="M","Male", orders[[#This Row],[Customer Gender]]="F","Female", orders[[#This Row],[Customer Gender]]="O","Other", TRUE,"Unknown")</f>
        <v>Male</v>
      </c>
    </row>
    <row r="1219" spans="1:15">
      <c r="A1219" s="1" t="s">
        <v>1316</v>
      </c>
      <c r="B1219" s="1" t="s">
        <v>46</v>
      </c>
      <c r="C1219" s="1">
        <v>3</v>
      </c>
      <c r="D1219" s="1">
        <v>74.900000000000006</v>
      </c>
      <c r="E1219" s="11">
        <v>224.70000000000002</v>
      </c>
      <c r="F1219" s="3">
        <v>45705</v>
      </c>
      <c r="G1219" s="3">
        <v>45714</v>
      </c>
      <c r="H1219" s="1" t="s">
        <v>23</v>
      </c>
      <c r="I1219" s="1" t="s">
        <v>51</v>
      </c>
      <c r="J1219" s="1">
        <v>3</v>
      </c>
      <c r="K1219" s="1" t="s">
        <v>19</v>
      </c>
      <c r="L1219" s="1" t="s">
        <v>33</v>
      </c>
      <c r="M1219" s="1">
        <f>orders[[#This Row],[Ship Date]]-orders[[#This Row],[Order Date]]</f>
        <v>9</v>
      </c>
      <c r="N1219" s="1">
        <f>WEEKNUM(orders[[#This Row],[Order Date]])</f>
        <v>8</v>
      </c>
      <c r="O1219" s="1" t="str" cm="1">
        <f t="array" ref="O1219">_xlfn.IFS(orders[[#This Row],[Customer Gender]]="M","Male", orders[[#This Row],[Customer Gender]]="F","Female", orders[[#This Row],[Customer Gender]]="O","Other", TRUE,"Unknown")</f>
        <v>Male</v>
      </c>
    </row>
    <row r="1220" spans="1:15">
      <c r="A1220" s="1" t="s">
        <v>1317</v>
      </c>
      <c r="B1220" s="1" t="s">
        <v>54</v>
      </c>
      <c r="C1220" s="1">
        <v>6</v>
      </c>
      <c r="D1220" s="1">
        <v>45</v>
      </c>
      <c r="E1220" s="11">
        <v>270</v>
      </c>
      <c r="F1220" s="3">
        <v>45705</v>
      </c>
      <c r="G1220" s="3">
        <v>45710</v>
      </c>
      <c r="H1220" s="1" t="s">
        <v>27</v>
      </c>
      <c r="I1220" s="1" t="s">
        <v>40</v>
      </c>
      <c r="J1220" s="1">
        <v>4</v>
      </c>
      <c r="K1220" s="1" t="s">
        <v>19</v>
      </c>
      <c r="L1220" s="1" t="s">
        <v>33</v>
      </c>
      <c r="M1220" s="1">
        <f>orders[[#This Row],[Ship Date]]-orders[[#This Row],[Order Date]]</f>
        <v>5</v>
      </c>
      <c r="N1220" s="1">
        <f>WEEKNUM(orders[[#This Row],[Order Date]])</f>
        <v>8</v>
      </c>
      <c r="O1220" s="1" t="str" cm="1">
        <f t="array" ref="O1220">_xlfn.IFS(orders[[#This Row],[Customer Gender]]="M","Male", orders[[#This Row],[Customer Gender]]="F","Female", orders[[#This Row],[Customer Gender]]="O","Other", TRUE,"Unknown")</f>
        <v>Female</v>
      </c>
    </row>
    <row r="1221" spans="1:15">
      <c r="A1221" s="1" t="s">
        <v>1318</v>
      </c>
      <c r="B1221" s="1" t="s">
        <v>42</v>
      </c>
      <c r="C1221" s="1">
        <v>34</v>
      </c>
      <c r="D1221" s="1">
        <v>37.9</v>
      </c>
      <c r="E1221" s="11">
        <v>1288.5999999999999</v>
      </c>
      <c r="F1221" s="3">
        <v>45705</v>
      </c>
      <c r="G1221" s="3">
        <v>45706</v>
      </c>
      <c r="H1221" s="1" t="s">
        <v>23</v>
      </c>
      <c r="I1221" s="1" t="s">
        <v>18</v>
      </c>
      <c r="J1221" s="1">
        <v>4</v>
      </c>
      <c r="K1221" s="1" t="s">
        <v>19</v>
      </c>
      <c r="L1221" s="1" t="s">
        <v>33</v>
      </c>
      <c r="M1221" s="1">
        <f>orders[[#This Row],[Ship Date]]-orders[[#This Row],[Order Date]]</f>
        <v>1</v>
      </c>
      <c r="N1221" s="1">
        <f>WEEKNUM(orders[[#This Row],[Order Date]])</f>
        <v>8</v>
      </c>
      <c r="O1221" s="1" t="str" cm="1">
        <f t="array" ref="O1221">_xlfn.IFS(orders[[#This Row],[Customer Gender]]="M","Male", orders[[#This Row],[Customer Gender]]="F","Female", orders[[#This Row],[Customer Gender]]="O","Other", TRUE,"Unknown")</f>
        <v>Male</v>
      </c>
    </row>
    <row r="1222" spans="1:15">
      <c r="A1222" s="1" t="s">
        <v>1319</v>
      </c>
      <c r="B1222" s="1" t="s">
        <v>39</v>
      </c>
      <c r="C1222" s="1">
        <v>3</v>
      </c>
      <c r="D1222" s="1">
        <v>56.6</v>
      </c>
      <c r="E1222" s="11">
        <v>169.8</v>
      </c>
      <c r="F1222" s="3">
        <v>45705</v>
      </c>
      <c r="G1222" s="3">
        <v>45706</v>
      </c>
      <c r="H1222" s="1" t="s">
        <v>23</v>
      </c>
      <c r="I1222" s="1" t="s">
        <v>51</v>
      </c>
      <c r="J1222" s="1">
        <v>4</v>
      </c>
      <c r="K1222" s="1" t="s">
        <v>19</v>
      </c>
      <c r="L1222" s="1" t="s">
        <v>33</v>
      </c>
      <c r="M1222" s="1">
        <f>orders[[#This Row],[Ship Date]]-orders[[#This Row],[Order Date]]</f>
        <v>1</v>
      </c>
      <c r="N1222" s="1">
        <f>WEEKNUM(orders[[#This Row],[Order Date]])</f>
        <v>8</v>
      </c>
      <c r="O1222" s="1" t="str" cm="1">
        <f t="array" ref="O1222">_xlfn.IFS(orders[[#This Row],[Customer Gender]]="M","Male", orders[[#This Row],[Customer Gender]]="F","Female", orders[[#This Row],[Customer Gender]]="O","Other", TRUE,"Unknown")</f>
        <v>Male</v>
      </c>
    </row>
    <row r="1223" spans="1:15">
      <c r="A1223" s="1" t="s">
        <v>1320</v>
      </c>
      <c r="B1223" s="1" t="s">
        <v>30</v>
      </c>
      <c r="C1223" s="1">
        <v>13</v>
      </c>
      <c r="D1223" s="1">
        <v>84.5</v>
      </c>
      <c r="E1223" s="11">
        <v>1098.5</v>
      </c>
      <c r="F1223" s="3">
        <v>45705</v>
      </c>
      <c r="G1223" s="3">
        <v>45708</v>
      </c>
      <c r="H1223" s="1" t="s">
        <v>27</v>
      </c>
      <c r="I1223" s="1" t="s">
        <v>35</v>
      </c>
      <c r="J1223" s="1">
        <v>2</v>
      </c>
      <c r="K1223" s="1" t="s">
        <v>19</v>
      </c>
      <c r="L1223" s="1" t="s">
        <v>33</v>
      </c>
      <c r="M1223" s="1">
        <f>orders[[#This Row],[Ship Date]]-orders[[#This Row],[Order Date]]</f>
        <v>3</v>
      </c>
      <c r="N1223" s="1">
        <f>WEEKNUM(orders[[#This Row],[Order Date]])</f>
        <v>8</v>
      </c>
      <c r="O1223" s="1" t="str" cm="1">
        <f t="array" ref="O1223">_xlfn.IFS(orders[[#This Row],[Customer Gender]]="M","Male", orders[[#This Row],[Customer Gender]]="F","Female", orders[[#This Row],[Customer Gender]]="O","Other", TRUE,"Unknown")</f>
        <v>Female</v>
      </c>
    </row>
    <row r="1224" spans="1:15">
      <c r="A1224" s="1" t="s">
        <v>1321</v>
      </c>
      <c r="B1224" s="1" t="s">
        <v>26</v>
      </c>
      <c r="C1224" s="1">
        <v>5</v>
      </c>
      <c r="D1224" s="1">
        <v>105.4</v>
      </c>
      <c r="E1224" s="11">
        <v>527</v>
      </c>
      <c r="F1224" s="3">
        <v>45705</v>
      </c>
      <c r="G1224" s="3">
        <v>45707</v>
      </c>
      <c r="H1224" s="1" t="s">
        <v>27</v>
      </c>
      <c r="I1224" s="1" t="s">
        <v>35</v>
      </c>
      <c r="J1224" s="1">
        <v>3</v>
      </c>
      <c r="K1224" s="1" t="s">
        <v>19</v>
      </c>
      <c r="L1224" s="1" t="s">
        <v>33</v>
      </c>
      <c r="M1224" s="1">
        <f>orders[[#This Row],[Ship Date]]-orders[[#This Row],[Order Date]]</f>
        <v>2</v>
      </c>
      <c r="N1224" s="1">
        <f>WEEKNUM(orders[[#This Row],[Order Date]])</f>
        <v>8</v>
      </c>
      <c r="O1224" s="1" t="str" cm="1">
        <f t="array" ref="O1224">_xlfn.IFS(orders[[#This Row],[Customer Gender]]="M","Male", orders[[#This Row],[Customer Gender]]="F","Female", orders[[#This Row],[Customer Gender]]="O","Other", TRUE,"Unknown")</f>
        <v>Female</v>
      </c>
    </row>
    <row r="1225" spans="1:15">
      <c r="A1225" s="1" t="s">
        <v>1322</v>
      </c>
      <c r="B1225" s="1" t="s">
        <v>146</v>
      </c>
      <c r="C1225" s="1">
        <v>7</v>
      </c>
      <c r="D1225" s="1">
        <v>39.4</v>
      </c>
      <c r="E1225" s="11">
        <v>275.8</v>
      </c>
      <c r="F1225" s="3">
        <v>45706</v>
      </c>
      <c r="G1225" s="3">
        <v>45706</v>
      </c>
      <c r="H1225" s="1" t="s">
        <v>23</v>
      </c>
      <c r="I1225" s="1" t="s">
        <v>35</v>
      </c>
      <c r="J1225" s="1">
        <v>4</v>
      </c>
      <c r="K1225" s="1" t="s">
        <v>19</v>
      </c>
      <c r="L1225" s="1" t="s">
        <v>364</v>
      </c>
      <c r="M1225" s="1">
        <f>orders[[#This Row],[Ship Date]]-orders[[#This Row],[Order Date]]</f>
        <v>0</v>
      </c>
      <c r="N1225" s="1">
        <f>WEEKNUM(orders[[#This Row],[Order Date]])</f>
        <v>8</v>
      </c>
      <c r="O1225" s="1" t="str" cm="1">
        <f t="array" ref="O1225">_xlfn.IFS(orders[[#This Row],[Customer Gender]]="M","Male", orders[[#This Row],[Customer Gender]]="F","Female", orders[[#This Row],[Customer Gender]]="O","Other", TRUE,"Unknown")</f>
        <v>Male</v>
      </c>
    </row>
    <row r="1226" spans="1:15">
      <c r="A1226" s="1" t="s">
        <v>1323</v>
      </c>
      <c r="B1226" s="1" t="s">
        <v>171</v>
      </c>
      <c r="C1226" s="1">
        <v>3</v>
      </c>
      <c r="D1226" s="1">
        <v>38</v>
      </c>
      <c r="E1226" s="11">
        <v>114</v>
      </c>
      <c r="F1226" s="3">
        <v>45706</v>
      </c>
      <c r="G1226" s="3">
        <v>45709</v>
      </c>
      <c r="H1226" s="1" t="s">
        <v>23</v>
      </c>
      <c r="I1226" s="1" t="s">
        <v>70</v>
      </c>
      <c r="J1226" s="1">
        <v>3</v>
      </c>
      <c r="K1226" s="1" t="s">
        <v>19</v>
      </c>
      <c r="L1226" s="1" t="s">
        <v>55</v>
      </c>
      <c r="M1226" s="1">
        <f>orders[[#This Row],[Ship Date]]-orders[[#This Row],[Order Date]]</f>
        <v>3</v>
      </c>
      <c r="N1226" s="1">
        <f>WEEKNUM(orders[[#This Row],[Order Date]])</f>
        <v>8</v>
      </c>
      <c r="O1226" s="1" t="str" cm="1">
        <f t="array" ref="O1226">_xlfn.IFS(orders[[#This Row],[Customer Gender]]="M","Male", orders[[#This Row],[Customer Gender]]="F","Female", orders[[#This Row],[Customer Gender]]="O","Other", TRUE,"Unknown")</f>
        <v>Male</v>
      </c>
    </row>
    <row r="1227" spans="1:15">
      <c r="A1227" s="1" t="s">
        <v>1324</v>
      </c>
      <c r="B1227" s="1" t="s">
        <v>135</v>
      </c>
      <c r="C1227" s="1">
        <v>4</v>
      </c>
      <c r="D1227" s="1">
        <v>42.5</v>
      </c>
      <c r="E1227" s="11">
        <v>170</v>
      </c>
      <c r="F1227" s="3">
        <v>45706</v>
      </c>
      <c r="G1227" s="3">
        <v>45708</v>
      </c>
      <c r="H1227" s="1" t="s">
        <v>17</v>
      </c>
      <c r="I1227" s="1" t="s">
        <v>18</v>
      </c>
      <c r="J1227" s="1">
        <v>4</v>
      </c>
      <c r="K1227" s="1" t="s">
        <v>19</v>
      </c>
      <c r="L1227" s="1" t="s">
        <v>55</v>
      </c>
      <c r="M1227" s="1">
        <f>orders[[#This Row],[Ship Date]]-orders[[#This Row],[Order Date]]</f>
        <v>2</v>
      </c>
      <c r="N1227" s="1">
        <f>WEEKNUM(orders[[#This Row],[Order Date]])</f>
        <v>8</v>
      </c>
      <c r="O1227" s="1" t="str" cm="1">
        <f t="array" ref="O1227">_xlfn.IFS(orders[[#This Row],[Customer Gender]]="M","Male", orders[[#This Row],[Customer Gender]]="F","Female", orders[[#This Row],[Customer Gender]]="O","Other", TRUE,"Unknown")</f>
        <v>Unknown</v>
      </c>
    </row>
    <row r="1228" spans="1:15">
      <c r="A1228" s="1" t="s">
        <v>1325</v>
      </c>
      <c r="B1228" s="1" t="s">
        <v>123</v>
      </c>
      <c r="C1228" s="1">
        <v>1</v>
      </c>
      <c r="D1228" s="1">
        <v>62.3</v>
      </c>
      <c r="E1228" s="11">
        <v>62.3</v>
      </c>
      <c r="F1228" s="3">
        <v>45706</v>
      </c>
      <c r="G1228" s="3">
        <v>45715</v>
      </c>
      <c r="H1228" s="1" t="s">
        <v>23</v>
      </c>
      <c r="I1228" s="1" t="s">
        <v>18</v>
      </c>
      <c r="J1228" s="1">
        <v>5</v>
      </c>
      <c r="K1228" s="1" t="s">
        <v>19</v>
      </c>
      <c r="L1228" s="1" t="s">
        <v>55</v>
      </c>
      <c r="M1228" s="1">
        <f>orders[[#This Row],[Ship Date]]-orders[[#This Row],[Order Date]]</f>
        <v>9</v>
      </c>
      <c r="N1228" s="1">
        <f>WEEKNUM(orders[[#This Row],[Order Date]])</f>
        <v>8</v>
      </c>
      <c r="O1228" s="1" t="str" cm="1">
        <f t="array" ref="O1228">_xlfn.IFS(orders[[#This Row],[Customer Gender]]="M","Male", orders[[#This Row],[Customer Gender]]="F","Female", orders[[#This Row],[Customer Gender]]="O","Other", TRUE,"Unknown")</f>
        <v>Male</v>
      </c>
    </row>
    <row r="1229" spans="1:15">
      <c r="A1229" s="1" t="s">
        <v>1326</v>
      </c>
      <c r="B1229" s="1" t="s">
        <v>39</v>
      </c>
      <c r="C1229" s="1">
        <v>5</v>
      </c>
      <c r="D1229" s="1">
        <v>49.1</v>
      </c>
      <c r="E1229" s="11">
        <v>245.5</v>
      </c>
      <c r="F1229" s="3">
        <v>45706</v>
      </c>
      <c r="G1229" s="3">
        <v>45708</v>
      </c>
      <c r="H1229" s="1" t="s">
        <v>27</v>
      </c>
      <c r="I1229" s="1" t="s">
        <v>35</v>
      </c>
      <c r="J1229" s="1">
        <v>5</v>
      </c>
      <c r="K1229" s="1" t="s">
        <v>19</v>
      </c>
      <c r="L1229" s="1" t="s">
        <v>59</v>
      </c>
      <c r="M1229" s="1">
        <f>orders[[#This Row],[Ship Date]]-orders[[#This Row],[Order Date]]</f>
        <v>2</v>
      </c>
      <c r="N1229" s="1">
        <f>WEEKNUM(orders[[#This Row],[Order Date]])</f>
        <v>8</v>
      </c>
      <c r="O1229" s="1" t="str" cm="1">
        <f t="array" ref="O1229">_xlfn.IFS(orders[[#This Row],[Customer Gender]]="M","Male", orders[[#This Row],[Customer Gender]]="F","Female", orders[[#This Row],[Customer Gender]]="O","Other", TRUE,"Unknown")</f>
        <v>Female</v>
      </c>
    </row>
    <row r="1230" spans="1:15">
      <c r="A1230" s="1" t="s">
        <v>1327</v>
      </c>
      <c r="B1230" s="1" t="s">
        <v>30</v>
      </c>
      <c r="C1230" s="1">
        <v>2</v>
      </c>
      <c r="D1230" s="1">
        <v>30.5</v>
      </c>
      <c r="E1230" s="11">
        <v>61</v>
      </c>
      <c r="F1230" s="3">
        <v>45706</v>
      </c>
      <c r="G1230" s="3">
        <v>45709</v>
      </c>
      <c r="H1230" s="1" t="s">
        <v>23</v>
      </c>
      <c r="I1230" s="1" t="s">
        <v>18</v>
      </c>
      <c r="J1230" s="1">
        <v>5</v>
      </c>
      <c r="K1230" s="1" t="s">
        <v>19</v>
      </c>
      <c r="L1230" s="1" t="s">
        <v>62</v>
      </c>
      <c r="M1230" s="1">
        <f>orders[[#This Row],[Ship Date]]-orders[[#This Row],[Order Date]]</f>
        <v>3</v>
      </c>
      <c r="N1230" s="1">
        <f>WEEKNUM(orders[[#This Row],[Order Date]])</f>
        <v>8</v>
      </c>
      <c r="O1230" s="1" t="str" cm="1">
        <f t="array" ref="O1230">_xlfn.IFS(orders[[#This Row],[Customer Gender]]="M","Male", orders[[#This Row],[Customer Gender]]="F","Female", orders[[#This Row],[Customer Gender]]="O","Other", TRUE,"Unknown")</f>
        <v>Male</v>
      </c>
    </row>
    <row r="1231" spans="1:15">
      <c r="A1231" s="1" t="s">
        <v>1328</v>
      </c>
      <c r="B1231" s="1" t="s">
        <v>26</v>
      </c>
      <c r="C1231" s="1">
        <v>2</v>
      </c>
      <c r="D1231" s="1">
        <v>154.80000000000001</v>
      </c>
      <c r="E1231" s="11">
        <v>309.60000000000002</v>
      </c>
      <c r="F1231" s="3">
        <v>45706</v>
      </c>
      <c r="G1231" s="3">
        <v>45709</v>
      </c>
      <c r="H1231" s="1" t="s">
        <v>27</v>
      </c>
      <c r="I1231" s="1" t="s">
        <v>35</v>
      </c>
      <c r="J1231" s="1">
        <v>2</v>
      </c>
      <c r="K1231" s="1" t="s">
        <v>19</v>
      </c>
      <c r="L1231" s="1" t="s">
        <v>62</v>
      </c>
      <c r="M1231" s="1">
        <f>orders[[#This Row],[Ship Date]]-orders[[#This Row],[Order Date]]</f>
        <v>3</v>
      </c>
      <c r="N1231" s="1">
        <f>WEEKNUM(orders[[#This Row],[Order Date]])</f>
        <v>8</v>
      </c>
      <c r="O1231" s="1" t="str" cm="1">
        <f t="array" ref="O1231">_xlfn.IFS(orders[[#This Row],[Customer Gender]]="M","Male", orders[[#This Row],[Customer Gender]]="F","Female", orders[[#This Row],[Customer Gender]]="O","Other", TRUE,"Unknown")</f>
        <v>Female</v>
      </c>
    </row>
    <row r="1232" spans="1:15">
      <c r="A1232" s="1" t="s">
        <v>1329</v>
      </c>
      <c r="B1232" s="1" t="s">
        <v>39</v>
      </c>
      <c r="C1232" s="1">
        <v>1</v>
      </c>
      <c r="D1232" s="1">
        <v>45</v>
      </c>
      <c r="E1232" s="11">
        <v>45</v>
      </c>
      <c r="F1232" s="3">
        <v>45706</v>
      </c>
      <c r="G1232" s="3">
        <v>45710</v>
      </c>
      <c r="H1232" s="1" t="s">
        <v>23</v>
      </c>
      <c r="I1232" s="1" t="s">
        <v>51</v>
      </c>
      <c r="J1232" s="1">
        <v>3</v>
      </c>
      <c r="K1232" s="1" t="s">
        <v>19</v>
      </c>
      <c r="L1232" s="1" t="s">
        <v>62</v>
      </c>
      <c r="M1232" s="1">
        <f>orders[[#This Row],[Ship Date]]-orders[[#This Row],[Order Date]]</f>
        <v>4</v>
      </c>
      <c r="N1232" s="1">
        <f>WEEKNUM(orders[[#This Row],[Order Date]])</f>
        <v>8</v>
      </c>
      <c r="O1232" s="1" t="str" cm="1">
        <f t="array" ref="O1232">_xlfn.IFS(orders[[#This Row],[Customer Gender]]="M","Male", orders[[#This Row],[Customer Gender]]="F","Female", orders[[#This Row],[Customer Gender]]="O","Other", TRUE,"Unknown")</f>
        <v>Male</v>
      </c>
    </row>
    <row r="1233" spans="1:15">
      <c r="A1233" s="1" t="s">
        <v>1330</v>
      </c>
      <c r="B1233" s="1" t="s">
        <v>16</v>
      </c>
      <c r="C1233" s="1">
        <v>7</v>
      </c>
      <c r="D1233" s="1">
        <v>15.3</v>
      </c>
      <c r="E1233" s="11">
        <v>107.10000000000001</v>
      </c>
      <c r="F1233" s="3">
        <v>45706</v>
      </c>
      <c r="G1233" s="3">
        <v>45707</v>
      </c>
      <c r="H1233" s="1" t="s">
        <v>23</v>
      </c>
      <c r="I1233" s="1" t="s">
        <v>18</v>
      </c>
      <c r="J1233" s="1">
        <v>5</v>
      </c>
      <c r="K1233" s="1" t="s">
        <v>19</v>
      </c>
      <c r="L1233" s="1" t="s">
        <v>62</v>
      </c>
      <c r="M1233" s="1">
        <f>orders[[#This Row],[Ship Date]]-orders[[#This Row],[Order Date]]</f>
        <v>1</v>
      </c>
      <c r="N1233" s="1">
        <f>WEEKNUM(orders[[#This Row],[Order Date]])</f>
        <v>8</v>
      </c>
      <c r="O1233" s="1" t="str" cm="1">
        <f t="array" ref="O1233">_xlfn.IFS(orders[[#This Row],[Customer Gender]]="M","Male", orders[[#This Row],[Customer Gender]]="F","Female", orders[[#This Row],[Customer Gender]]="O","Other", TRUE,"Unknown")</f>
        <v>Male</v>
      </c>
    </row>
    <row r="1234" spans="1:15">
      <c r="A1234" s="1" t="s">
        <v>1331</v>
      </c>
      <c r="B1234" s="1" t="s">
        <v>26</v>
      </c>
      <c r="C1234" s="1">
        <v>11</v>
      </c>
      <c r="D1234" s="1">
        <v>88.6</v>
      </c>
      <c r="E1234" s="11">
        <v>974.59999999999991</v>
      </c>
      <c r="F1234" s="3">
        <v>45706</v>
      </c>
      <c r="G1234" s="3">
        <v>45709</v>
      </c>
      <c r="H1234" s="1" t="s">
        <v>27</v>
      </c>
      <c r="I1234" s="1" t="s">
        <v>18</v>
      </c>
      <c r="J1234" s="1">
        <v>2</v>
      </c>
      <c r="K1234" s="1" t="s">
        <v>19</v>
      </c>
      <c r="L1234" s="1" t="s">
        <v>103</v>
      </c>
      <c r="M1234" s="1">
        <f>orders[[#This Row],[Ship Date]]-orders[[#This Row],[Order Date]]</f>
        <v>3</v>
      </c>
      <c r="N1234" s="1">
        <f>WEEKNUM(orders[[#This Row],[Order Date]])</f>
        <v>8</v>
      </c>
      <c r="O1234" s="1" t="str" cm="1">
        <f t="array" ref="O1234">_xlfn.IFS(orders[[#This Row],[Customer Gender]]="M","Male", orders[[#This Row],[Customer Gender]]="F","Female", orders[[#This Row],[Customer Gender]]="O","Other", TRUE,"Unknown")</f>
        <v>Female</v>
      </c>
    </row>
    <row r="1235" spans="1:15">
      <c r="A1235" s="1" t="s">
        <v>1332</v>
      </c>
      <c r="B1235" s="1" t="s">
        <v>46</v>
      </c>
      <c r="C1235" s="1">
        <v>2</v>
      </c>
      <c r="D1235" s="1">
        <v>49.7</v>
      </c>
      <c r="E1235" s="11">
        <v>99.4</v>
      </c>
      <c r="F1235" s="3">
        <v>45706</v>
      </c>
      <c r="G1235" s="3">
        <v>45708</v>
      </c>
      <c r="H1235" s="1" t="s">
        <v>89</v>
      </c>
      <c r="I1235" s="1" t="s">
        <v>70</v>
      </c>
      <c r="J1235" s="1">
        <v>4</v>
      </c>
      <c r="K1235" s="1" t="s">
        <v>19</v>
      </c>
      <c r="L1235" s="1" t="s">
        <v>74</v>
      </c>
      <c r="M1235" s="1">
        <f>orders[[#This Row],[Ship Date]]-orders[[#This Row],[Order Date]]</f>
        <v>2</v>
      </c>
      <c r="N1235" s="1">
        <f>WEEKNUM(orders[[#This Row],[Order Date]])</f>
        <v>8</v>
      </c>
      <c r="O1235" s="1" t="str" cm="1">
        <f t="array" ref="O1235">_xlfn.IFS(orders[[#This Row],[Customer Gender]]="M","Male", orders[[#This Row],[Customer Gender]]="F","Female", orders[[#This Row],[Customer Gender]]="O","Other", TRUE,"Unknown")</f>
        <v>Other</v>
      </c>
    </row>
    <row r="1236" spans="1:15">
      <c r="A1236" s="1" t="s">
        <v>1333</v>
      </c>
      <c r="B1236" s="1" t="s">
        <v>54</v>
      </c>
      <c r="C1236" s="1">
        <v>1</v>
      </c>
      <c r="D1236" s="1">
        <v>29</v>
      </c>
      <c r="E1236" s="11">
        <v>29</v>
      </c>
      <c r="F1236" s="3">
        <v>45706</v>
      </c>
      <c r="G1236" s="3">
        <v>45707</v>
      </c>
      <c r="H1236" s="1" t="s">
        <v>23</v>
      </c>
      <c r="I1236" s="1" t="s">
        <v>18</v>
      </c>
      <c r="J1236" s="1">
        <v>4</v>
      </c>
      <c r="K1236" s="1" t="s">
        <v>19</v>
      </c>
      <c r="L1236" s="1" t="s">
        <v>77</v>
      </c>
      <c r="M1236" s="1">
        <f>orders[[#This Row],[Ship Date]]-orders[[#This Row],[Order Date]]</f>
        <v>1</v>
      </c>
      <c r="N1236" s="1">
        <f>WEEKNUM(orders[[#This Row],[Order Date]])</f>
        <v>8</v>
      </c>
      <c r="O1236" s="1" t="str" cm="1">
        <f t="array" ref="O1236">_xlfn.IFS(orders[[#This Row],[Customer Gender]]="M","Male", orders[[#This Row],[Customer Gender]]="F","Female", orders[[#This Row],[Customer Gender]]="O","Other", TRUE,"Unknown")</f>
        <v>Male</v>
      </c>
    </row>
    <row r="1237" spans="1:15">
      <c r="A1237" s="1" t="s">
        <v>1334</v>
      </c>
      <c r="B1237" s="1" t="s">
        <v>22</v>
      </c>
      <c r="C1237" s="1">
        <v>1</v>
      </c>
      <c r="D1237" s="1">
        <v>60.7</v>
      </c>
      <c r="E1237" s="11">
        <v>60.7</v>
      </c>
      <c r="F1237" s="3">
        <v>45706</v>
      </c>
      <c r="G1237" s="3">
        <v>45707</v>
      </c>
      <c r="H1237" s="1" t="s">
        <v>89</v>
      </c>
      <c r="I1237" s="1" t="s">
        <v>18</v>
      </c>
      <c r="J1237" s="1">
        <v>3</v>
      </c>
      <c r="K1237" s="1" t="s">
        <v>19</v>
      </c>
      <c r="L1237" s="1" t="s">
        <v>77</v>
      </c>
      <c r="M1237" s="1">
        <f>orders[[#This Row],[Ship Date]]-orders[[#This Row],[Order Date]]</f>
        <v>1</v>
      </c>
      <c r="N1237" s="1">
        <f>WEEKNUM(orders[[#This Row],[Order Date]])</f>
        <v>8</v>
      </c>
      <c r="O1237" s="1" t="str" cm="1">
        <f t="array" ref="O1237">_xlfn.IFS(orders[[#This Row],[Customer Gender]]="M","Male", orders[[#This Row],[Customer Gender]]="F","Female", orders[[#This Row],[Customer Gender]]="O","Other", TRUE,"Unknown")</f>
        <v>Other</v>
      </c>
    </row>
    <row r="1238" spans="1:15">
      <c r="A1238" s="1" t="s">
        <v>1335</v>
      </c>
      <c r="B1238" s="1" t="s">
        <v>135</v>
      </c>
      <c r="C1238" s="1">
        <v>4</v>
      </c>
      <c r="D1238" s="1">
        <v>87.4</v>
      </c>
      <c r="E1238" s="11">
        <v>349.6</v>
      </c>
      <c r="F1238" s="3">
        <v>45706</v>
      </c>
      <c r="G1238" s="3">
        <v>45708</v>
      </c>
      <c r="H1238" s="1" t="s">
        <v>17</v>
      </c>
      <c r="I1238" s="1" t="s">
        <v>18</v>
      </c>
      <c r="J1238" s="1">
        <v>4</v>
      </c>
      <c r="K1238" s="1" t="s">
        <v>19</v>
      </c>
      <c r="L1238" s="1" t="s">
        <v>77</v>
      </c>
      <c r="M1238" s="1">
        <f>orders[[#This Row],[Ship Date]]-orders[[#This Row],[Order Date]]</f>
        <v>2</v>
      </c>
      <c r="N1238" s="1">
        <f>WEEKNUM(orders[[#This Row],[Order Date]])</f>
        <v>8</v>
      </c>
      <c r="O1238" s="1" t="str" cm="1">
        <f t="array" ref="O1238">_xlfn.IFS(orders[[#This Row],[Customer Gender]]="M","Male", orders[[#This Row],[Customer Gender]]="F","Female", orders[[#This Row],[Customer Gender]]="O","Other", TRUE,"Unknown")</f>
        <v>Unknown</v>
      </c>
    </row>
    <row r="1239" spans="1:15">
      <c r="A1239" s="1" t="s">
        <v>1336</v>
      </c>
      <c r="B1239" s="1" t="s">
        <v>32</v>
      </c>
      <c r="C1239" s="1">
        <v>7</v>
      </c>
      <c r="D1239" s="1">
        <v>44.5</v>
      </c>
      <c r="E1239" s="11">
        <v>311.5</v>
      </c>
      <c r="F1239" s="3">
        <v>45706</v>
      </c>
      <c r="G1239" s="3">
        <v>45710</v>
      </c>
      <c r="H1239" s="1" t="s">
        <v>27</v>
      </c>
      <c r="I1239" s="1" t="s">
        <v>40</v>
      </c>
      <c r="J1239" s="1">
        <v>5</v>
      </c>
      <c r="K1239" s="1" t="s">
        <v>19</v>
      </c>
      <c r="L1239" s="1" t="s">
        <v>110</v>
      </c>
      <c r="M1239" s="1">
        <f>orders[[#This Row],[Ship Date]]-orders[[#This Row],[Order Date]]</f>
        <v>4</v>
      </c>
      <c r="N1239" s="1">
        <f>WEEKNUM(orders[[#This Row],[Order Date]])</f>
        <v>8</v>
      </c>
      <c r="O1239" s="1" t="str" cm="1">
        <f t="array" ref="O1239">_xlfn.IFS(orders[[#This Row],[Customer Gender]]="M","Male", orders[[#This Row],[Customer Gender]]="F","Female", orders[[#This Row],[Customer Gender]]="O","Other", TRUE,"Unknown")</f>
        <v>Female</v>
      </c>
    </row>
    <row r="1240" spans="1:15">
      <c r="A1240" s="1" t="s">
        <v>1337</v>
      </c>
      <c r="B1240" s="1" t="s">
        <v>26</v>
      </c>
      <c r="C1240" s="1">
        <v>1</v>
      </c>
      <c r="D1240" s="1">
        <v>141</v>
      </c>
      <c r="E1240" s="11">
        <v>141</v>
      </c>
      <c r="F1240" s="3">
        <v>45706</v>
      </c>
      <c r="G1240" s="3">
        <v>45707</v>
      </c>
      <c r="H1240" s="1" t="s">
        <v>23</v>
      </c>
      <c r="I1240" s="1" t="s">
        <v>70</v>
      </c>
      <c r="J1240" s="1">
        <v>5</v>
      </c>
      <c r="K1240" s="1" t="s">
        <v>19</v>
      </c>
      <c r="L1240" s="1" t="s">
        <v>110</v>
      </c>
      <c r="M1240" s="1">
        <f>orders[[#This Row],[Ship Date]]-orders[[#This Row],[Order Date]]</f>
        <v>1</v>
      </c>
      <c r="N1240" s="1">
        <f>WEEKNUM(orders[[#This Row],[Order Date]])</f>
        <v>8</v>
      </c>
      <c r="O1240" s="1" t="str" cm="1">
        <f t="array" ref="O1240">_xlfn.IFS(orders[[#This Row],[Customer Gender]]="M","Male", orders[[#This Row],[Customer Gender]]="F","Female", orders[[#This Row],[Customer Gender]]="O","Other", TRUE,"Unknown")</f>
        <v>Male</v>
      </c>
    </row>
    <row r="1241" spans="1:15">
      <c r="A1241" s="1" t="s">
        <v>1338</v>
      </c>
      <c r="B1241" s="1" t="s">
        <v>16</v>
      </c>
      <c r="C1241" s="1">
        <v>3</v>
      </c>
      <c r="D1241" s="1">
        <v>16.7</v>
      </c>
      <c r="E1241" s="11">
        <v>50.099999999999994</v>
      </c>
      <c r="F1241" s="3">
        <v>45706</v>
      </c>
      <c r="G1241" s="3">
        <v>45714</v>
      </c>
      <c r="H1241" s="1" t="s">
        <v>27</v>
      </c>
      <c r="I1241" s="1" t="s">
        <v>18</v>
      </c>
      <c r="J1241" s="1">
        <v>4</v>
      </c>
      <c r="K1241" s="1" t="s">
        <v>19</v>
      </c>
      <c r="L1241" s="1" t="s">
        <v>113</v>
      </c>
      <c r="M1241" s="1">
        <f>orders[[#This Row],[Ship Date]]-orders[[#This Row],[Order Date]]</f>
        <v>8</v>
      </c>
      <c r="N1241" s="1">
        <f>WEEKNUM(orders[[#This Row],[Order Date]])</f>
        <v>8</v>
      </c>
      <c r="O1241" s="1" t="str" cm="1">
        <f t="array" ref="O1241">_xlfn.IFS(orders[[#This Row],[Customer Gender]]="M","Male", orders[[#This Row],[Customer Gender]]="F","Female", orders[[#This Row],[Customer Gender]]="O","Other", TRUE,"Unknown")</f>
        <v>Female</v>
      </c>
    </row>
    <row r="1242" spans="1:15">
      <c r="A1242" s="1" t="s">
        <v>1339</v>
      </c>
      <c r="B1242" s="1" t="s">
        <v>22</v>
      </c>
      <c r="C1242" s="1">
        <v>2</v>
      </c>
      <c r="D1242" s="1">
        <v>77.5</v>
      </c>
      <c r="E1242" s="11">
        <v>155</v>
      </c>
      <c r="F1242" s="3">
        <v>45706</v>
      </c>
      <c r="G1242" s="3">
        <v>45707</v>
      </c>
      <c r="H1242" s="1" t="s">
        <v>17</v>
      </c>
      <c r="I1242" s="1" t="s">
        <v>40</v>
      </c>
      <c r="J1242" s="1">
        <v>5</v>
      </c>
      <c r="K1242" s="1" t="s">
        <v>19</v>
      </c>
      <c r="L1242" s="1" t="s">
        <v>82</v>
      </c>
      <c r="M1242" s="1">
        <f>orders[[#This Row],[Ship Date]]-orders[[#This Row],[Order Date]]</f>
        <v>1</v>
      </c>
      <c r="N1242" s="1">
        <f>WEEKNUM(orders[[#This Row],[Order Date]])</f>
        <v>8</v>
      </c>
      <c r="O1242" s="1" t="str" cm="1">
        <f t="array" ref="O1242">_xlfn.IFS(orders[[#This Row],[Customer Gender]]="M","Male", orders[[#This Row],[Customer Gender]]="F","Female", orders[[#This Row],[Customer Gender]]="O","Other", TRUE,"Unknown")</f>
        <v>Unknown</v>
      </c>
    </row>
    <row r="1243" spans="1:15">
      <c r="A1243" s="1" t="s">
        <v>1340</v>
      </c>
      <c r="B1243" s="1" t="s">
        <v>26</v>
      </c>
      <c r="C1243" s="1">
        <v>2</v>
      </c>
      <c r="D1243" s="1">
        <v>163</v>
      </c>
      <c r="E1243" s="11">
        <v>326</v>
      </c>
      <c r="F1243" s="3">
        <v>45706</v>
      </c>
      <c r="G1243" s="3">
        <v>45712</v>
      </c>
      <c r="H1243" s="1" t="s">
        <v>27</v>
      </c>
      <c r="I1243" s="1" t="s">
        <v>70</v>
      </c>
      <c r="J1243" s="1">
        <v>4</v>
      </c>
      <c r="K1243" s="1" t="s">
        <v>19</v>
      </c>
      <c r="L1243" s="1" t="s">
        <v>115</v>
      </c>
      <c r="M1243" s="1">
        <f>orders[[#This Row],[Ship Date]]-orders[[#This Row],[Order Date]]</f>
        <v>6</v>
      </c>
      <c r="N1243" s="1">
        <f>WEEKNUM(orders[[#This Row],[Order Date]])</f>
        <v>8</v>
      </c>
      <c r="O1243" s="1" t="str" cm="1">
        <f t="array" ref="O1243">_xlfn.IFS(orders[[#This Row],[Customer Gender]]="M","Male", orders[[#This Row],[Customer Gender]]="F","Female", orders[[#This Row],[Customer Gender]]="O","Other", TRUE,"Unknown")</f>
        <v>Female</v>
      </c>
    </row>
    <row r="1244" spans="1:15">
      <c r="A1244" s="1" t="s">
        <v>1341</v>
      </c>
      <c r="B1244" s="1" t="s">
        <v>32</v>
      </c>
      <c r="C1244" s="1">
        <v>9</v>
      </c>
      <c r="D1244" s="1">
        <v>21.4</v>
      </c>
      <c r="E1244" s="11">
        <v>192.6</v>
      </c>
      <c r="F1244" s="3">
        <v>45706</v>
      </c>
      <c r="G1244" s="3">
        <v>45709</v>
      </c>
      <c r="H1244" s="1" t="s">
        <v>27</v>
      </c>
      <c r="I1244" s="1" t="s">
        <v>18</v>
      </c>
      <c r="J1244" s="1">
        <v>4</v>
      </c>
      <c r="K1244" s="1" t="s">
        <v>19</v>
      </c>
      <c r="L1244" s="1" t="s">
        <v>967</v>
      </c>
      <c r="M1244" s="1">
        <f>orders[[#This Row],[Ship Date]]-orders[[#This Row],[Order Date]]</f>
        <v>3</v>
      </c>
      <c r="N1244" s="1">
        <f>WEEKNUM(orders[[#This Row],[Order Date]])</f>
        <v>8</v>
      </c>
      <c r="O1244" s="1" t="str" cm="1">
        <f t="array" ref="O1244">_xlfn.IFS(orders[[#This Row],[Customer Gender]]="M","Male", orders[[#This Row],[Customer Gender]]="F","Female", orders[[#This Row],[Customer Gender]]="O","Other", TRUE,"Unknown")</f>
        <v>Female</v>
      </c>
    </row>
    <row r="1245" spans="1:15">
      <c r="A1245" s="1" t="s">
        <v>1342</v>
      </c>
      <c r="B1245" s="1" t="s">
        <v>54</v>
      </c>
      <c r="C1245" s="1">
        <v>11</v>
      </c>
      <c r="D1245" s="1">
        <v>31</v>
      </c>
      <c r="E1245" s="11">
        <v>341</v>
      </c>
      <c r="F1245" s="3">
        <v>45706</v>
      </c>
      <c r="G1245" s="3">
        <v>45708</v>
      </c>
      <c r="H1245" s="1" t="s">
        <v>27</v>
      </c>
      <c r="I1245" s="1" t="s">
        <v>51</v>
      </c>
      <c r="J1245" s="1">
        <v>5</v>
      </c>
      <c r="K1245" s="1" t="s">
        <v>19</v>
      </c>
      <c r="L1245" s="1" t="s">
        <v>24</v>
      </c>
      <c r="M1245" s="1">
        <f>orders[[#This Row],[Ship Date]]-orders[[#This Row],[Order Date]]</f>
        <v>2</v>
      </c>
      <c r="N1245" s="1">
        <f>WEEKNUM(orders[[#This Row],[Order Date]])</f>
        <v>8</v>
      </c>
      <c r="O1245" s="1" t="str" cm="1">
        <f t="array" ref="O1245">_xlfn.IFS(orders[[#This Row],[Customer Gender]]="M","Male", orders[[#This Row],[Customer Gender]]="F","Female", orders[[#This Row],[Customer Gender]]="O","Other", TRUE,"Unknown")</f>
        <v>Female</v>
      </c>
    </row>
    <row r="1246" spans="1:15">
      <c r="A1246" s="1" t="s">
        <v>1343</v>
      </c>
      <c r="B1246" s="1" t="s">
        <v>42</v>
      </c>
      <c r="C1246" s="1">
        <v>2</v>
      </c>
      <c r="D1246" s="1">
        <v>34.299999999999997</v>
      </c>
      <c r="E1246" s="11">
        <v>68.599999999999994</v>
      </c>
      <c r="F1246" s="3">
        <v>45706</v>
      </c>
      <c r="G1246" s="3">
        <v>45708</v>
      </c>
      <c r="H1246" s="1" t="s">
        <v>27</v>
      </c>
      <c r="I1246" s="1" t="s">
        <v>18</v>
      </c>
      <c r="J1246" s="1">
        <v>1</v>
      </c>
      <c r="K1246" s="1" t="s">
        <v>19</v>
      </c>
      <c r="L1246" s="1" t="s">
        <v>24</v>
      </c>
      <c r="M1246" s="1">
        <f>orders[[#This Row],[Ship Date]]-orders[[#This Row],[Order Date]]</f>
        <v>2</v>
      </c>
      <c r="N1246" s="1">
        <f>WEEKNUM(orders[[#This Row],[Order Date]])</f>
        <v>8</v>
      </c>
      <c r="O1246" s="1" t="str" cm="1">
        <f t="array" ref="O1246">_xlfn.IFS(orders[[#This Row],[Customer Gender]]="M","Male", orders[[#This Row],[Customer Gender]]="F","Female", orders[[#This Row],[Customer Gender]]="O","Other", TRUE,"Unknown")</f>
        <v>Female</v>
      </c>
    </row>
    <row r="1247" spans="1:15">
      <c r="A1247" s="1" t="s">
        <v>1344</v>
      </c>
      <c r="B1247" s="1" t="s">
        <v>135</v>
      </c>
      <c r="C1247" s="1">
        <v>5</v>
      </c>
      <c r="D1247" s="1">
        <v>48.2</v>
      </c>
      <c r="E1247" s="11">
        <v>241</v>
      </c>
      <c r="F1247" s="3">
        <v>45706</v>
      </c>
      <c r="G1247" s="3">
        <v>45707</v>
      </c>
      <c r="H1247" s="1" t="s">
        <v>23</v>
      </c>
      <c r="I1247" s="1" t="s">
        <v>35</v>
      </c>
      <c r="J1247" s="1">
        <v>3</v>
      </c>
      <c r="K1247" s="1" t="s">
        <v>19</v>
      </c>
      <c r="L1247" s="1" t="s">
        <v>28</v>
      </c>
      <c r="M1247" s="1">
        <f>orders[[#This Row],[Ship Date]]-orders[[#This Row],[Order Date]]</f>
        <v>1</v>
      </c>
      <c r="N1247" s="1">
        <f>WEEKNUM(orders[[#This Row],[Order Date]])</f>
        <v>8</v>
      </c>
      <c r="O1247" s="1" t="str" cm="1">
        <f t="array" ref="O1247">_xlfn.IFS(orders[[#This Row],[Customer Gender]]="M","Male", orders[[#This Row],[Customer Gender]]="F","Female", orders[[#This Row],[Customer Gender]]="O","Other", TRUE,"Unknown")</f>
        <v>Male</v>
      </c>
    </row>
    <row r="1248" spans="1:15">
      <c r="A1248" s="1" t="s">
        <v>1345</v>
      </c>
      <c r="B1248" s="1" t="s">
        <v>54</v>
      </c>
      <c r="C1248" s="1">
        <v>1</v>
      </c>
      <c r="D1248" s="1">
        <v>51.4</v>
      </c>
      <c r="E1248" s="11">
        <v>51.4</v>
      </c>
      <c r="F1248" s="3">
        <v>45706</v>
      </c>
      <c r="G1248" s="3">
        <v>45707</v>
      </c>
      <c r="H1248" s="1" t="s">
        <v>23</v>
      </c>
      <c r="I1248" s="1" t="s">
        <v>18</v>
      </c>
      <c r="J1248" s="1">
        <v>4</v>
      </c>
      <c r="K1248" s="1" t="s">
        <v>19</v>
      </c>
      <c r="L1248" s="1" t="s">
        <v>33</v>
      </c>
      <c r="M1248" s="1">
        <f>orders[[#This Row],[Ship Date]]-orders[[#This Row],[Order Date]]</f>
        <v>1</v>
      </c>
      <c r="N1248" s="1">
        <f>WEEKNUM(orders[[#This Row],[Order Date]])</f>
        <v>8</v>
      </c>
      <c r="O1248" s="1" t="str" cm="1">
        <f t="array" ref="O1248">_xlfn.IFS(orders[[#This Row],[Customer Gender]]="M","Male", orders[[#This Row],[Customer Gender]]="F","Female", orders[[#This Row],[Customer Gender]]="O","Other", TRUE,"Unknown")</f>
        <v>Male</v>
      </c>
    </row>
    <row r="1249" spans="1:15">
      <c r="A1249" s="1" t="s">
        <v>1346</v>
      </c>
      <c r="B1249" s="1" t="s">
        <v>26</v>
      </c>
      <c r="C1249" s="1">
        <v>5</v>
      </c>
      <c r="D1249" s="1">
        <v>117.2</v>
      </c>
      <c r="E1249" s="11">
        <v>586</v>
      </c>
      <c r="F1249" s="3">
        <v>45706</v>
      </c>
      <c r="G1249" s="3">
        <v>45709</v>
      </c>
      <c r="H1249" s="1" t="s">
        <v>27</v>
      </c>
      <c r="I1249" s="1" t="s">
        <v>70</v>
      </c>
      <c r="J1249" s="1">
        <v>2</v>
      </c>
      <c r="K1249" s="1" t="s">
        <v>19</v>
      </c>
      <c r="L1249" s="1" t="s">
        <v>33</v>
      </c>
      <c r="M1249" s="1">
        <f>orders[[#This Row],[Ship Date]]-orders[[#This Row],[Order Date]]</f>
        <v>3</v>
      </c>
      <c r="N1249" s="1">
        <f>WEEKNUM(orders[[#This Row],[Order Date]])</f>
        <v>8</v>
      </c>
      <c r="O1249" s="1" t="str" cm="1">
        <f t="array" ref="O1249">_xlfn.IFS(orders[[#This Row],[Customer Gender]]="M","Male", orders[[#This Row],[Customer Gender]]="F","Female", orders[[#This Row],[Customer Gender]]="O","Other", TRUE,"Unknown")</f>
        <v>Female</v>
      </c>
    </row>
    <row r="1250" spans="1:15">
      <c r="A1250" s="1" t="s">
        <v>1347</v>
      </c>
      <c r="B1250" s="1" t="s">
        <v>44</v>
      </c>
      <c r="C1250" s="1">
        <v>1</v>
      </c>
      <c r="D1250" s="1">
        <v>38.1</v>
      </c>
      <c r="E1250" s="11">
        <v>38.1</v>
      </c>
      <c r="F1250" s="3">
        <v>45706</v>
      </c>
      <c r="G1250" s="3">
        <v>45706</v>
      </c>
      <c r="H1250" s="1" t="s">
        <v>23</v>
      </c>
      <c r="I1250" s="1" t="s">
        <v>70</v>
      </c>
      <c r="J1250" s="1">
        <v>3</v>
      </c>
      <c r="K1250" s="1" t="s">
        <v>19</v>
      </c>
      <c r="L1250" s="1" t="s">
        <v>33</v>
      </c>
      <c r="M1250" s="1">
        <f>orders[[#This Row],[Ship Date]]-orders[[#This Row],[Order Date]]</f>
        <v>0</v>
      </c>
      <c r="N1250" s="1">
        <f>WEEKNUM(orders[[#This Row],[Order Date]])</f>
        <v>8</v>
      </c>
      <c r="O1250" s="1" t="str" cm="1">
        <f t="array" ref="O1250">_xlfn.IFS(orders[[#This Row],[Customer Gender]]="M","Male", orders[[#This Row],[Customer Gender]]="F","Female", orders[[#This Row],[Customer Gender]]="O","Other", TRUE,"Unknown")</f>
        <v>Male</v>
      </c>
    </row>
    <row r="1251" spans="1:15">
      <c r="A1251" s="1" t="s">
        <v>1348</v>
      </c>
      <c r="B1251" s="1" t="s">
        <v>16</v>
      </c>
      <c r="C1251" s="1">
        <v>2</v>
      </c>
      <c r="D1251" s="1">
        <v>44.1</v>
      </c>
      <c r="E1251" s="11">
        <v>88.2</v>
      </c>
      <c r="F1251" s="3">
        <v>45706</v>
      </c>
      <c r="G1251" s="3">
        <v>45708</v>
      </c>
      <c r="H1251" s="1" t="s">
        <v>27</v>
      </c>
      <c r="I1251" s="1" t="s">
        <v>40</v>
      </c>
      <c r="J1251" s="1">
        <v>4</v>
      </c>
      <c r="K1251" s="1" t="s">
        <v>19</v>
      </c>
      <c r="L1251" s="1" t="s">
        <v>33</v>
      </c>
      <c r="M1251" s="1">
        <f>orders[[#This Row],[Ship Date]]-orders[[#This Row],[Order Date]]</f>
        <v>2</v>
      </c>
      <c r="N1251" s="1">
        <f>WEEKNUM(orders[[#This Row],[Order Date]])</f>
        <v>8</v>
      </c>
      <c r="O1251" s="1" t="str" cm="1">
        <f t="array" ref="O1251">_xlfn.IFS(orders[[#This Row],[Customer Gender]]="M","Male", orders[[#This Row],[Customer Gender]]="F","Female", orders[[#This Row],[Customer Gender]]="O","Other", TRUE,"Unknown")</f>
        <v>Female</v>
      </c>
    </row>
    <row r="1252" spans="1:15">
      <c r="A1252" s="1" t="s">
        <v>1349</v>
      </c>
      <c r="B1252" s="1" t="s">
        <v>123</v>
      </c>
      <c r="C1252" s="1">
        <v>4</v>
      </c>
      <c r="D1252" s="1">
        <v>80.5</v>
      </c>
      <c r="E1252" s="11">
        <v>322</v>
      </c>
      <c r="F1252" s="3">
        <v>45706</v>
      </c>
      <c r="G1252" s="3">
        <v>45711</v>
      </c>
      <c r="H1252" s="1" t="s">
        <v>23</v>
      </c>
      <c r="I1252" s="1" t="s">
        <v>18</v>
      </c>
      <c r="J1252" s="1">
        <v>4</v>
      </c>
      <c r="K1252" s="1" t="s">
        <v>19</v>
      </c>
      <c r="L1252" s="1" t="s">
        <v>33</v>
      </c>
      <c r="M1252" s="1">
        <f>orders[[#This Row],[Ship Date]]-orders[[#This Row],[Order Date]]</f>
        <v>5</v>
      </c>
      <c r="N1252" s="1">
        <f>WEEKNUM(orders[[#This Row],[Order Date]])</f>
        <v>8</v>
      </c>
      <c r="O1252" s="1" t="str" cm="1">
        <f t="array" ref="O1252">_xlfn.IFS(orders[[#This Row],[Customer Gender]]="M","Male", orders[[#This Row],[Customer Gender]]="F","Female", orders[[#This Row],[Customer Gender]]="O","Other", TRUE,"Unknown")</f>
        <v>Male</v>
      </c>
    </row>
    <row r="1253" spans="1:15">
      <c r="A1253" s="1" t="s">
        <v>1350</v>
      </c>
      <c r="B1253" s="1" t="s">
        <v>146</v>
      </c>
      <c r="C1253" s="1">
        <v>4</v>
      </c>
      <c r="D1253" s="1">
        <v>33.6</v>
      </c>
      <c r="E1253" s="11">
        <v>134.4</v>
      </c>
      <c r="F1253" s="3">
        <v>45706</v>
      </c>
      <c r="G1253" s="3">
        <v>45711</v>
      </c>
      <c r="H1253" s="1" t="s">
        <v>17</v>
      </c>
      <c r="I1253" s="1" t="s">
        <v>18</v>
      </c>
      <c r="J1253" s="1">
        <v>5</v>
      </c>
      <c r="K1253" s="1" t="s">
        <v>19</v>
      </c>
      <c r="L1253" s="1" t="s">
        <v>33</v>
      </c>
      <c r="M1253" s="1">
        <f>orders[[#This Row],[Ship Date]]-orders[[#This Row],[Order Date]]</f>
        <v>5</v>
      </c>
      <c r="N1253" s="1">
        <f>WEEKNUM(orders[[#This Row],[Order Date]])</f>
        <v>8</v>
      </c>
      <c r="O1253" s="1" t="str" cm="1">
        <f t="array" ref="O1253">_xlfn.IFS(orders[[#This Row],[Customer Gender]]="M","Male", orders[[#This Row],[Customer Gender]]="F","Female", orders[[#This Row],[Customer Gender]]="O","Other", TRUE,"Unknown")</f>
        <v>Unknown</v>
      </c>
    </row>
    <row r="1254" spans="1:15">
      <c r="A1254" s="1" t="s">
        <v>1351</v>
      </c>
      <c r="B1254" s="1" t="s">
        <v>46</v>
      </c>
      <c r="C1254" s="1">
        <v>9</v>
      </c>
      <c r="D1254" s="1">
        <v>41.8</v>
      </c>
      <c r="E1254" s="11">
        <v>376.2</v>
      </c>
      <c r="F1254" s="3">
        <v>45706</v>
      </c>
      <c r="G1254" s="3">
        <v>45707</v>
      </c>
      <c r="H1254" s="1" t="s">
        <v>27</v>
      </c>
      <c r="I1254" s="1" t="s">
        <v>18</v>
      </c>
      <c r="J1254" s="1">
        <v>3</v>
      </c>
      <c r="K1254" s="1" t="s">
        <v>19</v>
      </c>
      <c r="L1254" s="1" t="s">
        <v>33</v>
      </c>
      <c r="M1254" s="1">
        <f>orders[[#This Row],[Ship Date]]-orders[[#This Row],[Order Date]]</f>
        <v>1</v>
      </c>
      <c r="N1254" s="1">
        <f>WEEKNUM(orders[[#This Row],[Order Date]])</f>
        <v>8</v>
      </c>
      <c r="O1254" s="1" t="str" cm="1">
        <f t="array" ref="O1254">_xlfn.IFS(orders[[#This Row],[Customer Gender]]="M","Male", orders[[#This Row],[Customer Gender]]="F","Female", orders[[#This Row],[Customer Gender]]="O","Other", TRUE,"Unknown")</f>
        <v>Female</v>
      </c>
    </row>
    <row r="1255" spans="1:15">
      <c r="A1255" s="1" t="s">
        <v>1352</v>
      </c>
      <c r="B1255" s="1" t="s">
        <v>22</v>
      </c>
      <c r="C1255" s="1">
        <v>2</v>
      </c>
      <c r="D1255" s="1">
        <v>106.2</v>
      </c>
      <c r="E1255" s="11">
        <v>212.4</v>
      </c>
      <c r="F1255" s="3">
        <v>45706</v>
      </c>
      <c r="G1255" s="3">
        <v>45706</v>
      </c>
      <c r="H1255" s="1" t="s">
        <v>27</v>
      </c>
      <c r="I1255" s="1" t="s">
        <v>70</v>
      </c>
      <c r="J1255" s="1">
        <v>5</v>
      </c>
      <c r="K1255" s="1" t="s">
        <v>19</v>
      </c>
      <c r="L1255" s="1" t="s">
        <v>33</v>
      </c>
      <c r="M1255" s="1">
        <f>orders[[#This Row],[Ship Date]]-orders[[#This Row],[Order Date]]</f>
        <v>0</v>
      </c>
      <c r="N1255" s="1">
        <f>WEEKNUM(orders[[#This Row],[Order Date]])</f>
        <v>8</v>
      </c>
      <c r="O1255" s="1" t="str" cm="1">
        <f t="array" ref="O1255">_xlfn.IFS(orders[[#This Row],[Customer Gender]]="M","Male", orders[[#This Row],[Customer Gender]]="F","Female", orders[[#This Row],[Customer Gender]]="O","Other", TRUE,"Unknown")</f>
        <v>Female</v>
      </c>
    </row>
    <row r="1256" spans="1:15">
      <c r="A1256" s="1" t="s">
        <v>1353</v>
      </c>
      <c r="B1256" s="1" t="s">
        <v>22</v>
      </c>
      <c r="C1256" s="1">
        <v>2</v>
      </c>
      <c r="D1256" s="1">
        <v>52.6</v>
      </c>
      <c r="E1256" s="11">
        <v>105.2</v>
      </c>
      <c r="F1256" s="3">
        <v>45706</v>
      </c>
      <c r="G1256" s="3">
        <v>45707</v>
      </c>
      <c r="H1256" s="1" t="s">
        <v>27</v>
      </c>
      <c r="I1256" s="1" t="s">
        <v>18</v>
      </c>
      <c r="J1256" s="1">
        <v>5</v>
      </c>
      <c r="K1256" s="1" t="s">
        <v>19</v>
      </c>
      <c r="L1256" s="1" t="s">
        <v>52</v>
      </c>
      <c r="M1256" s="1">
        <f>orders[[#This Row],[Ship Date]]-orders[[#This Row],[Order Date]]</f>
        <v>1</v>
      </c>
      <c r="N1256" s="1">
        <f>WEEKNUM(orders[[#This Row],[Order Date]])</f>
        <v>8</v>
      </c>
      <c r="O1256" s="1" t="str" cm="1">
        <f t="array" ref="O1256">_xlfn.IFS(orders[[#This Row],[Customer Gender]]="M","Male", orders[[#This Row],[Customer Gender]]="F","Female", orders[[#This Row],[Customer Gender]]="O","Other", TRUE,"Unknown")</f>
        <v>Female</v>
      </c>
    </row>
    <row r="1257" spans="1:15">
      <c r="A1257" s="1" t="s">
        <v>1354</v>
      </c>
      <c r="B1257" s="1" t="s">
        <v>67</v>
      </c>
      <c r="C1257" s="1">
        <v>7</v>
      </c>
      <c r="D1257" s="1">
        <v>68.5</v>
      </c>
      <c r="E1257" s="11">
        <v>479.5</v>
      </c>
      <c r="F1257" s="3">
        <v>45706</v>
      </c>
      <c r="G1257" s="3">
        <v>45707</v>
      </c>
      <c r="H1257" s="1" t="s">
        <v>27</v>
      </c>
      <c r="I1257" s="1" t="s">
        <v>35</v>
      </c>
      <c r="J1257" s="1">
        <v>4</v>
      </c>
      <c r="K1257" s="1" t="s">
        <v>19</v>
      </c>
      <c r="L1257" s="1" t="s">
        <v>52</v>
      </c>
      <c r="M1257" s="1">
        <f>orders[[#This Row],[Ship Date]]-orders[[#This Row],[Order Date]]</f>
        <v>1</v>
      </c>
      <c r="N1257" s="1">
        <f>WEEKNUM(orders[[#This Row],[Order Date]])</f>
        <v>8</v>
      </c>
      <c r="O1257" s="1" t="str" cm="1">
        <f t="array" ref="O1257">_xlfn.IFS(orders[[#This Row],[Customer Gender]]="M","Male", orders[[#This Row],[Customer Gender]]="F","Female", orders[[#This Row],[Customer Gender]]="O","Other", TRUE,"Unknown")</f>
        <v>Female</v>
      </c>
    </row>
    <row r="1258" spans="1:15">
      <c r="A1258" s="1" t="s">
        <v>1355</v>
      </c>
      <c r="B1258" s="1" t="s">
        <v>22</v>
      </c>
      <c r="C1258" s="1">
        <v>2</v>
      </c>
      <c r="D1258" s="1">
        <v>55.6</v>
      </c>
      <c r="E1258" s="11">
        <v>111.2</v>
      </c>
      <c r="F1258" s="3">
        <v>45706</v>
      </c>
      <c r="G1258" s="3">
        <v>45708</v>
      </c>
      <c r="H1258" s="1" t="s">
        <v>23</v>
      </c>
      <c r="I1258" s="1" t="s">
        <v>35</v>
      </c>
      <c r="J1258" s="1">
        <v>5</v>
      </c>
      <c r="K1258" s="1" t="s">
        <v>19</v>
      </c>
      <c r="L1258" s="1" t="s">
        <v>55</v>
      </c>
      <c r="M1258" s="1">
        <f>orders[[#This Row],[Ship Date]]-orders[[#This Row],[Order Date]]</f>
        <v>2</v>
      </c>
      <c r="N1258" s="1">
        <f>WEEKNUM(orders[[#This Row],[Order Date]])</f>
        <v>8</v>
      </c>
      <c r="O1258" s="1" t="str" cm="1">
        <f t="array" ref="O1258">_xlfn.IFS(orders[[#This Row],[Customer Gender]]="M","Male", orders[[#This Row],[Customer Gender]]="F","Female", orders[[#This Row],[Customer Gender]]="O","Other", TRUE,"Unknown")</f>
        <v>Male</v>
      </c>
    </row>
    <row r="1259" spans="1:15">
      <c r="A1259" s="1" t="s">
        <v>1356</v>
      </c>
      <c r="B1259" s="1" t="s">
        <v>26</v>
      </c>
      <c r="C1259" s="1">
        <v>3</v>
      </c>
      <c r="D1259" s="1">
        <v>134.9</v>
      </c>
      <c r="E1259" s="11">
        <v>404.70000000000005</v>
      </c>
      <c r="F1259" s="3">
        <v>45706</v>
      </c>
      <c r="G1259" s="3">
        <v>45707</v>
      </c>
      <c r="H1259" s="1" t="s">
        <v>23</v>
      </c>
      <c r="I1259" s="1" t="s">
        <v>35</v>
      </c>
      <c r="J1259" s="1">
        <v>3</v>
      </c>
      <c r="K1259" s="1" t="s">
        <v>19</v>
      </c>
      <c r="L1259" s="1" t="s">
        <v>55</v>
      </c>
      <c r="M1259" s="1">
        <f>orders[[#This Row],[Ship Date]]-orders[[#This Row],[Order Date]]</f>
        <v>1</v>
      </c>
      <c r="N1259" s="1">
        <f>WEEKNUM(orders[[#This Row],[Order Date]])</f>
        <v>8</v>
      </c>
      <c r="O1259" s="1" t="str" cm="1">
        <f t="array" ref="O1259">_xlfn.IFS(orders[[#This Row],[Customer Gender]]="M","Male", orders[[#This Row],[Customer Gender]]="F","Female", orders[[#This Row],[Customer Gender]]="O","Other", TRUE,"Unknown")</f>
        <v>Male</v>
      </c>
    </row>
    <row r="1260" spans="1:15">
      <c r="A1260" s="1" t="s">
        <v>1357</v>
      </c>
      <c r="B1260" s="1" t="s">
        <v>54</v>
      </c>
      <c r="C1260" s="1">
        <v>5</v>
      </c>
      <c r="D1260" s="1">
        <v>42.6</v>
      </c>
      <c r="E1260" s="11">
        <v>213</v>
      </c>
      <c r="F1260" s="3">
        <v>45706</v>
      </c>
      <c r="G1260" s="3">
        <v>45707</v>
      </c>
      <c r="H1260" s="1" t="s">
        <v>23</v>
      </c>
      <c r="I1260" s="1" t="s">
        <v>18</v>
      </c>
      <c r="J1260" s="1">
        <v>4</v>
      </c>
      <c r="K1260" s="1" t="s">
        <v>19</v>
      </c>
      <c r="L1260" s="1" t="s">
        <v>55</v>
      </c>
      <c r="M1260" s="1">
        <f>orders[[#This Row],[Ship Date]]-orders[[#This Row],[Order Date]]</f>
        <v>1</v>
      </c>
      <c r="N1260" s="1">
        <f>WEEKNUM(orders[[#This Row],[Order Date]])</f>
        <v>8</v>
      </c>
      <c r="O1260" s="1" t="str" cm="1">
        <f t="array" ref="O1260">_xlfn.IFS(orders[[#This Row],[Customer Gender]]="M","Male", orders[[#This Row],[Customer Gender]]="F","Female", orders[[#This Row],[Customer Gender]]="O","Other", TRUE,"Unknown")</f>
        <v>Male</v>
      </c>
    </row>
    <row r="1261" spans="1:15">
      <c r="A1261" s="1" t="s">
        <v>1358</v>
      </c>
      <c r="B1261" s="1" t="s">
        <v>42</v>
      </c>
      <c r="C1261" s="1">
        <v>5</v>
      </c>
      <c r="D1261" s="1">
        <v>60.6</v>
      </c>
      <c r="E1261" s="11">
        <v>303</v>
      </c>
      <c r="F1261" s="3">
        <v>45706</v>
      </c>
      <c r="G1261" s="3">
        <v>45708</v>
      </c>
      <c r="H1261" s="1" t="s">
        <v>23</v>
      </c>
      <c r="I1261" s="1" t="s">
        <v>70</v>
      </c>
      <c r="J1261" s="1">
        <v>4</v>
      </c>
      <c r="K1261" s="1" t="s">
        <v>19</v>
      </c>
      <c r="L1261" s="1" t="s">
        <v>55</v>
      </c>
      <c r="M1261" s="1">
        <f>orders[[#This Row],[Ship Date]]-orders[[#This Row],[Order Date]]</f>
        <v>2</v>
      </c>
      <c r="N1261" s="1">
        <f>WEEKNUM(orders[[#This Row],[Order Date]])</f>
        <v>8</v>
      </c>
      <c r="O1261" s="1" t="str" cm="1">
        <f t="array" ref="O1261">_xlfn.IFS(orders[[#This Row],[Customer Gender]]="M","Male", orders[[#This Row],[Customer Gender]]="F","Female", orders[[#This Row],[Customer Gender]]="O","Other", TRUE,"Unknown")</f>
        <v>Male</v>
      </c>
    </row>
    <row r="1262" spans="1:15">
      <c r="A1262" s="1" t="s">
        <v>1359</v>
      </c>
      <c r="B1262" s="1" t="s">
        <v>44</v>
      </c>
      <c r="C1262" s="1">
        <v>2</v>
      </c>
      <c r="D1262" s="1">
        <v>43.5</v>
      </c>
      <c r="E1262" s="11">
        <v>87</v>
      </c>
      <c r="F1262" s="3">
        <v>45706</v>
      </c>
      <c r="G1262" s="3">
        <v>45707</v>
      </c>
      <c r="H1262" s="1" t="s">
        <v>23</v>
      </c>
      <c r="I1262" s="1" t="s">
        <v>70</v>
      </c>
      <c r="J1262" s="1">
        <v>4</v>
      </c>
      <c r="K1262" s="1" t="s">
        <v>19</v>
      </c>
      <c r="L1262" s="1" t="s">
        <v>59</v>
      </c>
      <c r="M1262" s="1">
        <f>orders[[#This Row],[Ship Date]]-orders[[#This Row],[Order Date]]</f>
        <v>1</v>
      </c>
      <c r="N1262" s="1">
        <f>WEEKNUM(orders[[#This Row],[Order Date]])</f>
        <v>8</v>
      </c>
      <c r="O1262" s="1" t="str" cm="1">
        <f t="array" ref="O1262">_xlfn.IFS(orders[[#This Row],[Customer Gender]]="M","Male", orders[[#This Row],[Customer Gender]]="F","Female", orders[[#This Row],[Customer Gender]]="O","Other", TRUE,"Unknown")</f>
        <v>Male</v>
      </c>
    </row>
    <row r="1263" spans="1:15">
      <c r="A1263" s="1" t="s">
        <v>1360</v>
      </c>
      <c r="B1263" s="1" t="s">
        <v>26</v>
      </c>
      <c r="C1263" s="1">
        <v>2</v>
      </c>
      <c r="D1263" s="1">
        <v>187.1</v>
      </c>
      <c r="E1263" s="11">
        <v>374.2</v>
      </c>
      <c r="F1263" s="3">
        <v>45706</v>
      </c>
      <c r="G1263" s="3">
        <v>45707</v>
      </c>
      <c r="H1263" s="1" t="s">
        <v>23</v>
      </c>
      <c r="I1263" s="1" t="s">
        <v>35</v>
      </c>
      <c r="J1263" s="1">
        <v>5</v>
      </c>
      <c r="K1263" s="1" t="s">
        <v>19</v>
      </c>
      <c r="L1263" s="1" t="s">
        <v>62</v>
      </c>
      <c r="M1263" s="1">
        <f>orders[[#This Row],[Ship Date]]-orders[[#This Row],[Order Date]]</f>
        <v>1</v>
      </c>
      <c r="N1263" s="1">
        <f>WEEKNUM(orders[[#This Row],[Order Date]])</f>
        <v>8</v>
      </c>
      <c r="O1263" s="1" t="str" cm="1">
        <f t="array" ref="O1263">_xlfn.IFS(orders[[#This Row],[Customer Gender]]="M","Male", orders[[#This Row],[Customer Gender]]="F","Female", orders[[#This Row],[Customer Gender]]="O","Other", TRUE,"Unknown")</f>
        <v>Male</v>
      </c>
    </row>
    <row r="1264" spans="1:15">
      <c r="A1264" s="1" t="s">
        <v>1361</v>
      </c>
      <c r="B1264" s="1" t="s">
        <v>46</v>
      </c>
      <c r="C1264" s="1">
        <v>3</v>
      </c>
      <c r="D1264" s="1">
        <v>32</v>
      </c>
      <c r="E1264" s="11">
        <v>96</v>
      </c>
      <c r="F1264" s="3">
        <v>45706</v>
      </c>
      <c r="G1264" s="3">
        <v>45708</v>
      </c>
      <c r="H1264" s="1" t="s">
        <v>23</v>
      </c>
      <c r="I1264" s="1" t="s">
        <v>18</v>
      </c>
      <c r="J1264" s="1">
        <v>4</v>
      </c>
      <c r="K1264" s="1" t="s">
        <v>19</v>
      </c>
      <c r="L1264" s="1" t="s">
        <v>62</v>
      </c>
      <c r="M1264" s="1">
        <f>orders[[#This Row],[Ship Date]]-orders[[#This Row],[Order Date]]</f>
        <v>2</v>
      </c>
      <c r="N1264" s="1">
        <f>WEEKNUM(orders[[#This Row],[Order Date]])</f>
        <v>8</v>
      </c>
      <c r="O1264" s="1" t="str" cm="1">
        <f t="array" ref="O1264">_xlfn.IFS(orders[[#This Row],[Customer Gender]]="M","Male", orders[[#This Row],[Customer Gender]]="F","Female", orders[[#This Row],[Customer Gender]]="O","Other", TRUE,"Unknown")</f>
        <v>Male</v>
      </c>
    </row>
    <row r="1265" spans="1:15">
      <c r="A1265" s="1" t="s">
        <v>1362</v>
      </c>
      <c r="B1265" s="1" t="s">
        <v>46</v>
      </c>
      <c r="C1265" s="1">
        <v>2</v>
      </c>
      <c r="D1265" s="1">
        <v>110.8</v>
      </c>
      <c r="E1265" s="11">
        <v>221.6</v>
      </c>
      <c r="F1265" s="3">
        <v>45706</v>
      </c>
      <c r="G1265" s="3">
        <v>45706</v>
      </c>
      <c r="H1265" s="1" t="s">
        <v>23</v>
      </c>
      <c r="I1265" s="1" t="s">
        <v>18</v>
      </c>
      <c r="J1265" s="1">
        <v>5</v>
      </c>
      <c r="K1265" s="1" t="s">
        <v>19</v>
      </c>
      <c r="L1265" s="1" t="s">
        <v>62</v>
      </c>
      <c r="M1265" s="1">
        <f>orders[[#This Row],[Ship Date]]-orders[[#This Row],[Order Date]]</f>
        <v>0</v>
      </c>
      <c r="N1265" s="1">
        <f>WEEKNUM(orders[[#This Row],[Order Date]])</f>
        <v>8</v>
      </c>
      <c r="O1265" s="1" t="str" cm="1">
        <f t="array" ref="O1265">_xlfn.IFS(orders[[#This Row],[Customer Gender]]="M","Male", orders[[#This Row],[Customer Gender]]="F","Female", orders[[#This Row],[Customer Gender]]="O","Other", TRUE,"Unknown")</f>
        <v>Male</v>
      </c>
    </row>
    <row r="1266" spans="1:15">
      <c r="A1266" s="1" t="s">
        <v>1363</v>
      </c>
      <c r="B1266" s="1" t="s">
        <v>54</v>
      </c>
      <c r="C1266" s="1">
        <v>13</v>
      </c>
      <c r="D1266" s="1">
        <v>36.1</v>
      </c>
      <c r="E1266" s="11">
        <v>469.3</v>
      </c>
      <c r="F1266" s="3">
        <v>45706</v>
      </c>
      <c r="G1266" s="3">
        <v>45709</v>
      </c>
      <c r="H1266" s="1" t="s">
        <v>27</v>
      </c>
      <c r="I1266" s="1" t="s">
        <v>18</v>
      </c>
      <c r="J1266" s="1">
        <v>3</v>
      </c>
      <c r="K1266" s="1" t="s">
        <v>19</v>
      </c>
      <c r="L1266" s="1" t="s">
        <v>62</v>
      </c>
      <c r="M1266" s="1">
        <f>orders[[#This Row],[Ship Date]]-orders[[#This Row],[Order Date]]</f>
        <v>3</v>
      </c>
      <c r="N1266" s="1">
        <f>WEEKNUM(orders[[#This Row],[Order Date]])</f>
        <v>8</v>
      </c>
      <c r="O1266" s="1" t="str" cm="1">
        <f t="array" ref="O1266">_xlfn.IFS(orders[[#This Row],[Customer Gender]]="M","Male", orders[[#This Row],[Customer Gender]]="F","Female", orders[[#This Row],[Customer Gender]]="O","Other", TRUE,"Unknown")</f>
        <v>Female</v>
      </c>
    </row>
    <row r="1267" spans="1:15">
      <c r="A1267" s="1" t="s">
        <v>1364</v>
      </c>
      <c r="B1267" s="1" t="s">
        <v>16</v>
      </c>
      <c r="C1267" s="1">
        <v>1</v>
      </c>
      <c r="D1267" s="1">
        <v>24.1</v>
      </c>
      <c r="E1267" s="11">
        <v>24.1</v>
      </c>
      <c r="F1267" s="3">
        <v>45706</v>
      </c>
      <c r="G1267" s="3">
        <v>45708</v>
      </c>
      <c r="H1267" s="1" t="s">
        <v>27</v>
      </c>
      <c r="I1267" s="1" t="s">
        <v>70</v>
      </c>
      <c r="J1267" s="1">
        <v>5</v>
      </c>
      <c r="K1267" s="1" t="s">
        <v>19</v>
      </c>
      <c r="L1267" s="1" t="s">
        <v>62</v>
      </c>
      <c r="M1267" s="1">
        <f>orders[[#This Row],[Ship Date]]-orders[[#This Row],[Order Date]]</f>
        <v>2</v>
      </c>
      <c r="N1267" s="1">
        <f>WEEKNUM(orders[[#This Row],[Order Date]])</f>
        <v>8</v>
      </c>
      <c r="O1267" s="1" t="str" cm="1">
        <f t="array" ref="O1267">_xlfn.IFS(orders[[#This Row],[Customer Gender]]="M","Male", orders[[#This Row],[Customer Gender]]="F","Female", orders[[#This Row],[Customer Gender]]="O","Other", TRUE,"Unknown")</f>
        <v>Female</v>
      </c>
    </row>
    <row r="1268" spans="1:15">
      <c r="A1268" s="1" t="s">
        <v>1365</v>
      </c>
      <c r="B1268" s="1" t="s">
        <v>171</v>
      </c>
      <c r="C1268" s="1">
        <v>3</v>
      </c>
      <c r="D1268" s="1">
        <v>30.5</v>
      </c>
      <c r="E1268" s="11">
        <v>91.5</v>
      </c>
      <c r="F1268" s="3">
        <v>45706</v>
      </c>
      <c r="G1268" s="3">
        <v>45708</v>
      </c>
      <c r="H1268" s="1" t="s">
        <v>23</v>
      </c>
      <c r="I1268" s="1" t="s">
        <v>35</v>
      </c>
      <c r="J1268" s="1">
        <v>4</v>
      </c>
      <c r="K1268" s="1" t="s">
        <v>19</v>
      </c>
      <c r="L1268" s="1" t="s">
        <v>62</v>
      </c>
      <c r="M1268" s="1">
        <f>orders[[#This Row],[Ship Date]]-orders[[#This Row],[Order Date]]</f>
        <v>2</v>
      </c>
      <c r="N1268" s="1">
        <f>WEEKNUM(orders[[#This Row],[Order Date]])</f>
        <v>8</v>
      </c>
      <c r="O1268" s="1" t="str" cm="1">
        <f t="array" ref="O1268">_xlfn.IFS(orders[[#This Row],[Customer Gender]]="M","Male", orders[[#This Row],[Customer Gender]]="F","Female", orders[[#This Row],[Customer Gender]]="O","Other", TRUE,"Unknown")</f>
        <v>Male</v>
      </c>
    </row>
    <row r="1269" spans="1:15">
      <c r="A1269" s="1" t="s">
        <v>1366</v>
      </c>
      <c r="B1269" s="1" t="s">
        <v>146</v>
      </c>
      <c r="C1269" s="1">
        <v>6</v>
      </c>
      <c r="D1269" s="1">
        <v>68.3</v>
      </c>
      <c r="E1269" s="11">
        <v>409.79999999999995</v>
      </c>
      <c r="F1269" s="3">
        <v>45706</v>
      </c>
      <c r="G1269" s="3">
        <v>45709</v>
      </c>
      <c r="H1269" s="1" t="s">
        <v>23</v>
      </c>
      <c r="I1269" s="1" t="s">
        <v>18</v>
      </c>
      <c r="J1269" s="1">
        <v>4</v>
      </c>
      <c r="K1269" s="1" t="s">
        <v>19</v>
      </c>
      <c r="L1269" s="1" t="s">
        <v>62</v>
      </c>
      <c r="M1269" s="1">
        <f>orders[[#This Row],[Ship Date]]-orders[[#This Row],[Order Date]]</f>
        <v>3</v>
      </c>
      <c r="N1269" s="1">
        <f>WEEKNUM(orders[[#This Row],[Order Date]])</f>
        <v>8</v>
      </c>
      <c r="O1269" s="1" t="str" cm="1">
        <f t="array" ref="O1269">_xlfn.IFS(orders[[#This Row],[Customer Gender]]="M","Male", orders[[#This Row],[Customer Gender]]="F","Female", orders[[#This Row],[Customer Gender]]="O","Other", TRUE,"Unknown")</f>
        <v>Male</v>
      </c>
    </row>
    <row r="1270" spans="1:15">
      <c r="A1270" s="1" t="s">
        <v>1367</v>
      </c>
      <c r="B1270" s="1" t="s">
        <v>42</v>
      </c>
      <c r="C1270" s="1">
        <v>3</v>
      </c>
      <c r="D1270" s="1">
        <v>43.3</v>
      </c>
      <c r="E1270" s="11">
        <v>129.89999999999998</v>
      </c>
      <c r="F1270" s="3">
        <v>45706</v>
      </c>
      <c r="G1270" s="3">
        <v>45710</v>
      </c>
      <c r="H1270" s="1" t="s">
        <v>27</v>
      </c>
      <c r="I1270" s="1" t="s">
        <v>18</v>
      </c>
      <c r="J1270" s="1">
        <v>4</v>
      </c>
      <c r="K1270" s="1" t="s">
        <v>19</v>
      </c>
      <c r="L1270" s="1" t="s">
        <v>103</v>
      </c>
      <c r="M1270" s="1">
        <f>orders[[#This Row],[Ship Date]]-orders[[#This Row],[Order Date]]</f>
        <v>4</v>
      </c>
      <c r="N1270" s="1">
        <f>WEEKNUM(orders[[#This Row],[Order Date]])</f>
        <v>8</v>
      </c>
      <c r="O1270" s="1" t="str" cm="1">
        <f t="array" ref="O1270">_xlfn.IFS(orders[[#This Row],[Customer Gender]]="M","Male", orders[[#This Row],[Customer Gender]]="F","Female", orders[[#This Row],[Customer Gender]]="O","Other", TRUE,"Unknown")</f>
        <v>Female</v>
      </c>
    </row>
    <row r="1271" spans="1:15">
      <c r="A1271" s="1" t="s">
        <v>1368</v>
      </c>
      <c r="B1271" s="1" t="s">
        <v>30</v>
      </c>
      <c r="C1271" s="1">
        <v>1</v>
      </c>
      <c r="D1271" s="1">
        <v>101.7</v>
      </c>
      <c r="E1271" s="11">
        <v>101.7</v>
      </c>
      <c r="F1271" s="3">
        <v>45706</v>
      </c>
      <c r="G1271" s="3">
        <v>45709</v>
      </c>
      <c r="H1271" s="1" t="s">
        <v>27</v>
      </c>
      <c r="I1271" s="1" t="s">
        <v>18</v>
      </c>
      <c r="J1271" s="1">
        <v>3</v>
      </c>
      <c r="K1271" s="1" t="s">
        <v>19</v>
      </c>
      <c r="L1271" s="1" t="s">
        <v>103</v>
      </c>
      <c r="M1271" s="1">
        <f>orders[[#This Row],[Ship Date]]-orders[[#This Row],[Order Date]]</f>
        <v>3</v>
      </c>
      <c r="N1271" s="1">
        <f>WEEKNUM(orders[[#This Row],[Order Date]])</f>
        <v>8</v>
      </c>
      <c r="O1271" s="1" t="str" cm="1">
        <f t="array" ref="O1271">_xlfn.IFS(orders[[#This Row],[Customer Gender]]="M","Male", orders[[#This Row],[Customer Gender]]="F","Female", orders[[#This Row],[Customer Gender]]="O","Other", TRUE,"Unknown")</f>
        <v>Female</v>
      </c>
    </row>
    <row r="1272" spans="1:15">
      <c r="A1272" s="1" t="s">
        <v>1369</v>
      </c>
      <c r="B1272" s="1" t="s">
        <v>67</v>
      </c>
      <c r="C1272" s="1">
        <v>2</v>
      </c>
      <c r="D1272" s="1">
        <v>54.2</v>
      </c>
      <c r="E1272" s="11">
        <v>108.4</v>
      </c>
      <c r="F1272" s="3">
        <v>45706</v>
      </c>
      <c r="G1272" s="3">
        <v>45707</v>
      </c>
      <c r="H1272" s="1" t="s">
        <v>27</v>
      </c>
      <c r="I1272" s="1" t="s">
        <v>18</v>
      </c>
      <c r="J1272" s="1">
        <v>3</v>
      </c>
      <c r="K1272" s="1" t="s">
        <v>19</v>
      </c>
      <c r="L1272" s="1" t="s">
        <v>103</v>
      </c>
      <c r="M1272" s="1">
        <f>orders[[#This Row],[Ship Date]]-orders[[#This Row],[Order Date]]</f>
        <v>1</v>
      </c>
      <c r="N1272" s="1">
        <f>WEEKNUM(orders[[#This Row],[Order Date]])</f>
        <v>8</v>
      </c>
      <c r="O1272" s="1" t="str" cm="1">
        <f t="array" ref="O1272">_xlfn.IFS(orders[[#This Row],[Customer Gender]]="M","Male", orders[[#This Row],[Customer Gender]]="F","Female", orders[[#This Row],[Customer Gender]]="O","Other", TRUE,"Unknown")</f>
        <v>Female</v>
      </c>
    </row>
    <row r="1273" spans="1:15">
      <c r="A1273" s="1" t="s">
        <v>1370</v>
      </c>
      <c r="B1273" s="1" t="s">
        <v>128</v>
      </c>
      <c r="C1273" s="1">
        <v>2</v>
      </c>
      <c r="D1273" s="1">
        <v>51</v>
      </c>
      <c r="E1273" s="11">
        <v>102</v>
      </c>
      <c r="F1273" s="3">
        <v>45706</v>
      </c>
      <c r="G1273" s="3">
        <v>45706</v>
      </c>
      <c r="H1273" s="1" t="s">
        <v>23</v>
      </c>
      <c r="I1273" s="1" t="s">
        <v>35</v>
      </c>
      <c r="J1273" s="1">
        <v>4</v>
      </c>
      <c r="K1273" s="1" t="s">
        <v>19</v>
      </c>
      <c r="L1273" s="1" t="s">
        <v>201</v>
      </c>
      <c r="M1273" s="1">
        <f>orders[[#This Row],[Ship Date]]-orders[[#This Row],[Order Date]]</f>
        <v>0</v>
      </c>
      <c r="N1273" s="1">
        <f>WEEKNUM(orders[[#This Row],[Order Date]])</f>
        <v>8</v>
      </c>
      <c r="O1273" s="1" t="str" cm="1">
        <f t="array" ref="O1273">_xlfn.IFS(orders[[#This Row],[Customer Gender]]="M","Male", orders[[#This Row],[Customer Gender]]="F","Female", orders[[#This Row],[Customer Gender]]="O","Other", TRUE,"Unknown")</f>
        <v>Male</v>
      </c>
    </row>
    <row r="1274" spans="1:15">
      <c r="A1274" s="1" t="s">
        <v>1371</v>
      </c>
      <c r="B1274" s="1" t="s">
        <v>32</v>
      </c>
      <c r="C1274" s="1">
        <v>2</v>
      </c>
      <c r="D1274" s="1">
        <v>23.1</v>
      </c>
      <c r="E1274" s="11">
        <v>46.2</v>
      </c>
      <c r="F1274" s="3">
        <v>45706</v>
      </c>
      <c r="G1274" s="3">
        <v>45709</v>
      </c>
      <c r="H1274" s="1" t="s">
        <v>23</v>
      </c>
      <c r="I1274" s="1" t="s">
        <v>35</v>
      </c>
      <c r="J1274" s="1">
        <v>4</v>
      </c>
      <c r="K1274" s="1" t="s">
        <v>19</v>
      </c>
      <c r="L1274" s="1" t="s">
        <v>74</v>
      </c>
      <c r="M1274" s="1">
        <f>orders[[#This Row],[Ship Date]]-orders[[#This Row],[Order Date]]</f>
        <v>3</v>
      </c>
      <c r="N1274" s="1">
        <f>WEEKNUM(orders[[#This Row],[Order Date]])</f>
        <v>8</v>
      </c>
      <c r="O1274" s="1" t="str" cm="1">
        <f t="array" ref="O1274">_xlfn.IFS(orders[[#This Row],[Customer Gender]]="M","Male", orders[[#This Row],[Customer Gender]]="F","Female", orders[[#This Row],[Customer Gender]]="O","Other", TRUE,"Unknown")</f>
        <v>Male</v>
      </c>
    </row>
    <row r="1275" spans="1:15">
      <c r="A1275" s="1" t="s">
        <v>1372</v>
      </c>
      <c r="B1275" s="1" t="s">
        <v>69</v>
      </c>
      <c r="C1275" s="1">
        <v>6</v>
      </c>
      <c r="D1275" s="1">
        <v>60.1</v>
      </c>
      <c r="E1275" s="11">
        <v>360.6</v>
      </c>
      <c r="F1275" s="3">
        <v>45706</v>
      </c>
      <c r="G1275" s="3">
        <v>45706</v>
      </c>
      <c r="H1275" s="1" t="s">
        <v>27</v>
      </c>
      <c r="I1275" s="1" t="s">
        <v>51</v>
      </c>
      <c r="J1275" s="1">
        <v>4</v>
      </c>
      <c r="K1275" s="1" t="s">
        <v>19</v>
      </c>
      <c r="L1275" s="1" t="s">
        <v>77</v>
      </c>
      <c r="M1275" s="1">
        <f>orders[[#This Row],[Ship Date]]-orders[[#This Row],[Order Date]]</f>
        <v>0</v>
      </c>
      <c r="N1275" s="1">
        <f>WEEKNUM(orders[[#This Row],[Order Date]])</f>
        <v>8</v>
      </c>
      <c r="O1275" s="1" t="str" cm="1">
        <f t="array" ref="O1275">_xlfn.IFS(orders[[#This Row],[Customer Gender]]="M","Male", orders[[#This Row],[Customer Gender]]="F","Female", orders[[#This Row],[Customer Gender]]="O","Other", TRUE,"Unknown")</f>
        <v>Female</v>
      </c>
    </row>
    <row r="1276" spans="1:15">
      <c r="A1276" s="1" t="s">
        <v>1373</v>
      </c>
      <c r="B1276" s="1" t="s">
        <v>26</v>
      </c>
      <c r="C1276" s="1">
        <v>7</v>
      </c>
      <c r="D1276" s="1">
        <v>87.5</v>
      </c>
      <c r="E1276" s="11">
        <v>612.5</v>
      </c>
      <c r="F1276" s="3">
        <v>45706</v>
      </c>
      <c r="G1276" s="3">
        <v>45708</v>
      </c>
      <c r="H1276" s="1" t="s">
        <v>27</v>
      </c>
      <c r="I1276" s="1" t="s">
        <v>18</v>
      </c>
      <c r="J1276" s="1">
        <v>3</v>
      </c>
      <c r="K1276" s="1" t="s">
        <v>19</v>
      </c>
      <c r="L1276" s="1" t="s">
        <v>77</v>
      </c>
      <c r="M1276" s="1">
        <f>orders[[#This Row],[Ship Date]]-orders[[#This Row],[Order Date]]</f>
        <v>2</v>
      </c>
      <c r="N1276" s="1">
        <f>WEEKNUM(orders[[#This Row],[Order Date]])</f>
        <v>8</v>
      </c>
      <c r="O1276" s="1" t="str" cm="1">
        <f t="array" ref="O1276">_xlfn.IFS(orders[[#This Row],[Customer Gender]]="M","Male", orders[[#This Row],[Customer Gender]]="F","Female", orders[[#This Row],[Customer Gender]]="O","Other", TRUE,"Unknown")</f>
        <v>Female</v>
      </c>
    </row>
    <row r="1277" spans="1:15">
      <c r="A1277" s="1" t="s">
        <v>1374</v>
      </c>
      <c r="B1277" s="1" t="s">
        <v>22</v>
      </c>
      <c r="C1277" s="1">
        <v>3</v>
      </c>
      <c r="D1277" s="1">
        <v>51</v>
      </c>
      <c r="E1277" s="11">
        <v>153</v>
      </c>
      <c r="F1277" s="3">
        <v>45706</v>
      </c>
      <c r="G1277" s="3">
        <v>45707</v>
      </c>
      <c r="H1277" s="1" t="s">
        <v>27</v>
      </c>
      <c r="I1277" s="1" t="s">
        <v>35</v>
      </c>
      <c r="J1277" s="1">
        <v>4</v>
      </c>
      <c r="K1277" s="1" t="s">
        <v>19</v>
      </c>
      <c r="L1277" s="1" t="s">
        <v>77</v>
      </c>
      <c r="M1277" s="1">
        <f>orders[[#This Row],[Ship Date]]-orders[[#This Row],[Order Date]]</f>
        <v>1</v>
      </c>
      <c r="N1277" s="1">
        <f>WEEKNUM(orders[[#This Row],[Order Date]])</f>
        <v>8</v>
      </c>
      <c r="O1277" s="1" t="str" cm="1">
        <f t="array" ref="O1277">_xlfn.IFS(orders[[#This Row],[Customer Gender]]="M","Male", orders[[#This Row],[Customer Gender]]="F","Female", orders[[#This Row],[Customer Gender]]="O","Other", TRUE,"Unknown")</f>
        <v>Female</v>
      </c>
    </row>
    <row r="1278" spans="1:15">
      <c r="A1278" s="1" t="s">
        <v>1375</v>
      </c>
      <c r="B1278" s="1" t="s">
        <v>44</v>
      </c>
      <c r="C1278" s="1">
        <v>4</v>
      </c>
      <c r="D1278" s="1">
        <v>19.2</v>
      </c>
      <c r="E1278" s="11">
        <v>76.8</v>
      </c>
      <c r="F1278" s="3">
        <v>45706</v>
      </c>
      <c r="G1278" s="3">
        <v>45708</v>
      </c>
      <c r="H1278" s="1" t="s">
        <v>27</v>
      </c>
      <c r="I1278" s="1" t="s">
        <v>18</v>
      </c>
      <c r="J1278" s="1">
        <v>4</v>
      </c>
      <c r="K1278" s="1" t="s">
        <v>19</v>
      </c>
      <c r="L1278" s="1" t="s">
        <v>77</v>
      </c>
      <c r="M1278" s="1">
        <f>orders[[#This Row],[Ship Date]]-orders[[#This Row],[Order Date]]</f>
        <v>2</v>
      </c>
      <c r="N1278" s="1">
        <f>WEEKNUM(orders[[#This Row],[Order Date]])</f>
        <v>8</v>
      </c>
      <c r="O1278" s="1" t="str" cm="1">
        <f t="array" ref="O1278">_xlfn.IFS(orders[[#This Row],[Customer Gender]]="M","Male", orders[[#This Row],[Customer Gender]]="F","Female", orders[[#This Row],[Customer Gender]]="O","Other", TRUE,"Unknown")</f>
        <v>Female</v>
      </c>
    </row>
    <row r="1279" spans="1:15">
      <c r="A1279" s="1" t="s">
        <v>1376</v>
      </c>
      <c r="B1279" s="1" t="s">
        <v>37</v>
      </c>
      <c r="C1279" s="1">
        <v>8</v>
      </c>
      <c r="D1279" s="1">
        <v>26.5</v>
      </c>
      <c r="E1279" s="11">
        <v>212</v>
      </c>
      <c r="F1279" s="3">
        <v>45706</v>
      </c>
      <c r="G1279" s="3">
        <v>45707</v>
      </c>
      <c r="H1279" s="1" t="s">
        <v>17</v>
      </c>
      <c r="I1279" s="1" t="s">
        <v>51</v>
      </c>
      <c r="J1279" s="1">
        <v>5</v>
      </c>
      <c r="K1279" s="1" t="s">
        <v>19</v>
      </c>
      <c r="L1279" s="1" t="s">
        <v>77</v>
      </c>
      <c r="M1279" s="1">
        <f>orders[[#This Row],[Ship Date]]-orders[[#This Row],[Order Date]]</f>
        <v>1</v>
      </c>
      <c r="N1279" s="1">
        <f>WEEKNUM(orders[[#This Row],[Order Date]])</f>
        <v>8</v>
      </c>
      <c r="O1279" s="1" t="str" cm="1">
        <f t="array" ref="O1279">_xlfn.IFS(orders[[#This Row],[Customer Gender]]="M","Male", orders[[#This Row],[Customer Gender]]="F","Female", orders[[#This Row],[Customer Gender]]="O","Other", TRUE,"Unknown")</f>
        <v>Unknown</v>
      </c>
    </row>
    <row r="1280" spans="1:15">
      <c r="A1280" s="1" t="s">
        <v>1377</v>
      </c>
      <c r="B1280" s="1" t="s">
        <v>26</v>
      </c>
      <c r="C1280" s="1">
        <v>2</v>
      </c>
      <c r="D1280" s="1">
        <v>220.3</v>
      </c>
      <c r="E1280" s="11">
        <v>440.6</v>
      </c>
      <c r="F1280" s="3">
        <v>45706</v>
      </c>
      <c r="G1280" s="3">
        <v>45707</v>
      </c>
      <c r="H1280" s="1" t="s">
        <v>27</v>
      </c>
      <c r="I1280" s="1" t="s">
        <v>35</v>
      </c>
      <c r="J1280" s="1">
        <v>2</v>
      </c>
      <c r="K1280" s="1" t="s">
        <v>19</v>
      </c>
      <c r="L1280" s="1" t="s">
        <v>1116</v>
      </c>
      <c r="M1280" s="1">
        <f>orders[[#This Row],[Ship Date]]-orders[[#This Row],[Order Date]]</f>
        <v>1</v>
      </c>
      <c r="N1280" s="1">
        <f>WEEKNUM(orders[[#This Row],[Order Date]])</f>
        <v>8</v>
      </c>
      <c r="O1280" s="1" t="str" cm="1">
        <f t="array" ref="O1280">_xlfn.IFS(orders[[#This Row],[Customer Gender]]="M","Male", orders[[#This Row],[Customer Gender]]="F","Female", orders[[#This Row],[Customer Gender]]="O","Other", TRUE,"Unknown")</f>
        <v>Female</v>
      </c>
    </row>
    <row r="1281" spans="1:15">
      <c r="A1281" s="1" t="s">
        <v>1378</v>
      </c>
      <c r="B1281" s="1" t="s">
        <v>44</v>
      </c>
      <c r="C1281" s="1">
        <v>3</v>
      </c>
      <c r="D1281" s="1">
        <v>45.7</v>
      </c>
      <c r="E1281" s="11">
        <v>137.10000000000002</v>
      </c>
      <c r="F1281" s="3">
        <v>45706</v>
      </c>
      <c r="G1281" s="3">
        <v>45707</v>
      </c>
      <c r="H1281" s="1" t="s">
        <v>27</v>
      </c>
      <c r="I1281" s="1" t="s">
        <v>70</v>
      </c>
      <c r="J1281" s="1">
        <v>4</v>
      </c>
      <c r="K1281" s="1" t="s">
        <v>19</v>
      </c>
      <c r="L1281" s="1" t="s">
        <v>268</v>
      </c>
      <c r="M1281" s="1">
        <f>orders[[#This Row],[Ship Date]]-orders[[#This Row],[Order Date]]</f>
        <v>1</v>
      </c>
      <c r="N1281" s="1">
        <f>WEEKNUM(orders[[#This Row],[Order Date]])</f>
        <v>8</v>
      </c>
      <c r="O1281" s="1" t="str" cm="1">
        <f t="array" ref="O1281">_xlfn.IFS(orders[[#This Row],[Customer Gender]]="M","Male", orders[[#This Row],[Customer Gender]]="F","Female", orders[[#This Row],[Customer Gender]]="O","Other", TRUE,"Unknown")</f>
        <v>Female</v>
      </c>
    </row>
    <row r="1282" spans="1:15">
      <c r="A1282" s="1" t="s">
        <v>1379</v>
      </c>
      <c r="B1282" s="1" t="s">
        <v>37</v>
      </c>
      <c r="C1282" s="1">
        <v>5</v>
      </c>
      <c r="D1282" s="1">
        <v>47.1</v>
      </c>
      <c r="E1282" s="11">
        <v>235.5</v>
      </c>
      <c r="F1282" s="3">
        <v>45706</v>
      </c>
      <c r="G1282" s="3">
        <v>45710</v>
      </c>
      <c r="H1282" s="1" t="s">
        <v>27</v>
      </c>
      <c r="I1282" s="1" t="s">
        <v>51</v>
      </c>
      <c r="J1282" s="1">
        <v>4</v>
      </c>
      <c r="K1282" s="1" t="s">
        <v>19</v>
      </c>
      <c r="L1282" s="1" t="s">
        <v>82</v>
      </c>
      <c r="M1282" s="1">
        <f>orders[[#This Row],[Ship Date]]-orders[[#This Row],[Order Date]]</f>
        <v>4</v>
      </c>
      <c r="N1282" s="1">
        <f>WEEKNUM(orders[[#This Row],[Order Date]])</f>
        <v>8</v>
      </c>
      <c r="O1282" s="1" t="str" cm="1">
        <f t="array" ref="O1282">_xlfn.IFS(orders[[#This Row],[Customer Gender]]="M","Male", orders[[#This Row],[Customer Gender]]="F","Female", orders[[#This Row],[Customer Gender]]="O","Other", TRUE,"Unknown")</f>
        <v>Female</v>
      </c>
    </row>
    <row r="1283" spans="1:15">
      <c r="A1283" s="1" t="s">
        <v>1380</v>
      </c>
      <c r="B1283" s="1" t="s">
        <v>22</v>
      </c>
      <c r="C1283" s="1">
        <v>5</v>
      </c>
      <c r="D1283" s="1">
        <v>81.7</v>
      </c>
      <c r="E1283" s="11">
        <v>408.5</v>
      </c>
      <c r="F1283" s="3">
        <v>45706</v>
      </c>
      <c r="G1283" s="3">
        <v>45707</v>
      </c>
      <c r="H1283" s="1" t="s">
        <v>27</v>
      </c>
      <c r="I1283" s="1" t="s">
        <v>18</v>
      </c>
      <c r="J1283" s="1">
        <v>5</v>
      </c>
      <c r="K1283" s="1" t="s">
        <v>19</v>
      </c>
      <c r="L1283" s="1" t="s">
        <v>115</v>
      </c>
      <c r="M1283" s="1">
        <f>orders[[#This Row],[Ship Date]]-orders[[#This Row],[Order Date]]</f>
        <v>1</v>
      </c>
      <c r="N1283" s="1">
        <f>WEEKNUM(orders[[#This Row],[Order Date]])</f>
        <v>8</v>
      </c>
      <c r="O1283" s="1" t="str" cm="1">
        <f t="array" ref="O1283">_xlfn.IFS(orders[[#This Row],[Customer Gender]]="M","Male", orders[[#This Row],[Customer Gender]]="F","Female", orders[[#This Row],[Customer Gender]]="O","Other", TRUE,"Unknown")</f>
        <v>Female</v>
      </c>
    </row>
    <row r="1284" spans="1:15">
      <c r="A1284" s="1" t="s">
        <v>1381</v>
      </c>
      <c r="B1284" s="1" t="s">
        <v>39</v>
      </c>
      <c r="C1284" s="1">
        <v>10</v>
      </c>
      <c r="D1284" s="1">
        <v>97.8</v>
      </c>
      <c r="E1284" s="11">
        <v>978</v>
      </c>
      <c r="F1284" s="3">
        <v>45706</v>
      </c>
      <c r="G1284" s="3">
        <v>45706</v>
      </c>
      <c r="H1284" s="1" t="s">
        <v>23</v>
      </c>
      <c r="I1284" s="1" t="s">
        <v>35</v>
      </c>
      <c r="J1284" s="1">
        <v>3</v>
      </c>
      <c r="K1284" s="1" t="s">
        <v>19</v>
      </c>
      <c r="L1284" s="1" t="s">
        <v>115</v>
      </c>
      <c r="M1284" s="1">
        <f>orders[[#This Row],[Ship Date]]-orders[[#This Row],[Order Date]]</f>
        <v>0</v>
      </c>
      <c r="N1284" s="1">
        <f>WEEKNUM(orders[[#This Row],[Order Date]])</f>
        <v>8</v>
      </c>
      <c r="O1284" s="1" t="str" cm="1">
        <f t="array" ref="O1284">_xlfn.IFS(orders[[#This Row],[Customer Gender]]="M","Male", orders[[#This Row],[Customer Gender]]="F","Female", orders[[#This Row],[Customer Gender]]="O","Other", TRUE,"Unknown")</f>
        <v>Male</v>
      </c>
    </row>
    <row r="1285" spans="1:15">
      <c r="A1285" s="1" t="s">
        <v>1382</v>
      </c>
      <c r="B1285" s="1" t="s">
        <v>39</v>
      </c>
      <c r="C1285" s="1">
        <v>3</v>
      </c>
      <c r="D1285" s="1">
        <v>42.4</v>
      </c>
      <c r="E1285" s="11">
        <v>127.19999999999999</v>
      </c>
      <c r="F1285" s="3">
        <v>45706</v>
      </c>
      <c r="G1285" s="3">
        <v>45707</v>
      </c>
      <c r="H1285" s="1" t="s">
        <v>27</v>
      </c>
      <c r="I1285" s="1" t="s">
        <v>18</v>
      </c>
      <c r="J1285" s="1">
        <v>5</v>
      </c>
      <c r="K1285" s="1" t="s">
        <v>19</v>
      </c>
      <c r="L1285" s="1" t="s">
        <v>1383</v>
      </c>
      <c r="M1285" s="1">
        <f>orders[[#This Row],[Ship Date]]-orders[[#This Row],[Order Date]]</f>
        <v>1</v>
      </c>
      <c r="N1285" s="1">
        <f>WEEKNUM(orders[[#This Row],[Order Date]])</f>
        <v>8</v>
      </c>
      <c r="O1285" s="1" t="str" cm="1">
        <f t="array" ref="O1285">_xlfn.IFS(orders[[#This Row],[Customer Gender]]="M","Male", orders[[#This Row],[Customer Gender]]="F","Female", orders[[#This Row],[Customer Gender]]="O","Other", TRUE,"Unknown")</f>
        <v>Female</v>
      </c>
    </row>
    <row r="1286" spans="1:15">
      <c r="A1286" s="1" t="s">
        <v>1384</v>
      </c>
      <c r="B1286" s="1" t="s">
        <v>26</v>
      </c>
      <c r="C1286" s="1">
        <v>10</v>
      </c>
      <c r="D1286" s="1">
        <v>74.5</v>
      </c>
      <c r="E1286" s="11">
        <v>745</v>
      </c>
      <c r="F1286" s="3">
        <v>45706</v>
      </c>
      <c r="G1286" s="3">
        <v>45707</v>
      </c>
      <c r="H1286" s="1" t="s">
        <v>23</v>
      </c>
      <c r="I1286" s="1" t="s">
        <v>40</v>
      </c>
      <c r="J1286" s="1">
        <v>3</v>
      </c>
      <c r="K1286" s="1" t="s">
        <v>19</v>
      </c>
      <c r="L1286" s="1" t="s">
        <v>24</v>
      </c>
      <c r="M1286" s="1">
        <f>orders[[#This Row],[Ship Date]]-orders[[#This Row],[Order Date]]</f>
        <v>1</v>
      </c>
      <c r="N1286" s="1">
        <f>WEEKNUM(orders[[#This Row],[Order Date]])</f>
        <v>8</v>
      </c>
      <c r="O1286" s="1" t="str" cm="1">
        <f t="array" ref="O1286">_xlfn.IFS(orders[[#This Row],[Customer Gender]]="M","Male", orders[[#This Row],[Customer Gender]]="F","Female", orders[[#This Row],[Customer Gender]]="O","Other", TRUE,"Unknown")</f>
        <v>Male</v>
      </c>
    </row>
    <row r="1287" spans="1:15">
      <c r="A1287" s="1" t="s">
        <v>1385</v>
      </c>
      <c r="B1287" s="1" t="s">
        <v>135</v>
      </c>
      <c r="C1287" s="1">
        <v>6</v>
      </c>
      <c r="D1287" s="1">
        <v>47.4</v>
      </c>
      <c r="E1287" s="11">
        <v>284.39999999999998</v>
      </c>
      <c r="F1287" s="3">
        <v>45706</v>
      </c>
      <c r="G1287" s="3">
        <v>45707</v>
      </c>
      <c r="H1287" s="1" t="s">
        <v>23</v>
      </c>
      <c r="I1287" s="1" t="s">
        <v>35</v>
      </c>
      <c r="J1287" s="1">
        <v>4</v>
      </c>
      <c r="K1287" s="1" t="s">
        <v>19</v>
      </c>
      <c r="L1287" s="1" t="s">
        <v>24</v>
      </c>
      <c r="M1287" s="1">
        <f>orders[[#This Row],[Ship Date]]-orders[[#This Row],[Order Date]]</f>
        <v>1</v>
      </c>
      <c r="N1287" s="1">
        <f>WEEKNUM(orders[[#This Row],[Order Date]])</f>
        <v>8</v>
      </c>
      <c r="O1287" s="1" t="str" cm="1">
        <f t="array" ref="O1287">_xlfn.IFS(orders[[#This Row],[Customer Gender]]="M","Male", orders[[#This Row],[Customer Gender]]="F","Female", orders[[#This Row],[Customer Gender]]="O","Other", TRUE,"Unknown")</f>
        <v>Male</v>
      </c>
    </row>
    <row r="1288" spans="1:15">
      <c r="A1288" s="1" t="s">
        <v>1386</v>
      </c>
      <c r="B1288" s="1" t="s">
        <v>81</v>
      </c>
      <c r="C1288" s="1">
        <v>3</v>
      </c>
      <c r="D1288" s="1">
        <v>17.3</v>
      </c>
      <c r="E1288" s="11">
        <v>51.900000000000006</v>
      </c>
      <c r="F1288" s="3">
        <v>45707</v>
      </c>
      <c r="G1288" s="3">
        <v>45710</v>
      </c>
      <c r="H1288" s="1" t="s">
        <v>23</v>
      </c>
      <c r="I1288" s="1" t="s">
        <v>40</v>
      </c>
      <c r="J1288" s="1">
        <v>5</v>
      </c>
      <c r="K1288" s="1" t="s">
        <v>19</v>
      </c>
      <c r="L1288" s="1" t="s">
        <v>24</v>
      </c>
      <c r="M1288" s="1">
        <f>orders[[#This Row],[Ship Date]]-orders[[#This Row],[Order Date]]</f>
        <v>3</v>
      </c>
      <c r="N1288" s="1">
        <f>WEEKNUM(orders[[#This Row],[Order Date]])</f>
        <v>8</v>
      </c>
      <c r="O1288" s="1" t="str" cm="1">
        <f t="array" ref="O1288">_xlfn.IFS(orders[[#This Row],[Customer Gender]]="M","Male", orders[[#This Row],[Customer Gender]]="F","Female", orders[[#This Row],[Customer Gender]]="O","Other", TRUE,"Unknown")</f>
        <v>Male</v>
      </c>
    </row>
    <row r="1289" spans="1:15">
      <c r="A1289" s="1" t="s">
        <v>1387</v>
      </c>
      <c r="B1289" s="1" t="s">
        <v>69</v>
      </c>
      <c r="C1289" s="1">
        <v>4</v>
      </c>
      <c r="D1289" s="1">
        <v>77.900000000000006</v>
      </c>
      <c r="E1289" s="11">
        <v>311.60000000000002</v>
      </c>
      <c r="F1289" s="3">
        <v>45707</v>
      </c>
      <c r="G1289" s="3">
        <v>45708</v>
      </c>
      <c r="H1289" s="1" t="s">
        <v>23</v>
      </c>
      <c r="I1289" s="1" t="s">
        <v>35</v>
      </c>
      <c r="J1289" s="1">
        <v>4</v>
      </c>
      <c r="K1289" s="1" t="s">
        <v>19</v>
      </c>
      <c r="L1289" s="1" t="s">
        <v>28</v>
      </c>
      <c r="M1289" s="1">
        <f>orders[[#This Row],[Ship Date]]-orders[[#This Row],[Order Date]]</f>
        <v>1</v>
      </c>
      <c r="N1289" s="1">
        <f>WEEKNUM(orders[[#This Row],[Order Date]])</f>
        <v>8</v>
      </c>
      <c r="O1289" s="1" t="str" cm="1">
        <f t="array" ref="O1289">_xlfn.IFS(orders[[#This Row],[Customer Gender]]="M","Male", orders[[#This Row],[Customer Gender]]="F","Female", orders[[#This Row],[Customer Gender]]="O","Other", TRUE,"Unknown")</f>
        <v>Male</v>
      </c>
    </row>
    <row r="1290" spans="1:15">
      <c r="A1290" s="1" t="s">
        <v>1388</v>
      </c>
      <c r="B1290" s="1" t="s">
        <v>44</v>
      </c>
      <c r="C1290" s="1">
        <v>1</v>
      </c>
      <c r="D1290" s="1">
        <v>29.1</v>
      </c>
      <c r="E1290" s="11">
        <v>29.1</v>
      </c>
      <c r="F1290" s="3">
        <v>45707</v>
      </c>
      <c r="G1290" s="3">
        <v>45710</v>
      </c>
      <c r="H1290" s="1" t="s">
        <v>23</v>
      </c>
      <c r="I1290" s="1" t="s">
        <v>18</v>
      </c>
      <c r="J1290" s="1">
        <v>5</v>
      </c>
      <c r="K1290" s="1" t="s">
        <v>19</v>
      </c>
      <c r="L1290" s="1" t="s">
        <v>949</v>
      </c>
      <c r="M1290" s="1">
        <f>orders[[#This Row],[Ship Date]]-orders[[#This Row],[Order Date]]</f>
        <v>3</v>
      </c>
      <c r="N1290" s="1">
        <f>WEEKNUM(orders[[#This Row],[Order Date]])</f>
        <v>8</v>
      </c>
      <c r="O1290" s="1" t="str" cm="1">
        <f t="array" ref="O1290">_xlfn.IFS(orders[[#This Row],[Customer Gender]]="M","Male", orders[[#This Row],[Customer Gender]]="F","Female", orders[[#This Row],[Customer Gender]]="O","Other", TRUE,"Unknown")</f>
        <v>Male</v>
      </c>
    </row>
    <row r="1291" spans="1:15">
      <c r="A1291" s="1" t="s">
        <v>1389</v>
      </c>
      <c r="B1291" s="1" t="s">
        <v>44</v>
      </c>
      <c r="C1291" s="1">
        <v>1</v>
      </c>
      <c r="D1291" s="1">
        <v>49</v>
      </c>
      <c r="E1291" s="11">
        <v>49</v>
      </c>
      <c r="F1291" s="3">
        <v>45707</v>
      </c>
      <c r="G1291" s="3">
        <v>45708</v>
      </c>
      <c r="H1291" s="1" t="s">
        <v>23</v>
      </c>
      <c r="I1291" s="1" t="s">
        <v>35</v>
      </c>
      <c r="J1291" s="1">
        <v>4</v>
      </c>
      <c r="K1291" s="1" t="s">
        <v>19</v>
      </c>
      <c r="L1291" s="1" t="s">
        <v>33</v>
      </c>
      <c r="M1291" s="1">
        <f>orders[[#This Row],[Ship Date]]-orders[[#This Row],[Order Date]]</f>
        <v>1</v>
      </c>
      <c r="N1291" s="1">
        <f>WEEKNUM(orders[[#This Row],[Order Date]])</f>
        <v>8</v>
      </c>
      <c r="O1291" s="1" t="str" cm="1">
        <f t="array" ref="O1291">_xlfn.IFS(orders[[#This Row],[Customer Gender]]="M","Male", orders[[#This Row],[Customer Gender]]="F","Female", orders[[#This Row],[Customer Gender]]="O","Other", TRUE,"Unknown")</f>
        <v>Male</v>
      </c>
    </row>
    <row r="1292" spans="1:15">
      <c r="A1292" s="1" t="s">
        <v>1390</v>
      </c>
      <c r="B1292" s="1" t="s">
        <v>44</v>
      </c>
      <c r="C1292" s="1">
        <v>6</v>
      </c>
      <c r="D1292" s="1">
        <v>21.1</v>
      </c>
      <c r="E1292" s="11">
        <v>126.60000000000001</v>
      </c>
      <c r="F1292" s="3">
        <v>45707</v>
      </c>
      <c r="G1292" s="3">
        <v>45714</v>
      </c>
      <c r="H1292" s="1" t="s">
        <v>23</v>
      </c>
      <c r="I1292" s="1" t="s">
        <v>18</v>
      </c>
      <c r="J1292" s="1">
        <v>5</v>
      </c>
      <c r="K1292" s="1" t="s">
        <v>19</v>
      </c>
      <c r="L1292" s="1" t="s">
        <v>33</v>
      </c>
      <c r="M1292" s="1">
        <f>orders[[#This Row],[Ship Date]]-orders[[#This Row],[Order Date]]</f>
        <v>7</v>
      </c>
      <c r="N1292" s="1">
        <f>WEEKNUM(orders[[#This Row],[Order Date]])</f>
        <v>8</v>
      </c>
      <c r="O1292" s="1" t="str" cm="1">
        <f t="array" ref="O1292">_xlfn.IFS(orders[[#This Row],[Customer Gender]]="M","Male", orders[[#This Row],[Customer Gender]]="F","Female", orders[[#This Row],[Customer Gender]]="O","Other", TRUE,"Unknown")</f>
        <v>Male</v>
      </c>
    </row>
    <row r="1293" spans="1:15">
      <c r="A1293" s="1" t="s">
        <v>1391</v>
      </c>
      <c r="B1293" s="1" t="s">
        <v>32</v>
      </c>
      <c r="C1293" s="1">
        <v>19</v>
      </c>
      <c r="D1293" s="1">
        <v>36.9</v>
      </c>
      <c r="E1293" s="11">
        <v>701.1</v>
      </c>
      <c r="F1293" s="3">
        <v>45707</v>
      </c>
      <c r="G1293" s="3">
        <v>45707</v>
      </c>
      <c r="H1293" s="1" t="s">
        <v>27</v>
      </c>
      <c r="I1293" s="1" t="s">
        <v>18</v>
      </c>
      <c r="J1293" s="1">
        <v>4</v>
      </c>
      <c r="K1293" s="1" t="s">
        <v>19</v>
      </c>
      <c r="L1293" s="1" t="s">
        <v>33</v>
      </c>
      <c r="M1293" s="1">
        <f>orders[[#This Row],[Ship Date]]-orders[[#This Row],[Order Date]]</f>
        <v>0</v>
      </c>
      <c r="N1293" s="1">
        <f>WEEKNUM(orders[[#This Row],[Order Date]])</f>
        <v>8</v>
      </c>
      <c r="O1293" s="1" t="str" cm="1">
        <f t="array" ref="O1293">_xlfn.IFS(orders[[#This Row],[Customer Gender]]="M","Male", orders[[#This Row],[Customer Gender]]="F","Female", orders[[#This Row],[Customer Gender]]="O","Other", TRUE,"Unknown")</f>
        <v>Female</v>
      </c>
    </row>
    <row r="1294" spans="1:15">
      <c r="A1294" s="1" t="s">
        <v>1392</v>
      </c>
      <c r="B1294" s="1" t="s">
        <v>22</v>
      </c>
      <c r="C1294" s="1">
        <v>10</v>
      </c>
      <c r="D1294" s="1">
        <v>92.6</v>
      </c>
      <c r="E1294" s="11">
        <v>926</v>
      </c>
      <c r="F1294" s="3">
        <v>45707</v>
      </c>
      <c r="G1294" s="3">
        <v>45712</v>
      </c>
      <c r="H1294" s="1" t="s">
        <v>23</v>
      </c>
      <c r="I1294" s="1" t="s">
        <v>70</v>
      </c>
      <c r="J1294" s="1">
        <v>5</v>
      </c>
      <c r="K1294" s="1" t="s">
        <v>19</v>
      </c>
      <c r="L1294" s="1" t="s">
        <v>33</v>
      </c>
      <c r="M1294" s="1">
        <f>orders[[#This Row],[Ship Date]]-orders[[#This Row],[Order Date]]</f>
        <v>5</v>
      </c>
      <c r="N1294" s="1">
        <f>WEEKNUM(orders[[#This Row],[Order Date]])</f>
        <v>8</v>
      </c>
      <c r="O1294" s="1" t="str" cm="1">
        <f t="array" ref="O1294">_xlfn.IFS(orders[[#This Row],[Customer Gender]]="M","Male", orders[[#This Row],[Customer Gender]]="F","Female", orders[[#This Row],[Customer Gender]]="O","Other", TRUE,"Unknown")</f>
        <v>Male</v>
      </c>
    </row>
    <row r="1295" spans="1:15">
      <c r="A1295" s="1" t="s">
        <v>1393</v>
      </c>
      <c r="B1295" s="1" t="s">
        <v>54</v>
      </c>
      <c r="C1295" s="1">
        <v>2</v>
      </c>
      <c r="D1295" s="1">
        <v>38</v>
      </c>
      <c r="E1295" s="11">
        <v>76</v>
      </c>
      <c r="F1295" s="3">
        <v>45707</v>
      </c>
      <c r="G1295" s="3">
        <v>45708</v>
      </c>
      <c r="H1295" s="1" t="s">
        <v>23</v>
      </c>
      <c r="I1295" s="1" t="s">
        <v>35</v>
      </c>
      <c r="J1295" s="1">
        <v>3</v>
      </c>
      <c r="K1295" s="1" t="s">
        <v>19</v>
      </c>
      <c r="L1295" s="1" t="s">
        <v>33</v>
      </c>
      <c r="M1295" s="1">
        <f>orders[[#This Row],[Ship Date]]-orders[[#This Row],[Order Date]]</f>
        <v>1</v>
      </c>
      <c r="N1295" s="1">
        <f>WEEKNUM(orders[[#This Row],[Order Date]])</f>
        <v>8</v>
      </c>
      <c r="O1295" s="1" t="str" cm="1">
        <f t="array" ref="O1295">_xlfn.IFS(orders[[#This Row],[Customer Gender]]="M","Male", orders[[#This Row],[Customer Gender]]="F","Female", orders[[#This Row],[Customer Gender]]="O","Other", TRUE,"Unknown")</f>
        <v>Male</v>
      </c>
    </row>
    <row r="1296" spans="1:15">
      <c r="A1296" s="1" t="s">
        <v>1394</v>
      </c>
      <c r="B1296" s="1" t="s">
        <v>37</v>
      </c>
      <c r="C1296" s="1">
        <v>3</v>
      </c>
      <c r="D1296" s="1">
        <v>54.8</v>
      </c>
      <c r="E1296" s="11">
        <v>164.39999999999998</v>
      </c>
      <c r="F1296" s="3">
        <v>45707</v>
      </c>
      <c r="G1296" s="3">
        <v>45711</v>
      </c>
      <c r="H1296" s="1" t="s">
        <v>17</v>
      </c>
      <c r="I1296" s="1" t="s">
        <v>18</v>
      </c>
      <c r="J1296" s="1">
        <v>3</v>
      </c>
      <c r="K1296" s="1" t="s">
        <v>19</v>
      </c>
      <c r="L1296" s="1" t="s">
        <v>33</v>
      </c>
      <c r="M1296" s="1">
        <f>orders[[#This Row],[Ship Date]]-orders[[#This Row],[Order Date]]</f>
        <v>4</v>
      </c>
      <c r="N1296" s="1">
        <f>WEEKNUM(orders[[#This Row],[Order Date]])</f>
        <v>8</v>
      </c>
      <c r="O1296" s="1" t="str" cm="1">
        <f t="array" ref="O1296">_xlfn.IFS(orders[[#This Row],[Customer Gender]]="M","Male", orders[[#This Row],[Customer Gender]]="F","Female", orders[[#This Row],[Customer Gender]]="O","Other", TRUE,"Unknown")</f>
        <v>Unknown</v>
      </c>
    </row>
    <row r="1297" spans="1:15">
      <c r="A1297" s="1" t="s">
        <v>1395</v>
      </c>
      <c r="B1297" s="1" t="s">
        <v>54</v>
      </c>
      <c r="C1297" s="1">
        <v>12</v>
      </c>
      <c r="D1297" s="1">
        <v>56.8</v>
      </c>
      <c r="E1297" s="11">
        <v>681.59999999999991</v>
      </c>
      <c r="F1297" s="3">
        <v>45707</v>
      </c>
      <c r="G1297" s="3">
        <v>45709</v>
      </c>
      <c r="H1297" s="1" t="s">
        <v>23</v>
      </c>
      <c r="I1297" s="1" t="s">
        <v>35</v>
      </c>
      <c r="J1297" s="1">
        <v>4</v>
      </c>
      <c r="K1297" s="1" t="s">
        <v>19</v>
      </c>
      <c r="L1297" s="1" t="s">
        <v>33</v>
      </c>
      <c r="M1297" s="1">
        <f>orders[[#This Row],[Ship Date]]-orders[[#This Row],[Order Date]]</f>
        <v>2</v>
      </c>
      <c r="N1297" s="1">
        <f>WEEKNUM(orders[[#This Row],[Order Date]])</f>
        <v>8</v>
      </c>
      <c r="O1297" s="1" t="str" cm="1">
        <f t="array" ref="O1297">_xlfn.IFS(orders[[#This Row],[Customer Gender]]="M","Male", orders[[#This Row],[Customer Gender]]="F","Female", orders[[#This Row],[Customer Gender]]="O","Other", TRUE,"Unknown")</f>
        <v>Male</v>
      </c>
    </row>
    <row r="1298" spans="1:15">
      <c r="A1298" s="1" t="s">
        <v>1396</v>
      </c>
      <c r="B1298" s="1" t="s">
        <v>67</v>
      </c>
      <c r="C1298" s="1">
        <v>33</v>
      </c>
      <c r="D1298" s="1">
        <v>47.2</v>
      </c>
      <c r="E1298" s="11">
        <v>1557.6000000000001</v>
      </c>
      <c r="F1298" s="3">
        <v>45707</v>
      </c>
      <c r="G1298" s="3">
        <v>45710</v>
      </c>
      <c r="H1298" s="1" t="s">
        <v>27</v>
      </c>
      <c r="I1298" s="1" t="s">
        <v>35</v>
      </c>
      <c r="J1298" s="1">
        <v>4</v>
      </c>
      <c r="K1298" s="1" t="s">
        <v>19</v>
      </c>
      <c r="L1298" s="1" t="s">
        <v>33</v>
      </c>
      <c r="M1298" s="1">
        <f>orders[[#This Row],[Ship Date]]-orders[[#This Row],[Order Date]]</f>
        <v>3</v>
      </c>
      <c r="N1298" s="1">
        <f>WEEKNUM(orders[[#This Row],[Order Date]])</f>
        <v>8</v>
      </c>
      <c r="O1298" s="1" t="str" cm="1">
        <f t="array" ref="O1298">_xlfn.IFS(orders[[#This Row],[Customer Gender]]="M","Male", orders[[#This Row],[Customer Gender]]="F","Female", orders[[#This Row],[Customer Gender]]="O","Other", TRUE,"Unknown")</f>
        <v>Female</v>
      </c>
    </row>
    <row r="1299" spans="1:15">
      <c r="A1299" s="1" t="s">
        <v>1397</v>
      </c>
      <c r="B1299" s="1" t="s">
        <v>42</v>
      </c>
      <c r="C1299" s="1">
        <v>6</v>
      </c>
      <c r="D1299" s="1">
        <v>45.1</v>
      </c>
      <c r="E1299" s="11">
        <v>270.60000000000002</v>
      </c>
      <c r="F1299" s="3">
        <v>45707</v>
      </c>
      <c r="G1299" s="3">
        <v>45708</v>
      </c>
      <c r="H1299" s="1" t="s">
        <v>27</v>
      </c>
      <c r="I1299" s="1" t="s">
        <v>40</v>
      </c>
      <c r="J1299" s="1">
        <v>4</v>
      </c>
      <c r="K1299" s="1" t="s">
        <v>19</v>
      </c>
      <c r="L1299" s="1" t="s">
        <v>545</v>
      </c>
      <c r="M1299" s="1">
        <f>orders[[#This Row],[Ship Date]]-orders[[#This Row],[Order Date]]</f>
        <v>1</v>
      </c>
      <c r="N1299" s="1">
        <f>WEEKNUM(orders[[#This Row],[Order Date]])</f>
        <v>8</v>
      </c>
      <c r="O1299" s="1" t="str" cm="1">
        <f t="array" ref="O1299">_xlfn.IFS(orders[[#This Row],[Customer Gender]]="M","Male", orders[[#This Row],[Customer Gender]]="F","Female", orders[[#This Row],[Customer Gender]]="O","Other", TRUE,"Unknown")</f>
        <v>Female</v>
      </c>
    </row>
    <row r="1300" spans="1:15">
      <c r="A1300" s="1" t="s">
        <v>1398</v>
      </c>
      <c r="B1300" s="1" t="s">
        <v>32</v>
      </c>
      <c r="C1300" s="1">
        <v>12</v>
      </c>
      <c r="D1300" s="1">
        <v>25.2</v>
      </c>
      <c r="E1300" s="11">
        <v>302.39999999999998</v>
      </c>
      <c r="F1300" s="3">
        <v>45707</v>
      </c>
      <c r="G1300" s="3">
        <v>45712</v>
      </c>
      <c r="H1300" s="1" t="s">
        <v>27</v>
      </c>
      <c r="I1300" s="1" t="s">
        <v>40</v>
      </c>
      <c r="J1300" s="1">
        <v>4</v>
      </c>
      <c r="K1300" s="1" t="s">
        <v>19</v>
      </c>
      <c r="L1300" s="1" t="s">
        <v>98</v>
      </c>
      <c r="M1300" s="1">
        <f>orders[[#This Row],[Ship Date]]-orders[[#This Row],[Order Date]]</f>
        <v>5</v>
      </c>
      <c r="N1300" s="1">
        <f>WEEKNUM(orders[[#This Row],[Order Date]])</f>
        <v>8</v>
      </c>
      <c r="O1300" s="1" t="str" cm="1">
        <f t="array" ref="O1300">_xlfn.IFS(orders[[#This Row],[Customer Gender]]="M","Male", orders[[#This Row],[Customer Gender]]="F","Female", orders[[#This Row],[Customer Gender]]="O","Other", TRUE,"Unknown")</f>
        <v>Female</v>
      </c>
    </row>
    <row r="1301" spans="1:15">
      <c r="A1301" s="1" t="s">
        <v>1399</v>
      </c>
      <c r="B1301" s="1" t="s">
        <v>44</v>
      </c>
      <c r="C1301" s="1">
        <v>1</v>
      </c>
      <c r="D1301" s="1">
        <v>22</v>
      </c>
      <c r="E1301" s="11">
        <v>22</v>
      </c>
      <c r="F1301" s="3">
        <v>45707</v>
      </c>
      <c r="G1301" s="3">
        <v>45708</v>
      </c>
      <c r="H1301" s="1" t="s">
        <v>27</v>
      </c>
      <c r="I1301" s="1" t="s">
        <v>18</v>
      </c>
      <c r="J1301" s="1">
        <v>4</v>
      </c>
      <c r="K1301" s="1" t="s">
        <v>19</v>
      </c>
      <c r="L1301" s="1" t="s">
        <v>52</v>
      </c>
      <c r="M1301" s="1">
        <f>orders[[#This Row],[Ship Date]]-orders[[#This Row],[Order Date]]</f>
        <v>1</v>
      </c>
      <c r="N1301" s="1">
        <f>WEEKNUM(orders[[#This Row],[Order Date]])</f>
        <v>8</v>
      </c>
      <c r="O1301" s="1" t="str" cm="1">
        <f t="array" ref="O1301">_xlfn.IFS(orders[[#This Row],[Customer Gender]]="M","Male", orders[[#This Row],[Customer Gender]]="F","Female", orders[[#This Row],[Customer Gender]]="O","Other", TRUE,"Unknown")</f>
        <v>Female</v>
      </c>
    </row>
    <row r="1302" spans="1:15">
      <c r="A1302" s="1" t="s">
        <v>1400</v>
      </c>
      <c r="B1302" s="1" t="s">
        <v>39</v>
      </c>
      <c r="C1302" s="1">
        <v>2</v>
      </c>
      <c r="D1302" s="1">
        <v>42.2</v>
      </c>
      <c r="E1302" s="11">
        <v>84.4</v>
      </c>
      <c r="F1302" s="3">
        <v>45707</v>
      </c>
      <c r="G1302" s="3">
        <v>45708</v>
      </c>
      <c r="H1302" s="1" t="s">
        <v>27</v>
      </c>
      <c r="I1302" s="1" t="s">
        <v>35</v>
      </c>
      <c r="J1302" s="1">
        <v>3</v>
      </c>
      <c r="K1302" s="1" t="s">
        <v>19</v>
      </c>
      <c r="L1302" s="1" t="s">
        <v>158</v>
      </c>
      <c r="M1302" s="1">
        <f>orders[[#This Row],[Ship Date]]-orders[[#This Row],[Order Date]]</f>
        <v>1</v>
      </c>
      <c r="N1302" s="1">
        <f>WEEKNUM(orders[[#This Row],[Order Date]])</f>
        <v>8</v>
      </c>
      <c r="O1302" s="1" t="str" cm="1">
        <f t="array" ref="O1302">_xlfn.IFS(orders[[#This Row],[Customer Gender]]="M","Male", orders[[#This Row],[Customer Gender]]="F","Female", orders[[#This Row],[Customer Gender]]="O","Other", TRUE,"Unknown")</f>
        <v>Female</v>
      </c>
    </row>
    <row r="1303" spans="1:15">
      <c r="A1303" s="1" t="s">
        <v>1401</v>
      </c>
      <c r="B1303" s="1" t="s">
        <v>76</v>
      </c>
      <c r="C1303" s="1">
        <v>3</v>
      </c>
      <c r="D1303" s="1">
        <v>20.5</v>
      </c>
      <c r="E1303" s="11">
        <v>61.5</v>
      </c>
      <c r="F1303" s="3">
        <v>45707</v>
      </c>
      <c r="G1303" s="3">
        <v>45708</v>
      </c>
      <c r="H1303" s="1" t="s">
        <v>23</v>
      </c>
      <c r="I1303" s="1" t="s">
        <v>18</v>
      </c>
      <c r="J1303" s="1">
        <v>3</v>
      </c>
      <c r="K1303" s="1" t="s">
        <v>19</v>
      </c>
      <c r="L1303" s="1" t="s">
        <v>55</v>
      </c>
      <c r="M1303" s="1">
        <f>orders[[#This Row],[Ship Date]]-orders[[#This Row],[Order Date]]</f>
        <v>1</v>
      </c>
      <c r="N1303" s="1">
        <f>WEEKNUM(orders[[#This Row],[Order Date]])</f>
        <v>8</v>
      </c>
      <c r="O1303" s="1" t="str" cm="1">
        <f t="array" ref="O1303">_xlfn.IFS(orders[[#This Row],[Customer Gender]]="M","Male", orders[[#This Row],[Customer Gender]]="F","Female", orders[[#This Row],[Customer Gender]]="O","Other", TRUE,"Unknown")</f>
        <v>Male</v>
      </c>
    </row>
    <row r="1304" spans="1:15">
      <c r="A1304" s="1" t="s">
        <v>1402</v>
      </c>
      <c r="B1304" s="1" t="s">
        <v>26</v>
      </c>
      <c r="C1304" s="1">
        <v>1</v>
      </c>
      <c r="D1304" s="1">
        <v>190.4</v>
      </c>
      <c r="E1304" s="11">
        <v>190.4</v>
      </c>
      <c r="F1304" s="3">
        <v>45707</v>
      </c>
      <c r="G1304" s="3">
        <v>45712</v>
      </c>
      <c r="H1304" s="1" t="s">
        <v>23</v>
      </c>
      <c r="I1304" s="1" t="s">
        <v>35</v>
      </c>
      <c r="J1304" s="1">
        <v>2</v>
      </c>
      <c r="K1304" s="1" t="s">
        <v>19</v>
      </c>
      <c r="L1304" s="1" t="s">
        <v>55</v>
      </c>
      <c r="M1304" s="1">
        <f>orders[[#This Row],[Ship Date]]-orders[[#This Row],[Order Date]]</f>
        <v>5</v>
      </c>
      <c r="N1304" s="1">
        <f>WEEKNUM(orders[[#This Row],[Order Date]])</f>
        <v>8</v>
      </c>
      <c r="O1304" s="1" t="str" cm="1">
        <f t="array" ref="O1304">_xlfn.IFS(orders[[#This Row],[Customer Gender]]="M","Male", orders[[#This Row],[Customer Gender]]="F","Female", orders[[#This Row],[Customer Gender]]="O","Other", TRUE,"Unknown")</f>
        <v>Male</v>
      </c>
    </row>
    <row r="1305" spans="1:15">
      <c r="A1305" s="1" t="s">
        <v>1403</v>
      </c>
      <c r="B1305" s="1" t="s">
        <v>26</v>
      </c>
      <c r="C1305" s="1">
        <v>1</v>
      </c>
      <c r="D1305" s="1">
        <v>121.9</v>
      </c>
      <c r="E1305" s="11">
        <v>121.9</v>
      </c>
      <c r="F1305" s="3">
        <v>45707</v>
      </c>
      <c r="G1305" s="3">
        <v>45709</v>
      </c>
      <c r="H1305" s="1" t="s">
        <v>27</v>
      </c>
      <c r="I1305" s="1" t="s">
        <v>35</v>
      </c>
      <c r="J1305" s="1">
        <v>5</v>
      </c>
      <c r="K1305" s="1" t="s">
        <v>19</v>
      </c>
      <c r="L1305" s="1" t="s">
        <v>55</v>
      </c>
      <c r="M1305" s="1">
        <f>orders[[#This Row],[Ship Date]]-orders[[#This Row],[Order Date]]</f>
        <v>2</v>
      </c>
      <c r="N1305" s="1">
        <f>WEEKNUM(orders[[#This Row],[Order Date]])</f>
        <v>8</v>
      </c>
      <c r="O1305" s="1" t="str" cm="1">
        <f t="array" ref="O1305">_xlfn.IFS(orders[[#This Row],[Customer Gender]]="M","Male", orders[[#This Row],[Customer Gender]]="F","Female", orders[[#This Row],[Customer Gender]]="O","Other", TRUE,"Unknown")</f>
        <v>Female</v>
      </c>
    </row>
    <row r="1306" spans="1:15">
      <c r="A1306" s="1" t="s">
        <v>1404</v>
      </c>
      <c r="B1306" s="1" t="s">
        <v>26</v>
      </c>
      <c r="C1306" s="1">
        <v>6</v>
      </c>
      <c r="D1306" s="1">
        <v>149.19999999999999</v>
      </c>
      <c r="E1306" s="11">
        <v>895.19999999999993</v>
      </c>
      <c r="F1306" s="3">
        <v>45707</v>
      </c>
      <c r="G1306" s="3">
        <v>45708</v>
      </c>
      <c r="H1306" s="1" t="s">
        <v>27</v>
      </c>
      <c r="I1306" s="1" t="s">
        <v>40</v>
      </c>
      <c r="J1306" s="1">
        <v>5</v>
      </c>
      <c r="K1306" s="1" t="s">
        <v>19</v>
      </c>
      <c r="L1306" s="1" t="s">
        <v>59</v>
      </c>
      <c r="M1306" s="1">
        <f>orders[[#This Row],[Ship Date]]-orders[[#This Row],[Order Date]]</f>
        <v>1</v>
      </c>
      <c r="N1306" s="1">
        <f>WEEKNUM(orders[[#This Row],[Order Date]])</f>
        <v>8</v>
      </c>
      <c r="O1306" s="1" t="str" cm="1">
        <f t="array" ref="O1306">_xlfn.IFS(orders[[#This Row],[Customer Gender]]="M","Male", orders[[#This Row],[Customer Gender]]="F","Female", orders[[#This Row],[Customer Gender]]="O","Other", TRUE,"Unknown")</f>
        <v>Female</v>
      </c>
    </row>
    <row r="1307" spans="1:15">
      <c r="A1307" s="1" t="s">
        <v>1405</v>
      </c>
      <c r="B1307" s="1" t="s">
        <v>26</v>
      </c>
      <c r="C1307" s="1">
        <v>1</v>
      </c>
      <c r="D1307" s="1">
        <v>54.1</v>
      </c>
      <c r="E1307" s="11">
        <v>54.1</v>
      </c>
      <c r="F1307" s="3">
        <v>45707</v>
      </c>
      <c r="G1307" s="3">
        <v>45716</v>
      </c>
      <c r="H1307" s="1" t="s">
        <v>27</v>
      </c>
      <c r="I1307" s="1" t="s">
        <v>40</v>
      </c>
      <c r="J1307" s="1">
        <v>5</v>
      </c>
      <c r="K1307" s="1" t="s">
        <v>19</v>
      </c>
      <c r="L1307" s="1" t="s">
        <v>59</v>
      </c>
      <c r="M1307" s="1">
        <f>orders[[#This Row],[Ship Date]]-orders[[#This Row],[Order Date]]</f>
        <v>9</v>
      </c>
      <c r="N1307" s="1">
        <f>WEEKNUM(orders[[#This Row],[Order Date]])</f>
        <v>8</v>
      </c>
      <c r="O1307" s="1" t="str" cm="1">
        <f t="array" ref="O1307">_xlfn.IFS(orders[[#This Row],[Customer Gender]]="M","Male", orders[[#This Row],[Customer Gender]]="F","Female", orders[[#This Row],[Customer Gender]]="O","Other", TRUE,"Unknown")</f>
        <v>Female</v>
      </c>
    </row>
    <row r="1308" spans="1:15">
      <c r="A1308" s="1" t="s">
        <v>1406</v>
      </c>
      <c r="B1308" s="1" t="s">
        <v>37</v>
      </c>
      <c r="C1308" s="1">
        <v>2</v>
      </c>
      <c r="D1308" s="1">
        <v>27.4</v>
      </c>
      <c r="E1308" s="11">
        <v>54.8</v>
      </c>
      <c r="F1308" s="3">
        <v>45707</v>
      </c>
      <c r="G1308" s="3">
        <v>45709</v>
      </c>
      <c r="H1308" s="1" t="s">
        <v>23</v>
      </c>
      <c r="I1308" s="1" t="s">
        <v>35</v>
      </c>
      <c r="J1308" s="1">
        <v>4</v>
      </c>
      <c r="K1308" s="1" t="s">
        <v>19</v>
      </c>
      <c r="L1308" s="1" t="s">
        <v>62</v>
      </c>
      <c r="M1308" s="1">
        <f>orders[[#This Row],[Ship Date]]-orders[[#This Row],[Order Date]]</f>
        <v>2</v>
      </c>
      <c r="N1308" s="1">
        <f>WEEKNUM(orders[[#This Row],[Order Date]])</f>
        <v>8</v>
      </c>
      <c r="O1308" s="1" t="str" cm="1">
        <f t="array" ref="O1308">_xlfn.IFS(orders[[#This Row],[Customer Gender]]="M","Male", orders[[#This Row],[Customer Gender]]="F","Female", orders[[#This Row],[Customer Gender]]="O","Other", TRUE,"Unknown")</f>
        <v>Male</v>
      </c>
    </row>
    <row r="1309" spans="1:15">
      <c r="A1309" s="1" t="s">
        <v>1407</v>
      </c>
      <c r="B1309" s="1" t="s">
        <v>16</v>
      </c>
      <c r="C1309" s="1">
        <v>13</v>
      </c>
      <c r="D1309" s="1">
        <v>30.4</v>
      </c>
      <c r="E1309" s="11">
        <v>395.2</v>
      </c>
      <c r="F1309" s="3">
        <v>45707</v>
      </c>
      <c r="G1309" s="3">
        <v>45708</v>
      </c>
      <c r="H1309" s="1" t="s">
        <v>27</v>
      </c>
      <c r="I1309" s="1" t="s">
        <v>18</v>
      </c>
      <c r="J1309" s="1">
        <v>5</v>
      </c>
      <c r="K1309" s="1" t="s">
        <v>19</v>
      </c>
      <c r="L1309" s="1" t="s">
        <v>62</v>
      </c>
      <c r="M1309" s="1">
        <f>orders[[#This Row],[Ship Date]]-orders[[#This Row],[Order Date]]</f>
        <v>1</v>
      </c>
      <c r="N1309" s="1">
        <f>WEEKNUM(orders[[#This Row],[Order Date]])</f>
        <v>8</v>
      </c>
      <c r="O1309" s="1" t="str" cm="1">
        <f t="array" ref="O1309">_xlfn.IFS(orders[[#This Row],[Customer Gender]]="M","Male", orders[[#This Row],[Customer Gender]]="F","Female", orders[[#This Row],[Customer Gender]]="O","Other", TRUE,"Unknown")</f>
        <v>Female</v>
      </c>
    </row>
    <row r="1310" spans="1:15">
      <c r="A1310" s="1" t="s">
        <v>1408</v>
      </c>
      <c r="B1310" s="1" t="s">
        <v>69</v>
      </c>
      <c r="C1310" s="1">
        <v>3</v>
      </c>
      <c r="D1310" s="1">
        <v>46.2</v>
      </c>
      <c r="E1310" s="11">
        <v>138.60000000000002</v>
      </c>
      <c r="F1310" s="3">
        <v>45707</v>
      </c>
      <c r="G1310" s="3">
        <v>45709</v>
      </c>
      <c r="H1310" s="1" t="s">
        <v>23</v>
      </c>
      <c r="I1310" s="1" t="s">
        <v>40</v>
      </c>
      <c r="J1310" s="1">
        <v>3</v>
      </c>
      <c r="K1310" s="1" t="s">
        <v>19</v>
      </c>
      <c r="L1310" s="1" t="s">
        <v>103</v>
      </c>
      <c r="M1310" s="1">
        <f>orders[[#This Row],[Ship Date]]-orders[[#This Row],[Order Date]]</f>
        <v>2</v>
      </c>
      <c r="N1310" s="1">
        <f>WEEKNUM(orders[[#This Row],[Order Date]])</f>
        <v>8</v>
      </c>
      <c r="O1310" s="1" t="str" cm="1">
        <f t="array" ref="O1310">_xlfn.IFS(orders[[#This Row],[Customer Gender]]="M","Male", orders[[#This Row],[Customer Gender]]="F","Female", orders[[#This Row],[Customer Gender]]="O","Other", TRUE,"Unknown")</f>
        <v>Male</v>
      </c>
    </row>
    <row r="1311" spans="1:15">
      <c r="A1311" s="1" t="s">
        <v>1409</v>
      </c>
      <c r="B1311" s="1" t="s">
        <v>42</v>
      </c>
      <c r="C1311" s="1">
        <v>8</v>
      </c>
      <c r="D1311" s="1">
        <v>78.599999999999994</v>
      </c>
      <c r="E1311" s="11">
        <v>628.79999999999995</v>
      </c>
      <c r="F1311" s="3">
        <v>45707</v>
      </c>
      <c r="G1311" s="3">
        <v>45711</v>
      </c>
      <c r="H1311" s="1" t="s">
        <v>23</v>
      </c>
      <c r="I1311" s="1" t="s">
        <v>51</v>
      </c>
      <c r="J1311" s="1">
        <v>4</v>
      </c>
      <c r="K1311" s="1" t="s">
        <v>19</v>
      </c>
      <c r="L1311" s="1" t="s">
        <v>103</v>
      </c>
      <c r="M1311" s="1">
        <f>orders[[#This Row],[Ship Date]]-orders[[#This Row],[Order Date]]</f>
        <v>4</v>
      </c>
      <c r="N1311" s="1">
        <f>WEEKNUM(orders[[#This Row],[Order Date]])</f>
        <v>8</v>
      </c>
      <c r="O1311" s="1" t="str" cm="1">
        <f t="array" ref="O1311">_xlfn.IFS(orders[[#This Row],[Customer Gender]]="M","Male", orders[[#This Row],[Customer Gender]]="F","Female", orders[[#This Row],[Customer Gender]]="O","Other", TRUE,"Unknown")</f>
        <v>Male</v>
      </c>
    </row>
    <row r="1312" spans="1:15">
      <c r="A1312" s="1" t="s">
        <v>1410</v>
      </c>
      <c r="B1312" s="1" t="s">
        <v>135</v>
      </c>
      <c r="C1312" s="1">
        <v>10</v>
      </c>
      <c r="D1312" s="1">
        <v>25.9</v>
      </c>
      <c r="E1312" s="11">
        <v>259</v>
      </c>
      <c r="F1312" s="3">
        <v>45707</v>
      </c>
      <c r="G1312" s="3">
        <v>45713</v>
      </c>
      <c r="H1312" s="1" t="s">
        <v>23</v>
      </c>
      <c r="I1312" s="1" t="s">
        <v>70</v>
      </c>
      <c r="J1312" s="1">
        <v>4</v>
      </c>
      <c r="K1312" s="1" t="s">
        <v>19</v>
      </c>
      <c r="L1312" s="1" t="s">
        <v>72</v>
      </c>
      <c r="M1312" s="1">
        <f>orders[[#This Row],[Ship Date]]-orders[[#This Row],[Order Date]]</f>
        <v>6</v>
      </c>
      <c r="N1312" s="1">
        <f>WEEKNUM(orders[[#This Row],[Order Date]])</f>
        <v>8</v>
      </c>
      <c r="O1312" s="1" t="str" cm="1">
        <f t="array" ref="O1312">_xlfn.IFS(orders[[#This Row],[Customer Gender]]="M","Male", orders[[#This Row],[Customer Gender]]="F","Female", orders[[#This Row],[Customer Gender]]="O","Other", TRUE,"Unknown")</f>
        <v>Male</v>
      </c>
    </row>
    <row r="1313" spans="1:15">
      <c r="A1313" s="1" t="s">
        <v>1411</v>
      </c>
      <c r="B1313" s="1" t="s">
        <v>39</v>
      </c>
      <c r="C1313" s="1">
        <v>1</v>
      </c>
      <c r="D1313" s="1">
        <v>134.80000000000001</v>
      </c>
      <c r="E1313" s="11">
        <v>134.80000000000001</v>
      </c>
      <c r="F1313" s="3">
        <v>45707</v>
      </c>
      <c r="G1313" s="3">
        <v>45709</v>
      </c>
      <c r="H1313" s="1" t="s">
        <v>23</v>
      </c>
      <c r="I1313" s="1" t="s">
        <v>40</v>
      </c>
      <c r="J1313" s="1">
        <v>5</v>
      </c>
      <c r="K1313" s="1" t="s">
        <v>19</v>
      </c>
      <c r="L1313" s="1" t="s">
        <v>72</v>
      </c>
      <c r="M1313" s="1">
        <f>orders[[#This Row],[Ship Date]]-orders[[#This Row],[Order Date]]</f>
        <v>2</v>
      </c>
      <c r="N1313" s="1">
        <f>WEEKNUM(orders[[#This Row],[Order Date]])</f>
        <v>8</v>
      </c>
      <c r="O1313" s="1" t="str" cm="1">
        <f t="array" ref="O1313">_xlfn.IFS(orders[[#This Row],[Customer Gender]]="M","Male", orders[[#This Row],[Customer Gender]]="F","Female", orders[[#This Row],[Customer Gender]]="O","Other", TRUE,"Unknown")</f>
        <v>Male</v>
      </c>
    </row>
    <row r="1314" spans="1:15">
      <c r="A1314" s="1" t="s">
        <v>1412</v>
      </c>
      <c r="B1314" s="1" t="s">
        <v>123</v>
      </c>
      <c r="C1314" s="1">
        <v>5</v>
      </c>
      <c r="D1314" s="1">
        <v>43.1</v>
      </c>
      <c r="E1314" s="11">
        <v>215.5</v>
      </c>
      <c r="F1314" s="3">
        <v>45707</v>
      </c>
      <c r="G1314" s="3">
        <v>45709</v>
      </c>
      <c r="H1314" s="1" t="s">
        <v>27</v>
      </c>
      <c r="I1314" s="1" t="s">
        <v>18</v>
      </c>
      <c r="J1314" s="1">
        <v>4</v>
      </c>
      <c r="K1314" s="1" t="s">
        <v>19</v>
      </c>
      <c r="L1314" s="1" t="s">
        <v>77</v>
      </c>
      <c r="M1314" s="1">
        <f>orders[[#This Row],[Ship Date]]-orders[[#This Row],[Order Date]]</f>
        <v>2</v>
      </c>
      <c r="N1314" s="1">
        <f>WEEKNUM(orders[[#This Row],[Order Date]])</f>
        <v>8</v>
      </c>
      <c r="O1314" s="1" t="str" cm="1">
        <f t="array" ref="O1314">_xlfn.IFS(orders[[#This Row],[Customer Gender]]="M","Male", orders[[#This Row],[Customer Gender]]="F","Female", orders[[#This Row],[Customer Gender]]="O","Other", TRUE,"Unknown")</f>
        <v>Female</v>
      </c>
    </row>
    <row r="1315" spans="1:15">
      <c r="A1315" s="1" t="s">
        <v>1413</v>
      </c>
      <c r="B1315" s="1" t="s">
        <v>26</v>
      </c>
      <c r="C1315" s="1">
        <v>2</v>
      </c>
      <c r="D1315" s="1">
        <v>215.6</v>
      </c>
      <c r="E1315" s="11">
        <v>431.2</v>
      </c>
      <c r="F1315" s="3">
        <v>45707</v>
      </c>
      <c r="G1315" s="3">
        <v>45708</v>
      </c>
      <c r="H1315" s="1" t="s">
        <v>27</v>
      </c>
      <c r="I1315" s="1" t="s">
        <v>40</v>
      </c>
      <c r="J1315" s="1">
        <v>4</v>
      </c>
      <c r="K1315" s="1" t="s">
        <v>19</v>
      </c>
      <c r="L1315" s="1" t="s">
        <v>108</v>
      </c>
      <c r="M1315" s="1">
        <f>orders[[#This Row],[Ship Date]]-orders[[#This Row],[Order Date]]</f>
        <v>1</v>
      </c>
      <c r="N1315" s="1">
        <f>WEEKNUM(orders[[#This Row],[Order Date]])</f>
        <v>8</v>
      </c>
      <c r="O1315" s="1" t="str" cm="1">
        <f t="array" ref="O1315">_xlfn.IFS(orders[[#This Row],[Customer Gender]]="M","Male", orders[[#This Row],[Customer Gender]]="F","Female", orders[[#This Row],[Customer Gender]]="O","Other", TRUE,"Unknown")</f>
        <v>Female</v>
      </c>
    </row>
    <row r="1316" spans="1:15">
      <c r="A1316" s="1" t="s">
        <v>1414</v>
      </c>
      <c r="B1316" s="1" t="s">
        <v>39</v>
      </c>
      <c r="C1316" s="1">
        <v>2</v>
      </c>
      <c r="D1316" s="1">
        <v>80.7</v>
      </c>
      <c r="E1316" s="11">
        <v>161.4</v>
      </c>
      <c r="F1316" s="3">
        <v>45707</v>
      </c>
      <c r="G1316" s="3">
        <v>45710</v>
      </c>
      <c r="H1316" s="1" t="s">
        <v>27</v>
      </c>
      <c r="I1316" s="1" t="s">
        <v>51</v>
      </c>
      <c r="J1316" s="1">
        <v>4</v>
      </c>
      <c r="K1316" s="1" t="s">
        <v>19</v>
      </c>
      <c r="L1316" s="1" t="s">
        <v>108</v>
      </c>
      <c r="M1316" s="1">
        <f>orders[[#This Row],[Ship Date]]-orders[[#This Row],[Order Date]]</f>
        <v>3</v>
      </c>
      <c r="N1316" s="1">
        <f>WEEKNUM(orders[[#This Row],[Order Date]])</f>
        <v>8</v>
      </c>
      <c r="O1316" s="1" t="str" cm="1">
        <f t="array" ref="O1316">_xlfn.IFS(orders[[#This Row],[Customer Gender]]="M","Male", orders[[#This Row],[Customer Gender]]="F","Female", orders[[#This Row],[Customer Gender]]="O","Other", TRUE,"Unknown")</f>
        <v>Female</v>
      </c>
    </row>
    <row r="1317" spans="1:15">
      <c r="A1317" s="1" t="s">
        <v>1415</v>
      </c>
      <c r="B1317" s="1" t="s">
        <v>54</v>
      </c>
      <c r="C1317" s="1">
        <v>7</v>
      </c>
      <c r="D1317" s="1">
        <v>20.6</v>
      </c>
      <c r="E1317" s="11">
        <v>144.20000000000002</v>
      </c>
      <c r="F1317" s="3">
        <v>45707</v>
      </c>
      <c r="G1317" s="3">
        <v>45712</v>
      </c>
      <c r="H1317" s="1" t="s">
        <v>17</v>
      </c>
      <c r="I1317" s="1" t="s">
        <v>40</v>
      </c>
      <c r="J1317" s="1">
        <v>3</v>
      </c>
      <c r="K1317" s="1" t="s">
        <v>19</v>
      </c>
      <c r="L1317" s="1" t="s">
        <v>110</v>
      </c>
      <c r="M1317" s="1">
        <f>orders[[#This Row],[Ship Date]]-orders[[#This Row],[Order Date]]</f>
        <v>5</v>
      </c>
      <c r="N1317" s="1">
        <f>WEEKNUM(orders[[#This Row],[Order Date]])</f>
        <v>8</v>
      </c>
      <c r="O1317" s="1" t="str" cm="1">
        <f t="array" ref="O1317">_xlfn.IFS(orders[[#This Row],[Customer Gender]]="M","Male", orders[[#This Row],[Customer Gender]]="F","Female", orders[[#This Row],[Customer Gender]]="O","Other", TRUE,"Unknown")</f>
        <v>Unknown</v>
      </c>
    </row>
    <row r="1318" spans="1:15">
      <c r="A1318" s="1" t="s">
        <v>1416</v>
      </c>
      <c r="B1318" s="1" t="s">
        <v>69</v>
      </c>
      <c r="C1318" s="1">
        <v>3</v>
      </c>
      <c r="D1318" s="1">
        <v>37.1</v>
      </c>
      <c r="E1318" s="11">
        <v>111.30000000000001</v>
      </c>
      <c r="F1318" s="3">
        <v>45707</v>
      </c>
      <c r="G1318" s="3">
        <v>45708</v>
      </c>
      <c r="H1318" s="1" t="s">
        <v>27</v>
      </c>
      <c r="I1318" s="1" t="s">
        <v>18</v>
      </c>
      <c r="J1318" s="1">
        <v>4</v>
      </c>
      <c r="K1318" s="1" t="s">
        <v>19</v>
      </c>
      <c r="L1318" s="1" t="s">
        <v>997</v>
      </c>
      <c r="M1318" s="1">
        <f>orders[[#This Row],[Ship Date]]-orders[[#This Row],[Order Date]]</f>
        <v>1</v>
      </c>
      <c r="N1318" s="1">
        <f>WEEKNUM(orders[[#This Row],[Order Date]])</f>
        <v>8</v>
      </c>
      <c r="O1318" s="1" t="str" cm="1">
        <f t="array" ref="O1318">_xlfn.IFS(orders[[#This Row],[Customer Gender]]="M","Male", orders[[#This Row],[Customer Gender]]="F","Female", orders[[#This Row],[Customer Gender]]="O","Other", TRUE,"Unknown")</f>
        <v>Female</v>
      </c>
    </row>
    <row r="1319" spans="1:15">
      <c r="A1319" s="1" t="s">
        <v>1417</v>
      </c>
      <c r="B1319" s="1" t="s">
        <v>69</v>
      </c>
      <c r="C1319" s="1">
        <v>1</v>
      </c>
      <c r="D1319" s="1">
        <v>104.8</v>
      </c>
      <c r="E1319" s="11">
        <v>104.8</v>
      </c>
      <c r="F1319" s="3">
        <v>45708</v>
      </c>
      <c r="G1319" s="3">
        <v>45710</v>
      </c>
      <c r="H1319" s="1" t="s">
        <v>27</v>
      </c>
      <c r="I1319" s="1" t="s">
        <v>18</v>
      </c>
      <c r="J1319" s="1">
        <v>4</v>
      </c>
      <c r="K1319" s="1" t="s">
        <v>19</v>
      </c>
      <c r="L1319" s="1" t="s">
        <v>82</v>
      </c>
      <c r="M1319" s="1">
        <f>orders[[#This Row],[Ship Date]]-orders[[#This Row],[Order Date]]</f>
        <v>2</v>
      </c>
      <c r="N1319" s="1">
        <f>WEEKNUM(orders[[#This Row],[Order Date]])</f>
        <v>8</v>
      </c>
      <c r="O1319" s="1" t="str" cm="1">
        <f t="array" ref="O1319">_xlfn.IFS(orders[[#This Row],[Customer Gender]]="M","Male", orders[[#This Row],[Customer Gender]]="F","Female", orders[[#This Row],[Customer Gender]]="O","Other", TRUE,"Unknown")</f>
        <v>Female</v>
      </c>
    </row>
    <row r="1320" spans="1:15">
      <c r="A1320" s="1" t="s">
        <v>1418</v>
      </c>
      <c r="B1320" s="1" t="s">
        <v>44</v>
      </c>
      <c r="C1320" s="1">
        <v>2</v>
      </c>
      <c r="D1320" s="1">
        <v>59</v>
      </c>
      <c r="E1320" s="11">
        <v>118</v>
      </c>
      <c r="F1320" s="3">
        <v>45708</v>
      </c>
      <c r="G1320" s="3">
        <v>45709</v>
      </c>
      <c r="H1320" s="1" t="s">
        <v>23</v>
      </c>
      <c r="I1320" s="1" t="s">
        <v>35</v>
      </c>
      <c r="J1320" s="1">
        <v>4</v>
      </c>
      <c r="K1320" s="1" t="s">
        <v>19</v>
      </c>
      <c r="L1320" s="1" t="s">
        <v>115</v>
      </c>
      <c r="M1320" s="1">
        <f>orders[[#This Row],[Ship Date]]-orders[[#This Row],[Order Date]]</f>
        <v>1</v>
      </c>
      <c r="N1320" s="1">
        <f>WEEKNUM(orders[[#This Row],[Order Date]])</f>
        <v>8</v>
      </c>
      <c r="O1320" s="1" t="str" cm="1">
        <f t="array" ref="O1320">_xlfn.IFS(orders[[#This Row],[Customer Gender]]="M","Male", orders[[#This Row],[Customer Gender]]="F","Female", orders[[#This Row],[Customer Gender]]="O","Other", TRUE,"Unknown")</f>
        <v>Male</v>
      </c>
    </row>
    <row r="1321" spans="1:15">
      <c r="A1321" s="1" t="s">
        <v>1419</v>
      </c>
      <c r="B1321" s="1" t="s">
        <v>44</v>
      </c>
      <c r="C1321" s="1">
        <v>2</v>
      </c>
      <c r="D1321" s="1">
        <v>32.299999999999997</v>
      </c>
      <c r="E1321" s="11">
        <v>64.599999999999994</v>
      </c>
      <c r="F1321" s="3">
        <v>45708</v>
      </c>
      <c r="G1321" s="3">
        <v>45709</v>
      </c>
      <c r="H1321" s="1" t="s">
        <v>23</v>
      </c>
      <c r="I1321" s="1" t="s">
        <v>18</v>
      </c>
      <c r="J1321" s="1">
        <v>5</v>
      </c>
      <c r="K1321" s="1" t="s">
        <v>19</v>
      </c>
      <c r="L1321" s="1" t="s">
        <v>115</v>
      </c>
      <c r="M1321" s="1">
        <f>orders[[#This Row],[Ship Date]]-orders[[#This Row],[Order Date]]</f>
        <v>1</v>
      </c>
      <c r="N1321" s="1">
        <f>WEEKNUM(orders[[#This Row],[Order Date]])</f>
        <v>8</v>
      </c>
      <c r="O1321" s="1" t="str" cm="1">
        <f t="array" ref="O1321">_xlfn.IFS(orders[[#This Row],[Customer Gender]]="M","Male", orders[[#This Row],[Customer Gender]]="F","Female", orders[[#This Row],[Customer Gender]]="O","Other", TRUE,"Unknown")</f>
        <v>Male</v>
      </c>
    </row>
    <row r="1322" spans="1:15">
      <c r="A1322" s="1" t="s">
        <v>1420</v>
      </c>
      <c r="B1322" s="1" t="s">
        <v>44</v>
      </c>
      <c r="C1322" s="1">
        <v>4</v>
      </c>
      <c r="D1322" s="1">
        <v>28.9</v>
      </c>
      <c r="E1322" s="11">
        <v>115.6</v>
      </c>
      <c r="F1322" s="3">
        <v>45708</v>
      </c>
      <c r="G1322" s="3">
        <v>45715</v>
      </c>
      <c r="H1322" s="1" t="s">
        <v>23</v>
      </c>
      <c r="I1322" s="1" t="s">
        <v>18</v>
      </c>
      <c r="J1322" s="1">
        <v>4</v>
      </c>
      <c r="K1322" s="1" t="s">
        <v>19</v>
      </c>
      <c r="L1322" s="1" t="s">
        <v>24</v>
      </c>
      <c r="M1322" s="1">
        <f>orders[[#This Row],[Ship Date]]-orders[[#This Row],[Order Date]]</f>
        <v>7</v>
      </c>
      <c r="N1322" s="1">
        <f>WEEKNUM(orders[[#This Row],[Order Date]])</f>
        <v>8</v>
      </c>
      <c r="O1322" s="1" t="str" cm="1">
        <f t="array" ref="O1322">_xlfn.IFS(orders[[#This Row],[Customer Gender]]="M","Male", orders[[#This Row],[Customer Gender]]="F","Female", orders[[#This Row],[Customer Gender]]="O","Other", TRUE,"Unknown")</f>
        <v>Male</v>
      </c>
    </row>
    <row r="1323" spans="1:15">
      <c r="A1323" s="1" t="s">
        <v>1421</v>
      </c>
      <c r="B1323" s="1" t="s">
        <v>16</v>
      </c>
      <c r="C1323" s="1">
        <v>2</v>
      </c>
      <c r="D1323" s="1">
        <v>29.6</v>
      </c>
      <c r="E1323" s="11">
        <v>59.2</v>
      </c>
      <c r="F1323" s="3">
        <v>45708</v>
      </c>
      <c r="G1323" s="3">
        <v>45710</v>
      </c>
      <c r="H1323" s="1" t="s">
        <v>23</v>
      </c>
      <c r="I1323" s="1" t="s">
        <v>18</v>
      </c>
      <c r="J1323" s="1">
        <v>4</v>
      </c>
      <c r="K1323" s="1" t="s">
        <v>19</v>
      </c>
      <c r="L1323" s="1" t="s">
        <v>24</v>
      </c>
      <c r="M1323" s="1">
        <f>orders[[#This Row],[Ship Date]]-orders[[#This Row],[Order Date]]</f>
        <v>2</v>
      </c>
      <c r="N1323" s="1">
        <f>WEEKNUM(orders[[#This Row],[Order Date]])</f>
        <v>8</v>
      </c>
      <c r="O1323" s="1" t="str" cm="1">
        <f t="array" ref="O1323">_xlfn.IFS(orders[[#This Row],[Customer Gender]]="M","Male", orders[[#This Row],[Customer Gender]]="F","Female", orders[[#This Row],[Customer Gender]]="O","Other", TRUE,"Unknown")</f>
        <v>Male</v>
      </c>
    </row>
    <row r="1324" spans="1:15">
      <c r="A1324" s="1" t="s">
        <v>1422</v>
      </c>
      <c r="B1324" s="1" t="s">
        <v>16</v>
      </c>
      <c r="C1324" s="1">
        <v>5</v>
      </c>
      <c r="D1324" s="1">
        <v>29.4</v>
      </c>
      <c r="E1324" s="11">
        <v>147</v>
      </c>
      <c r="F1324" s="3">
        <v>45708</v>
      </c>
      <c r="G1324" s="3">
        <v>45711</v>
      </c>
      <c r="H1324" s="1" t="s">
        <v>27</v>
      </c>
      <c r="I1324" s="1" t="s">
        <v>18</v>
      </c>
      <c r="J1324" s="1">
        <v>4</v>
      </c>
      <c r="K1324" s="1" t="s">
        <v>19</v>
      </c>
      <c r="L1324" s="1" t="s">
        <v>24</v>
      </c>
      <c r="M1324" s="1">
        <f>orders[[#This Row],[Ship Date]]-orders[[#This Row],[Order Date]]</f>
        <v>3</v>
      </c>
      <c r="N1324" s="1">
        <f>WEEKNUM(orders[[#This Row],[Order Date]])</f>
        <v>8</v>
      </c>
      <c r="O1324" s="1" t="str" cm="1">
        <f t="array" ref="O1324">_xlfn.IFS(orders[[#This Row],[Customer Gender]]="M","Male", orders[[#This Row],[Customer Gender]]="F","Female", orders[[#This Row],[Customer Gender]]="O","Other", TRUE,"Unknown")</f>
        <v>Female</v>
      </c>
    </row>
    <row r="1325" spans="1:15">
      <c r="A1325" s="1" t="s">
        <v>1423</v>
      </c>
      <c r="B1325" s="1" t="s">
        <v>22</v>
      </c>
      <c r="C1325" s="1">
        <v>2</v>
      </c>
      <c r="D1325" s="1">
        <v>40.6</v>
      </c>
      <c r="E1325" s="11">
        <v>81.2</v>
      </c>
      <c r="F1325" s="3">
        <v>45708</v>
      </c>
      <c r="G1325" s="3">
        <v>45709</v>
      </c>
      <c r="H1325" s="1" t="s">
        <v>23</v>
      </c>
      <c r="I1325" s="1" t="s">
        <v>18</v>
      </c>
      <c r="J1325" s="1">
        <v>2</v>
      </c>
      <c r="K1325" s="1" t="s">
        <v>19</v>
      </c>
      <c r="L1325" s="1" t="s">
        <v>28</v>
      </c>
      <c r="M1325" s="1">
        <f>orders[[#This Row],[Ship Date]]-orders[[#This Row],[Order Date]]</f>
        <v>1</v>
      </c>
      <c r="N1325" s="1">
        <f>WEEKNUM(orders[[#This Row],[Order Date]])</f>
        <v>8</v>
      </c>
      <c r="O1325" s="1" t="str" cm="1">
        <f t="array" ref="O1325">_xlfn.IFS(orders[[#This Row],[Customer Gender]]="M","Male", orders[[#This Row],[Customer Gender]]="F","Female", orders[[#This Row],[Customer Gender]]="O","Other", TRUE,"Unknown")</f>
        <v>Male</v>
      </c>
    </row>
    <row r="1326" spans="1:15">
      <c r="A1326" s="1" t="s">
        <v>1424</v>
      </c>
      <c r="B1326" s="1" t="s">
        <v>16</v>
      </c>
      <c r="C1326" s="1">
        <v>3</v>
      </c>
      <c r="D1326" s="1">
        <v>32.5</v>
      </c>
      <c r="E1326" s="11">
        <v>97.5</v>
      </c>
      <c r="F1326" s="3">
        <v>45708</v>
      </c>
      <c r="G1326" s="3">
        <v>45709</v>
      </c>
      <c r="H1326" s="1" t="s">
        <v>23</v>
      </c>
      <c r="I1326" s="1" t="s">
        <v>51</v>
      </c>
      <c r="J1326" s="1">
        <v>5</v>
      </c>
      <c r="K1326" s="1" t="s">
        <v>19</v>
      </c>
      <c r="L1326" s="1" t="s">
        <v>147</v>
      </c>
      <c r="M1326" s="1">
        <f>orders[[#This Row],[Ship Date]]-orders[[#This Row],[Order Date]]</f>
        <v>1</v>
      </c>
      <c r="N1326" s="1">
        <f>WEEKNUM(orders[[#This Row],[Order Date]])</f>
        <v>8</v>
      </c>
      <c r="O1326" s="1" t="str" cm="1">
        <f t="array" ref="O1326">_xlfn.IFS(orders[[#This Row],[Customer Gender]]="M","Male", orders[[#This Row],[Customer Gender]]="F","Female", orders[[#This Row],[Customer Gender]]="O","Other", TRUE,"Unknown")</f>
        <v>Male</v>
      </c>
    </row>
    <row r="1327" spans="1:15">
      <c r="A1327" s="1" t="s">
        <v>1425</v>
      </c>
      <c r="B1327" s="1" t="s">
        <v>123</v>
      </c>
      <c r="C1327" s="1">
        <v>1</v>
      </c>
      <c r="D1327" s="1">
        <v>26.2</v>
      </c>
      <c r="E1327" s="11">
        <v>26.2</v>
      </c>
      <c r="F1327" s="3">
        <v>45708</v>
      </c>
      <c r="G1327" s="3">
        <v>45710</v>
      </c>
      <c r="H1327" s="1" t="s">
        <v>23</v>
      </c>
      <c r="I1327" s="1" t="s">
        <v>40</v>
      </c>
      <c r="J1327" s="1">
        <v>4</v>
      </c>
      <c r="K1327" s="1" t="s">
        <v>19</v>
      </c>
      <c r="L1327" s="1" t="s">
        <v>1426</v>
      </c>
      <c r="M1327" s="1">
        <f>orders[[#This Row],[Ship Date]]-orders[[#This Row],[Order Date]]</f>
        <v>2</v>
      </c>
      <c r="N1327" s="1">
        <f>WEEKNUM(orders[[#This Row],[Order Date]])</f>
        <v>8</v>
      </c>
      <c r="O1327" s="1" t="str" cm="1">
        <f t="array" ref="O1327">_xlfn.IFS(orders[[#This Row],[Customer Gender]]="M","Male", orders[[#This Row],[Customer Gender]]="F","Female", orders[[#This Row],[Customer Gender]]="O","Other", TRUE,"Unknown")</f>
        <v>Male</v>
      </c>
    </row>
    <row r="1328" spans="1:15">
      <c r="A1328" s="1" t="s">
        <v>1427</v>
      </c>
      <c r="B1328" s="1" t="s">
        <v>54</v>
      </c>
      <c r="C1328" s="1">
        <v>30</v>
      </c>
      <c r="D1328" s="1">
        <v>44</v>
      </c>
      <c r="E1328" s="11">
        <v>1320</v>
      </c>
      <c r="F1328" s="3">
        <v>45708</v>
      </c>
      <c r="G1328" s="3">
        <v>45714</v>
      </c>
      <c r="H1328" s="1" t="s">
        <v>23</v>
      </c>
      <c r="I1328" s="1" t="s">
        <v>70</v>
      </c>
      <c r="J1328" s="1">
        <v>4</v>
      </c>
      <c r="K1328" s="1" t="s">
        <v>19</v>
      </c>
      <c r="L1328" s="1" t="s">
        <v>33</v>
      </c>
      <c r="M1328" s="1">
        <f>orders[[#This Row],[Ship Date]]-orders[[#This Row],[Order Date]]</f>
        <v>6</v>
      </c>
      <c r="N1328" s="1">
        <f>WEEKNUM(orders[[#This Row],[Order Date]])</f>
        <v>8</v>
      </c>
      <c r="O1328" s="1" t="str" cm="1">
        <f t="array" ref="O1328">_xlfn.IFS(orders[[#This Row],[Customer Gender]]="M","Male", orders[[#This Row],[Customer Gender]]="F","Female", orders[[#This Row],[Customer Gender]]="O","Other", TRUE,"Unknown")</f>
        <v>Male</v>
      </c>
    </row>
    <row r="1329" spans="1:15">
      <c r="A1329" s="1" t="s">
        <v>1428</v>
      </c>
      <c r="B1329" s="1" t="s">
        <v>42</v>
      </c>
      <c r="C1329" s="1">
        <v>4</v>
      </c>
      <c r="D1329" s="1">
        <v>65.599999999999994</v>
      </c>
      <c r="E1329" s="11">
        <v>262.39999999999998</v>
      </c>
      <c r="F1329" s="3">
        <v>45708</v>
      </c>
      <c r="G1329" s="3">
        <v>45709</v>
      </c>
      <c r="H1329" s="1" t="s">
        <v>27</v>
      </c>
      <c r="I1329" s="1" t="s">
        <v>35</v>
      </c>
      <c r="J1329" s="1">
        <v>3</v>
      </c>
      <c r="K1329" s="1" t="s">
        <v>19</v>
      </c>
      <c r="L1329" s="1" t="s">
        <v>33</v>
      </c>
      <c r="M1329" s="1">
        <f>orders[[#This Row],[Ship Date]]-orders[[#This Row],[Order Date]]</f>
        <v>1</v>
      </c>
      <c r="N1329" s="1">
        <f>WEEKNUM(orders[[#This Row],[Order Date]])</f>
        <v>8</v>
      </c>
      <c r="O1329" s="1" t="str" cm="1">
        <f t="array" ref="O1329">_xlfn.IFS(orders[[#This Row],[Customer Gender]]="M","Male", orders[[#This Row],[Customer Gender]]="F","Female", orders[[#This Row],[Customer Gender]]="O","Other", TRUE,"Unknown")</f>
        <v>Female</v>
      </c>
    </row>
    <row r="1330" spans="1:15">
      <c r="A1330" s="1" t="s">
        <v>1429</v>
      </c>
      <c r="B1330" s="1" t="s">
        <v>37</v>
      </c>
      <c r="C1330" s="1">
        <v>12</v>
      </c>
      <c r="D1330" s="1">
        <v>32.6</v>
      </c>
      <c r="E1330" s="11">
        <v>391.20000000000005</v>
      </c>
      <c r="F1330" s="3">
        <v>45708</v>
      </c>
      <c r="G1330" s="3">
        <v>45709</v>
      </c>
      <c r="H1330" s="1" t="s">
        <v>23</v>
      </c>
      <c r="I1330" s="1" t="s">
        <v>70</v>
      </c>
      <c r="J1330" s="1">
        <v>4</v>
      </c>
      <c r="K1330" s="1" t="s">
        <v>19</v>
      </c>
      <c r="L1330" s="1" t="s">
        <v>33</v>
      </c>
      <c r="M1330" s="1">
        <f>orders[[#This Row],[Ship Date]]-orders[[#This Row],[Order Date]]</f>
        <v>1</v>
      </c>
      <c r="N1330" s="1">
        <f>WEEKNUM(orders[[#This Row],[Order Date]])</f>
        <v>8</v>
      </c>
      <c r="O1330" s="1" t="str" cm="1">
        <f t="array" ref="O1330">_xlfn.IFS(orders[[#This Row],[Customer Gender]]="M","Male", orders[[#This Row],[Customer Gender]]="F","Female", orders[[#This Row],[Customer Gender]]="O","Other", TRUE,"Unknown")</f>
        <v>Male</v>
      </c>
    </row>
    <row r="1331" spans="1:15">
      <c r="A1331" s="1" t="s">
        <v>1430</v>
      </c>
      <c r="B1331" s="1" t="s">
        <v>128</v>
      </c>
      <c r="C1331" s="1">
        <v>2</v>
      </c>
      <c r="D1331" s="1">
        <v>88.7</v>
      </c>
      <c r="E1331" s="11">
        <v>177.4</v>
      </c>
      <c r="F1331" s="3">
        <v>45708</v>
      </c>
      <c r="G1331" s="3">
        <v>45709</v>
      </c>
      <c r="H1331" s="1" t="s">
        <v>17</v>
      </c>
      <c r="I1331" s="1" t="s">
        <v>51</v>
      </c>
      <c r="J1331" s="1">
        <v>5</v>
      </c>
      <c r="K1331" s="1" t="s">
        <v>19</v>
      </c>
      <c r="L1331" s="1" t="s">
        <v>33</v>
      </c>
      <c r="M1331" s="1">
        <f>orders[[#This Row],[Ship Date]]-orders[[#This Row],[Order Date]]</f>
        <v>1</v>
      </c>
      <c r="N1331" s="1">
        <f>WEEKNUM(orders[[#This Row],[Order Date]])</f>
        <v>8</v>
      </c>
      <c r="O1331" s="1" t="str" cm="1">
        <f t="array" ref="O1331">_xlfn.IFS(orders[[#This Row],[Customer Gender]]="M","Male", orders[[#This Row],[Customer Gender]]="F","Female", orders[[#This Row],[Customer Gender]]="O","Other", TRUE,"Unknown")</f>
        <v>Unknown</v>
      </c>
    </row>
    <row r="1332" spans="1:15">
      <c r="A1332" s="1" t="s">
        <v>1431</v>
      </c>
      <c r="B1332" s="1" t="s">
        <v>32</v>
      </c>
      <c r="C1332" s="1">
        <v>2</v>
      </c>
      <c r="D1332" s="1">
        <v>21.3</v>
      </c>
      <c r="E1332" s="11">
        <v>42.6</v>
      </c>
      <c r="F1332" s="3">
        <v>45708</v>
      </c>
      <c r="G1332" s="3">
        <v>45709</v>
      </c>
      <c r="H1332" s="1" t="s">
        <v>23</v>
      </c>
      <c r="I1332" s="1" t="s">
        <v>18</v>
      </c>
      <c r="J1332" s="1">
        <v>4</v>
      </c>
      <c r="K1332" s="1" t="s">
        <v>19</v>
      </c>
      <c r="L1332" s="1" t="s">
        <v>33</v>
      </c>
      <c r="M1332" s="1">
        <f>orders[[#This Row],[Ship Date]]-orders[[#This Row],[Order Date]]</f>
        <v>1</v>
      </c>
      <c r="N1332" s="1">
        <f>WEEKNUM(orders[[#This Row],[Order Date]])</f>
        <v>8</v>
      </c>
      <c r="O1332" s="1" t="str" cm="1">
        <f t="array" ref="O1332">_xlfn.IFS(orders[[#This Row],[Customer Gender]]="M","Male", orders[[#This Row],[Customer Gender]]="F","Female", orders[[#This Row],[Customer Gender]]="O","Other", TRUE,"Unknown")</f>
        <v>Male</v>
      </c>
    </row>
    <row r="1333" spans="1:15">
      <c r="A1333" s="1" t="s">
        <v>1432</v>
      </c>
      <c r="B1333" s="1" t="s">
        <v>32</v>
      </c>
      <c r="C1333" s="1">
        <v>6</v>
      </c>
      <c r="D1333" s="1">
        <v>50.6</v>
      </c>
      <c r="E1333" s="11">
        <v>303.60000000000002</v>
      </c>
      <c r="F1333" s="3">
        <v>45708</v>
      </c>
      <c r="G1333" s="3">
        <v>45712</v>
      </c>
      <c r="H1333" s="1" t="s">
        <v>27</v>
      </c>
      <c r="I1333" s="1" t="s">
        <v>40</v>
      </c>
      <c r="J1333" s="1">
        <v>4</v>
      </c>
      <c r="K1333" s="1" t="s">
        <v>19</v>
      </c>
      <c r="L1333" s="1" t="s">
        <v>33</v>
      </c>
      <c r="M1333" s="1">
        <f>orders[[#This Row],[Ship Date]]-orders[[#This Row],[Order Date]]</f>
        <v>4</v>
      </c>
      <c r="N1333" s="1">
        <f>WEEKNUM(orders[[#This Row],[Order Date]])</f>
        <v>8</v>
      </c>
      <c r="O1333" s="1" t="str" cm="1">
        <f t="array" ref="O1333">_xlfn.IFS(orders[[#This Row],[Customer Gender]]="M","Male", orders[[#This Row],[Customer Gender]]="F","Female", orders[[#This Row],[Customer Gender]]="O","Other", TRUE,"Unknown")</f>
        <v>Female</v>
      </c>
    </row>
    <row r="1334" spans="1:15">
      <c r="A1334" s="1" t="s">
        <v>1433</v>
      </c>
      <c r="B1334" s="1" t="s">
        <v>46</v>
      </c>
      <c r="C1334" s="1">
        <v>21</v>
      </c>
      <c r="D1334" s="1">
        <v>86.9</v>
      </c>
      <c r="E1334" s="11">
        <v>1824.9</v>
      </c>
      <c r="F1334" s="3">
        <v>45708</v>
      </c>
      <c r="G1334" s="3">
        <v>45711</v>
      </c>
      <c r="H1334" s="1" t="s">
        <v>27</v>
      </c>
      <c r="I1334" s="1" t="s">
        <v>18</v>
      </c>
      <c r="J1334" s="1">
        <v>3</v>
      </c>
      <c r="K1334" s="1" t="s">
        <v>19</v>
      </c>
      <c r="L1334" s="1" t="s">
        <v>33</v>
      </c>
      <c r="M1334" s="1">
        <f>orders[[#This Row],[Ship Date]]-orders[[#This Row],[Order Date]]</f>
        <v>3</v>
      </c>
      <c r="N1334" s="1">
        <f>WEEKNUM(orders[[#This Row],[Order Date]])</f>
        <v>8</v>
      </c>
      <c r="O1334" s="1" t="str" cm="1">
        <f t="array" ref="O1334">_xlfn.IFS(orders[[#This Row],[Customer Gender]]="M","Male", orders[[#This Row],[Customer Gender]]="F","Female", orders[[#This Row],[Customer Gender]]="O","Other", TRUE,"Unknown")</f>
        <v>Female</v>
      </c>
    </row>
    <row r="1335" spans="1:15">
      <c r="A1335" s="1" t="s">
        <v>1434</v>
      </c>
      <c r="B1335" s="1" t="s">
        <v>67</v>
      </c>
      <c r="C1335" s="1">
        <v>3</v>
      </c>
      <c r="D1335" s="1">
        <v>31.8</v>
      </c>
      <c r="E1335" s="11">
        <v>95.4</v>
      </c>
      <c r="F1335" s="3">
        <v>45708</v>
      </c>
      <c r="G1335" s="3">
        <v>45710</v>
      </c>
      <c r="H1335" s="1" t="s">
        <v>23</v>
      </c>
      <c r="I1335" s="1" t="s">
        <v>18</v>
      </c>
      <c r="J1335" s="1">
        <v>5</v>
      </c>
      <c r="K1335" s="1" t="s">
        <v>19</v>
      </c>
      <c r="L1335" s="1" t="s">
        <v>33</v>
      </c>
      <c r="M1335" s="1">
        <f>orders[[#This Row],[Ship Date]]-orders[[#This Row],[Order Date]]</f>
        <v>2</v>
      </c>
      <c r="N1335" s="1">
        <f>WEEKNUM(orders[[#This Row],[Order Date]])</f>
        <v>8</v>
      </c>
      <c r="O1335" s="1" t="str" cm="1">
        <f t="array" ref="O1335">_xlfn.IFS(orders[[#This Row],[Customer Gender]]="M","Male", orders[[#This Row],[Customer Gender]]="F","Female", orders[[#This Row],[Customer Gender]]="O","Other", TRUE,"Unknown")</f>
        <v>Male</v>
      </c>
    </row>
    <row r="1336" spans="1:15">
      <c r="A1336" s="1" t="s">
        <v>1435</v>
      </c>
      <c r="B1336" s="1" t="s">
        <v>44</v>
      </c>
      <c r="C1336" s="1">
        <v>1</v>
      </c>
      <c r="D1336" s="1">
        <v>19</v>
      </c>
      <c r="E1336" s="11">
        <v>19</v>
      </c>
      <c r="F1336" s="3">
        <v>45708</v>
      </c>
      <c r="G1336" s="3">
        <v>45709</v>
      </c>
      <c r="H1336" s="1" t="s">
        <v>27</v>
      </c>
      <c r="I1336" s="1" t="s">
        <v>18</v>
      </c>
      <c r="J1336" s="1">
        <v>5</v>
      </c>
      <c r="K1336" s="1" t="s">
        <v>19</v>
      </c>
      <c r="L1336" s="1" t="s">
        <v>33</v>
      </c>
      <c r="M1336" s="1">
        <f>orders[[#This Row],[Ship Date]]-orders[[#This Row],[Order Date]]</f>
        <v>1</v>
      </c>
      <c r="N1336" s="1">
        <f>WEEKNUM(orders[[#This Row],[Order Date]])</f>
        <v>8</v>
      </c>
      <c r="O1336" s="1" t="str" cm="1">
        <f t="array" ref="O1336">_xlfn.IFS(orders[[#This Row],[Customer Gender]]="M","Male", orders[[#This Row],[Customer Gender]]="F","Female", orders[[#This Row],[Customer Gender]]="O","Other", TRUE,"Unknown")</f>
        <v>Female</v>
      </c>
    </row>
    <row r="1337" spans="1:15">
      <c r="A1337" s="1" t="s">
        <v>1436</v>
      </c>
      <c r="B1337" s="1" t="s">
        <v>37</v>
      </c>
      <c r="C1337" s="1">
        <v>1</v>
      </c>
      <c r="D1337" s="1">
        <v>54.5</v>
      </c>
      <c r="E1337" s="11">
        <v>54.5</v>
      </c>
      <c r="F1337" s="3">
        <v>45708</v>
      </c>
      <c r="G1337" s="3">
        <v>45710</v>
      </c>
      <c r="H1337" s="1" t="s">
        <v>23</v>
      </c>
      <c r="I1337" s="1" t="s">
        <v>18</v>
      </c>
      <c r="J1337" s="1">
        <v>4</v>
      </c>
      <c r="K1337" s="1" t="s">
        <v>19</v>
      </c>
      <c r="L1337" s="1" t="s">
        <v>33</v>
      </c>
      <c r="M1337" s="1">
        <f>orders[[#This Row],[Ship Date]]-orders[[#This Row],[Order Date]]</f>
        <v>2</v>
      </c>
      <c r="N1337" s="1">
        <f>WEEKNUM(orders[[#This Row],[Order Date]])</f>
        <v>8</v>
      </c>
      <c r="O1337" s="1" t="str" cm="1">
        <f t="array" ref="O1337">_xlfn.IFS(orders[[#This Row],[Customer Gender]]="M","Male", orders[[#This Row],[Customer Gender]]="F","Female", orders[[#This Row],[Customer Gender]]="O","Other", TRUE,"Unknown")</f>
        <v>Male</v>
      </c>
    </row>
    <row r="1338" spans="1:15">
      <c r="A1338" s="1" t="s">
        <v>1437</v>
      </c>
      <c r="B1338" s="1" t="s">
        <v>46</v>
      </c>
      <c r="C1338" s="1">
        <v>5</v>
      </c>
      <c r="D1338" s="1">
        <v>68.900000000000006</v>
      </c>
      <c r="E1338" s="11">
        <v>344.5</v>
      </c>
      <c r="F1338" s="3">
        <v>45708</v>
      </c>
      <c r="G1338" s="3">
        <v>45710</v>
      </c>
      <c r="H1338" s="1" t="s">
        <v>23</v>
      </c>
      <c r="I1338" s="1" t="s">
        <v>70</v>
      </c>
      <c r="J1338" s="1">
        <v>3</v>
      </c>
      <c r="K1338" s="1" t="s">
        <v>19</v>
      </c>
      <c r="L1338" s="1" t="s">
        <v>33</v>
      </c>
      <c r="M1338" s="1">
        <f>orders[[#This Row],[Ship Date]]-orders[[#This Row],[Order Date]]</f>
        <v>2</v>
      </c>
      <c r="N1338" s="1">
        <f>WEEKNUM(orders[[#This Row],[Order Date]])</f>
        <v>8</v>
      </c>
      <c r="O1338" s="1" t="str" cm="1">
        <f t="array" ref="O1338">_xlfn.IFS(orders[[#This Row],[Customer Gender]]="M","Male", orders[[#This Row],[Customer Gender]]="F","Female", orders[[#This Row],[Customer Gender]]="O","Other", TRUE,"Unknown")</f>
        <v>Male</v>
      </c>
    </row>
    <row r="1339" spans="1:15">
      <c r="A1339" s="1" t="s">
        <v>1438</v>
      </c>
      <c r="B1339" s="1" t="s">
        <v>39</v>
      </c>
      <c r="C1339" s="1">
        <v>3</v>
      </c>
      <c r="D1339" s="1">
        <v>84</v>
      </c>
      <c r="E1339" s="11">
        <v>252</v>
      </c>
      <c r="F1339" s="3">
        <v>45708</v>
      </c>
      <c r="G1339" s="3">
        <v>45709</v>
      </c>
      <c r="H1339" s="1" t="s">
        <v>23</v>
      </c>
      <c r="I1339" s="1" t="s">
        <v>35</v>
      </c>
      <c r="J1339" s="1">
        <v>2</v>
      </c>
      <c r="K1339" s="1" t="s">
        <v>19</v>
      </c>
      <c r="L1339" s="1" t="s">
        <v>98</v>
      </c>
      <c r="M1339" s="1">
        <f>orders[[#This Row],[Ship Date]]-orders[[#This Row],[Order Date]]</f>
        <v>1</v>
      </c>
      <c r="N1339" s="1">
        <f>WEEKNUM(orders[[#This Row],[Order Date]])</f>
        <v>8</v>
      </c>
      <c r="O1339" s="1" t="str" cm="1">
        <f t="array" ref="O1339">_xlfn.IFS(orders[[#This Row],[Customer Gender]]="M","Male", orders[[#This Row],[Customer Gender]]="F","Female", orders[[#This Row],[Customer Gender]]="O","Other", TRUE,"Unknown")</f>
        <v>Male</v>
      </c>
    </row>
    <row r="1340" spans="1:15">
      <c r="A1340" s="1" t="s">
        <v>1439</v>
      </c>
      <c r="B1340" s="1" t="s">
        <v>123</v>
      </c>
      <c r="C1340" s="1">
        <v>8</v>
      </c>
      <c r="D1340" s="1">
        <v>23.1</v>
      </c>
      <c r="E1340" s="11">
        <v>184.8</v>
      </c>
      <c r="F1340" s="3">
        <v>45708</v>
      </c>
      <c r="G1340" s="3">
        <v>45713</v>
      </c>
      <c r="H1340" s="1" t="s">
        <v>23</v>
      </c>
      <c r="I1340" s="1" t="s">
        <v>18</v>
      </c>
      <c r="J1340" s="1">
        <v>5</v>
      </c>
      <c r="K1340" s="1" t="s">
        <v>19</v>
      </c>
      <c r="L1340" s="1" t="s">
        <v>158</v>
      </c>
      <c r="M1340" s="1">
        <f>orders[[#This Row],[Ship Date]]-orders[[#This Row],[Order Date]]</f>
        <v>5</v>
      </c>
      <c r="N1340" s="1">
        <f>WEEKNUM(orders[[#This Row],[Order Date]])</f>
        <v>8</v>
      </c>
      <c r="O1340" s="1" t="str" cm="1">
        <f t="array" ref="O1340">_xlfn.IFS(orders[[#This Row],[Customer Gender]]="M","Male", orders[[#This Row],[Customer Gender]]="F","Female", orders[[#This Row],[Customer Gender]]="O","Other", TRUE,"Unknown")</f>
        <v>Male</v>
      </c>
    </row>
    <row r="1341" spans="1:15">
      <c r="A1341" s="1" t="s">
        <v>1440</v>
      </c>
      <c r="B1341" s="1" t="s">
        <v>42</v>
      </c>
      <c r="C1341" s="1">
        <v>2</v>
      </c>
      <c r="D1341" s="1">
        <v>62.4</v>
      </c>
      <c r="E1341" s="11">
        <v>124.8</v>
      </c>
      <c r="F1341" s="3">
        <v>45708</v>
      </c>
      <c r="G1341" s="3">
        <v>45709</v>
      </c>
      <c r="H1341" s="1" t="s">
        <v>27</v>
      </c>
      <c r="I1341" s="1" t="s">
        <v>18</v>
      </c>
      <c r="J1341" s="1">
        <v>3</v>
      </c>
      <c r="K1341" s="1" t="s">
        <v>19</v>
      </c>
      <c r="L1341" s="1" t="s">
        <v>55</v>
      </c>
      <c r="M1341" s="1">
        <f>orders[[#This Row],[Ship Date]]-orders[[#This Row],[Order Date]]</f>
        <v>1</v>
      </c>
      <c r="N1341" s="1">
        <f>WEEKNUM(orders[[#This Row],[Order Date]])</f>
        <v>8</v>
      </c>
      <c r="O1341" s="1" t="str" cm="1">
        <f t="array" ref="O1341">_xlfn.IFS(orders[[#This Row],[Customer Gender]]="M","Male", orders[[#This Row],[Customer Gender]]="F","Female", orders[[#This Row],[Customer Gender]]="O","Other", TRUE,"Unknown")</f>
        <v>Female</v>
      </c>
    </row>
    <row r="1342" spans="1:15">
      <c r="A1342" s="1" t="s">
        <v>1441</v>
      </c>
      <c r="B1342" s="1" t="s">
        <v>39</v>
      </c>
      <c r="C1342" s="1">
        <v>12</v>
      </c>
      <c r="D1342" s="1">
        <v>40.700000000000003</v>
      </c>
      <c r="E1342" s="11">
        <v>488.40000000000003</v>
      </c>
      <c r="F1342" s="3">
        <v>45708</v>
      </c>
      <c r="G1342" s="3">
        <v>45710</v>
      </c>
      <c r="H1342" s="1" t="s">
        <v>23</v>
      </c>
      <c r="I1342" s="1" t="s">
        <v>35</v>
      </c>
      <c r="J1342" s="1">
        <v>5</v>
      </c>
      <c r="K1342" s="1" t="s">
        <v>19</v>
      </c>
      <c r="L1342" s="1" t="s">
        <v>55</v>
      </c>
      <c r="M1342" s="1">
        <f>orders[[#This Row],[Ship Date]]-orders[[#This Row],[Order Date]]</f>
        <v>2</v>
      </c>
      <c r="N1342" s="1">
        <f>WEEKNUM(orders[[#This Row],[Order Date]])</f>
        <v>8</v>
      </c>
      <c r="O1342" s="1" t="str" cm="1">
        <f t="array" ref="O1342">_xlfn.IFS(orders[[#This Row],[Customer Gender]]="M","Male", orders[[#This Row],[Customer Gender]]="F","Female", orders[[#This Row],[Customer Gender]]="O","Other", TRUE,"Unknown")</f>
        <v>Male</v>
      </c>
    </row>
    <row r="1343" spans="1:15">
      <c r="A1343" s="1" t="s">
        <v>1442</v>
      </c>
      <c r="B1343" s="1" t="s">
        <v>39</v>
      </c>
      <c r="C1343" s="1">
        <v>1</v>
      </c>
      <c r="D1343" s="1">
        <v>49.6</v>
      </c>
      <c r="E1343" s="11">
        <v>49.6</v>
      </c>
      <c r="F1343" s="3">
        <v>45708</v>
      </c>
      <c r="G1343" s="3">
        <v>45711</v>
      </c>
      <c r="H1343" s="1" t="s">
        <v>23</v>
      </c>
      <c r="I1343" s="1" t="s">
        <v>40</v>
      </c>
      <c r="J1343" s="1">
        <v>4</v>
      </c>
      <c r="K1343" s="1" t="s">
        <v>19</v>
      </c>
      <c r="L1343" s="1" t="s">
        <v>59</v>
      </c>
      <c r="M1343" s="1">
        <f>orders[[#This Row],[Ship Date]]-orders[[#This Row],[Order Date]]</f>
        <v>3</v>
      </c>
      <c r="N1343" s="1">
        <f>WEEKNUM(orders[[#This Row],[Order Date]])</f>
        <v>8</v>
      </c>
      <c r="O1343" s="1" t="str" cm="1">
        <f t="array" ref="O1343">_xlfn.IFS(orders[[#This Row],[Customer Gender]]="M","Male", orders[[#This Row],[Customer Gender]]="F","Female", orders[[#This Row],[Customer Gender]]="O","Other", TRUE,"Unknown")</f>
        <v>Male</v>
      </c>
    </row>
    <row r="1344" spans="1:15">
      <c r="A1344" s="1" t="s">
        <v>1443</v>
      </c>
      <c r="B1344" s="1" t="s">
        <v>42</v>
      </c>
      <c r="C1344" s="1">
        <v>45</v>
      </c>
      <c r="D1344" s="1">
        <v>66.599999999999994</v>
      </c>
      <c r="E1344" s="11">
        <v>2996.9999999999995</v>
      </c>
      <c r="F1344" s="3">
        <v>45708</v>
      </c>
      <c r="G1344" s="3">
        <v>45711</v>
      </c>
      <c r="H1344" s="1" t="s">
        <v>23</v>
      </c>
      <c r="I1344" s="1" t="s">
        <v>40</v>
      </c>
      <c r="J1344" s="1">
        <v>4</v>
      </c>
      <c r="K1344" s="1" t="s">
        <v>19</v>
      </c>
      <c r="L1344" s="1" t="s">
        <v>62</v>
      </c>
      <c r="M1344" s="1">
        <f>orders[[#This Row],[Ship Date]]-orders[[#This Row],[Order Date]]</f>
        <v>3</v>
      </c>
      <c r="N1344" s="1">
        <f>WEEKNUM(orders[[#This Row],[Order Date]])</f>
        <v>8</v>
      </c>
      <c r="O1344" s="1" t="str" cm="1">
        <f t="array" ref="O1344">_xlfn.IFS(orders[[#This Row],[Customer Gender]]="M","Male", orders[[#This Row],[Customer Gender]]="F","Female", orders[[#This Row],[Customer Gender]]="O","Other", TRUE,"Unknown")</f>
        <v>Male</v>
      </c>
    </row>
    <row r="1345" spans="1:15">
      <c r="A1345" s="1" t="s">
        <v>1444</v>
      </c>
      <c r="B1345" s="1" t="s">
        <v>44</v>
      </c>
      <c r="C1345" s="1">
        <v>3</v>
      </c>
      <c r="D1345" s="1">
        <v>26.4</v>
      </c>
      <c r="E1345" s="11">
        <v>79.199999999999989</v>
      </c>
      <c r="F1345" s="3">
        <v>45708</v>
      </c>
      <c r="G1345" s="3">
        <v>45709</v>
      </c>
      <c r="H1345" s="1" t="s">
        <v>27</v>
      </c>
      <c r="I1345" s="1" t="s">
        <v>35</v>
      </c>
      <c r="J1345" s="1">
        <v>3</v>
      </c>
      <c r="K1345" s="1" t="s">
        <v>19</v>
      </c>
      <c r="L1345" s="1" t="s">
        <v>62</v>
      </c>
      <c r="M1345" s="1">
        <f>orders[[#This Row],[Ship Date]]-orders[[#This Row],[Order Date]]</f>
        <v>1</v>
      </c>
      <c r="N1345" s="1">
        <f>WEEKNUM(orders[[#This Row],[Order Date]])</f>
        <v>8</v>
      </c>
      <c r="O1345" s="1" t="str" cm="1">
        <f t="array" ref="O1345">_xlfn.IFS(orders[[#This Row],[Customer Gender]]="M","Male", orders[[#This Row],[Customer Gender]]="F","Female", orders[[#This Row],[Customer Gender]]="O","Other", TRUE,"Unknown")</f>
        <v>Female</v>
      </c>
    </row>
    <row r="1346" spans="1:15">
      <c r="A1346" s="1" t="s">
        <v>1445</v>
      </c>
      <c r="B1346" s="1" t="s">
        <v>16</v>
      </c>
      <c r="C1346" s="1">
        <v>2</v>
      </c>
      <c r="D1346" s="1">
        <v>17.2</v>
      </c>
      <c r="E1346" s="11">
        <v>34.4</v>
      </c>
      <c r="F1346" s="3">
        <v>45708</v>
      </c>
      <c r="G1346" s="3">
        <v>45711</v>
      </c>
      <c r="H1346" s="1" t="s">
        <v>23</v>
      </c>
      <c r="I1346" s="1" t="s">
        <v>40</v>
      </c>
      <c r="J1346" s="1">
        <v>3</v>
      </c>
      <c r="K1346" s="1" t="s">
        <v>19</v>
      </c>
      <c r="L1346" s="1" t="s">
        <v>62</v>
      </c>
      <c r="M1346" s="1">
        <f>orders[[#This Row],[Ship Date]]-orders[[#This Row],[Order Date]]</f>
        <v>3</v>
      </c>
      <c r="N1346" s="1">
        <f>WEEKNUM(orders[[#This Row],[Order Date]])</f>
        <v>8</v>
      </c>
      <c r="O1346" s="1" t="str" cm="1">
        <f t="array" ref="O1346">_xlfn.IFS(orders[[#This Row],[Customer Gender]]="M","Male", orders[[#This Row],[Customer Gender]]="F","Female", orders[[#This Row],[Customer Gender]]="O","Other", TRUE,"Unknown")</f>
        <v>Male</v>
      </c>
    </row>
    <row r="1347" spans="1:15">
      <c r="A1347" s="1" t="s">
        <v>1446</v>
      </c>
      <c r="B1347" s="1" t="s">
        <v>37</v>
      </c>
      <c r="C1347" s="1">
        <v>8</v>
      </c>
      <c r="D1347" s="1">
        <v>58.1</v>
      </c>
      <c r="E1347" s="11">
        <v>464.8</v>
      </c>
      <c r="F1347" s="3">
        <v>45708</v>
      </c>
      <c r="G1347" s="3">
        <v>45711</v>
      </c>
      <c r="H1347" s="1" t="s">
        <v>27</v>
      </c>
      <c r="I1347" s="1" t="s">
        <v>70</v>
      </c>
      <c r="J1347" s="1">
        <v>4</v>
      </c>
      <c r="K1347" s="1" t="s">
        <v>19</v>
      </c>
      <c r="L1347" s="1" t="s">
        <v>62</v>
      </c>
      <c r="M1347" s="1">
        <f>orders[[#This Row],[Ship Date]]-orders[[#This Row],[Order Date]]</f>
        <v>3</v>
      </c>
      <c r="N1347" s="1">
        <f>WEEKNUM(orders[[#This Row],[Order Date]])</f>
        <v>8</v>
      </c>
      <c r="O1347" s="1" t="str" cm="1">
        <f t="array" ref="O1347">_xlfn.IFS(orders[[#This Row],[Customer Gender]]="M","Male", orders[[#This Row],[Customer Gender]]="F","Female", orders[[#This Row],[Customer Gender]]="O","Other", TRUE,"Unknown")</f>
        <v>Female</v>
      </c>
    </row>
    <row r="1348" spans="1:15">
      <c r="A1348" s="1" t="s">
        <v>1447</v>
      </c>
      <c r="B1348" s="1" t="s">
        <v>123</v>
      </c>
      <c r="C1348" s="1">
        <v>4</v>
      </c>
      <c r="D1348" s="1">
        <v>31.5</v>
      </c>
      <c r="E1348" s="11">
        <v>126</v>
      </c>
      <c r="F1348" s="3">
        <v>45708</v>
      </c>
      <c r="G1348" s="3">
        <v>45711</v>
      </c>
      <c r="H1348" s="1" t="s">
        <v>27</v>
      </c>
      <c r="I1348" s="1" t="s">
        <v>70</v>
      </c>
      <c r="J1348" s="1">
        <v>2</v>
      </c>
      <c r="K1348" s="1" t="s">
        <v>19</v>
      </c>
      <c r="L1348" s="1" t="s">
        <v>62</v>
      </c>
      <c r="M1348" s="1">
        <f>orders[[#This Row],[Ship Date]]-orders[[#This Row],[Order Date]]</f>
        <v>3</v>
      </c>
      <c r="N1348" s="1">
        <f>WEEKNUM(orders[[#This Row],[Order Date]])</f>
        <v>8</v>
      </c>
      <c r="O1348" s="1" t="str" cm="1">
        <f t="array" ref="O1348">_xlfn.IFS(orders[[#This Row],[Customer Gender]]="M","Male", orders[[#This Row],[Customer Gender]]="F","Female", orders[[#This Row],[Customer Gender]]="O","Other", TRUE,"Unknown")</f>
        <v>Female</v>
      </c>
    </row>
    <row r="1349" spans="1:15">
      <c r="A1349" s="1" t="s">
        <v>1448</v>
      </c>
      <c r="B1349" s="1" t="s">
        <v>16</v>
      </c>
      <c r="C1349" s="1">
        <v>1</v>
      </c>
      <c r="D1349" s="1">
        <v>27.1</v>
      </c>
      <c r="E1349" s="11">
        <v>27.1</v>
      </c>
      <c r="F1349" s="3">
        <v>45708</v>
      </c>
      <c r="G1349" s="3">
        <v>45710</v>
      </c>
      <c r="H1349" s="1" t="s">
        <v>27</v>
      </c>
      <c r="I1349" s="1" t="s">
        <v>18</v>
      </c>
      <c r="J1349" s="1">
        <v>3</v>
      </c>
      <c r="K1349" s="1" t="s">
        <v>19</v>
      </c>
      <c r="L1349" s="1" t="s">
        <v>103</v>
      </c>
      <c r="M1349" s="1">
        <f>orders[[#This Row],[Ship Date]]-orders[[#This Row],[Order Date]]</f>
        <v>2</v>
      </c>
      <c r="N1349" s="1">
        <f>WEEKNUM(orders[[#This Row],[Order Date]])</f>
        <v>8</v>
      </c>
      <c r="O1349" s="1" t="str" cm="1">
        <f t="array" ref="O1349">_xlfn.IFS(orders[[#This Row],[Customer Gender]]="M","Male", orders[[#This Row],[Customer Gender]]="F","Female", orders[[#This Row],[Customer Gender]]="O","Other", TRUE,"Unknown")</f>
        <v>Female</v>
      </c>
    </row>
    <row r="1350" spans="1:15">
      <c r="A1350" s="1" t="s">
        <v>1449</v>
      </c>
      <c r="B1350" s="1" t="s">
        <v>146</v>
      </c>
      <c r="C1350" s="1">
        <v>4</v>
      </c>
      <c r="D1350" s="1">
        <v>28.5</v>
      </c>
      <c r="E1350" s="11">
        <v>114</v>
      </c>
      <c r="F1350" s="3">
        <v>45708</v>
      </c>
      <c r="G1350" s="3">
        <v>45710</v>
      </c>
      <c r="H1350" s="1" t="s">
        <v>23</v>
      </c>
      <c r="I1350" s="1" t="s">
        <v>35</v>
      </c>
      <c r="J1350" s="1">
        <v>5</v>
      </c>
      <c r="K1350" s="1" t="s">
        <v>19</v>
      </c>
      <c r="L1350" s="1" t="s">
        <v>72</v>
      </c>
      <c r="M1350" s="1">
        <f>orders[[#This Row],[Ship Date]]-orders[[#This Row],[Order Date]]</f>
        <v>2</v>
      </c>
      <c r="N1350" s="1">
        <f>WEEKNUM(orders[[#This Row],[Order Date]])</f>
        <v>8</v>
      </c>
      <c r="O1350" s="1" t="str" cm="1">
        <f t="array" ref="O1350">_xlfn.IFS(orders[[#This Row],[Customer Gender]]="M","Male", orders[[#This Row],[Customer Gender]]="F","Female", orders[[#This Row],[Customer Gender]]="O","Other", TRUE,"Unknown")</f>
        <v>Male</v>
      </c>
    </row>
    <row r="1351" spans="1:15">
      <c r="A1351" s="1" t="s">
        <v>1450</v>
      </c>
      <c r="B1351" s="1" t="s">
        <v>54</v>
      </c>
      <c r="C1351" s="1">
        <v>1</v>
      </c>
      <c r="D1351" s="1">
        <v>40.5</v>
      </c>
      <c r="E1351" s="11">
        <v>40.5</v>
      </c>
      <c r="F1351" s="3">
        <v>45709</v>
      </c>
      <c r="G1351" s="3">
        <v>45711</v>
      </c>
      <c r="H1351" s="1" t="s">
        <v>89</v>
      </c>
      <c r="I1351" s="1" t="s">
        <v>40</v>
      </c>
      <c r="J1351" s="1">
        <v>4</v>
      </c>
      <c r="K1351" s="1" t="s">
        <v>19</v>
      </c>
      <c r="L1351" s="1" t="s">
        <v>72</v>
      </c>
      <c r="M1351" s="1">
        <f>orders[[#This Row],[Ship Date]]-orders[[#This Row],[Order Date]]</f>
        <v>2</v>
      </c>
      <c r="N1351" s="1">
        <f>WEEKNUM(orders[[#This Row],[Order Date]])</f>
        <v>8</v>
      </c>
      <c r="O1351" s="1" t="str" cm="1">
        <f t="array" ref="O1351">_xlfn.IFS(orders[[#This Row],[Customer Gender]]="M","Male", orders[[#This Row],[Customer Gender]]="F","Female", orders[[#This Row],[Customer Gender]]="O","Other", TRUE,"Unknown")</f>
        <v>Other</v>
      </c>
    </row>
    <row r="1352" spans="1:15">
      <c r="A1352" s="1" t="s">
        <v>1451</v>
      </c>
      <c r="B1352" s="1" t="s">
        <v>26</v>
      </c>
      <c r="C1352" s="1">
        <v>3</v>
      </c>
      <c r="D1352" s="1">
        <v>77.900000000000006</v>
      </c>
      <c r="E1352" s="11">
        <v>233.70000000000002</v>
      </c>
      <c r="F1352" s="3">
        <v>45709</v>
      </c>
      <c r="G1352" s="3">
        <v>45713</v>
      </c>
      <c r="H1352" s="1" t="s">
        <v>27</v>
      </c>
      <c r="I1352" s="1" t="s">
        <v>35</v>
      </c>
      <c r="J1352" s="1">
        <v>5</v>
      </c>
      <c r="K1352" s="1" t="s">
        <v>19</v>
      </c>
      <c r="L1352" s="1" t="s">
        <v>110</v>
      </c>
      <c r="M1352" s="1">
        <f>orders[[#This Row],[Ship Date]]-orders[[#This Row],[Order Date]]</f>
        <v>4</v>
      </c>
      <c r="N1352" s="1">
        <f>WEEKNUM(orders[[#This Row],[Order Date]])</f>
        <v>8</v>
      </c>
      <c r="O1352" s="1" t="str" cm="1">
        <f t="array" ref="O1352">_xlfn.IFS(orders[[#This Row],[Customer Gender]]="M","Male", orders[[#This Row],[Customer Gender]]="F","Female", orders[[#This Row],[Customer Gender]]="O","Other", TRUE,"Unknown")</f>
        <v>Female</v>
      </c>
    </row>
    <row r="1353" spans="1:15">
      <c r="A1353" s="1" t="s">
        <v>1452</v>
      </c>
      <c r="B1353" s="1" t="s">
        <v>146</v>
      </c>
      <c r="C1353" s="1">
        <v>4</v>
      </c>
      <c r="D1353" s="1">
        <v>37.1</v>
      </c>
      <c r="E1353" s="11">
        <v>148.4</v>
      </c>
      <c r="F1353" s="3">
        <v>45709</v>
      </c>
      <c r="G1353" s="3">
        <v>45711</v>
      </c>
      <c r="H1353" s="1" t="s">
        <v>23</v>
      </c>
      <c r="I1353" s="1" t="s">
        <v>70</v>
      </c>
      <c r="J1353" s="1">
        <v>5</v>
      </c>
      <c r="K1353" s="1" t="s">
        <v>19</v>
      </c>
      <c r="L1353" s="1" t="s">
        <v>110</v>
      </c>
      <c r="M1353" s="1">
        <f>orders[[#This Row],[Ship Date]]-orders[[#This Row],[Order Date]]</f>
        <v>2</v>
      </c>
      <c r="N1353" s="1">
        <f>WEEKNUM(orders[[#This Row],[Order Date]])</f>
        <v>8</v>
      </c>
      <c r="O1353" s="1" t="str" cm="1">
        <f t="array" ref="O1353">_xlfn.IFS(orders[[#This Row],[Customer Gender]]="M","Male", orders[[#This Row],[Customer Gender]]="F","Female", orders[[#This Row],[Customer Gender]]="O","Other", TRUE,"Unknown")</f>
        <v>Male</v>
      </c>
    </row>
    <row r="1354" spans="1:15">
      <c r="A1354" s="1" t="s">
        <v>1453</v>
      </c>
      <c r="B1354" s="1" t="s">
        <v>128</v>
      </c>
      <c r="C1354" s="1">
        <v>3</v>
      </c>
      <c r="D1354" s="1">
        <v>51.6</v>
      </c>
      <c r="E1354" s="11">
        <v>154.80000000000001</v>
      </c>
      <c r="F1354" s="3">
        <v>45709</v>
      </c>
      <c r="G1354" s="3">
        <v>45717</v>
      </c>
      <c r="H1354" s="1" t="s">
        <v>27</v>
      </c>
      <c r="I1354" s="1" t="s">
        <v>18</v>
      </c>
      <c r="J1354" s="1">
        <v>2</v>
      </c>
      <c r="K1354" s="1" t="s">
        <v>19</v>
      </c>
      <c r="L1354" s="1" t="s">
        <v>110</v>
      </c>
      <c r="M1354" s="1">
        <f>orders[[#This Row],[Ship Date]]-orders[[#This Row],[Order Date]]</f>
        <v>8</v>
      </c>
      <c r="N1354" s="1">
        <f>WEEKNUM(orders[[#This Row],[Order Date]])</f>
        <v>8</v>
      </c>
      <c r="O1354" s="1" t="str" cm="1">
        <f t="array" ref="O1354">_xlfn.IFS(orders[[#This Row],[Customer Gender]]="M","Male", orders[[#This Row],[Customer Gender]]="F","Female", orders[[#This Row],[Customer Gender]]="O","Other", TRUE,"Unknown")</f>
        <v>Female</v>
      </c>
    </row>
    <row r="1355" spans="1:15">
      <c r="A1355" s="1" t="s">
        <v>1454</v>
      </c>
      <c r="B1355" s="1" t="s">
        <v>42</v>
      </c>
      <c r="C1355" s="1">
        <v>3</v>
      </c>
      <c r="D1355" s="1">
        <v>98</v>
      </c>
      <c r="E1355" s="11">
        <v>294</v>
      </c>
      <c r="F1355" s="3">
        <v>45709</v>
      </c>
      <c r="G1355" s="3">
        <v>45710</v>
      </c>
      <c r="H1355" s="1" t="s">
        <v>23</v>
      </c>
      <c r="I1355" s="1" t="s">
        <v>35</v>
      </c>
      <c r="J1355" s="1">
        <v>3</v>
      </c>
      <c r="K1355" s="1" t="s">
        <v>19</v>
      </c>
      <c r="L1355" s="1" t="s">
        <v>110</v>
      </c>
      <c r="M1355" s="1">
        <f>orders[[#This Row],[Ship Date]]-orders[[#This Row],[Order Date]]</f>
        <v>1</v>
      </c>
      <c r="N1355" s="1">
        <f>WEEKNUM(orders[[#This Row],[Order Date]])</f>
        <v>8</v>
      </c>
      <c r="O1355" s="1" t="str" cm="1">
        <f t="array" ref="O1355">_xlfn.IFS(orders[[#This Row],[Customer Gender]]="M","Male", orders[[#This Row],[Customer Gender]]="F","Female", orders[[#This Row],[Customer Gender]]="O","Other", TRUE,"Unknown")</f>
        <v>Male</v>
      </c>
    </row>
    <row r="1356" spans="1:15">
      <c r="A1356" s="1" t="s">
        <v>1455</v>
      </c>
      <c r="B1356" s="1" t="s">
        <v>39</v>
      </c>
      <c r="C1356" s="1">
        <v>7</v>
      </c>
      <c r="D1356" s="1">
        <v>41.4</v>
      </c>
      <c r="E1356" s="11">
        <v>289.8</v>
      </c>
      <c r="F1356" s="3">
        <v>45709</v>
      </c>
      <c r="G1356" s="3">
        <v>45710</v>
      </c>
      <c r="H1356" s="1" t="s">
        <v>23</v>
      </c>
      <c r="I1356" s="1" t="s">
        <v>35</v>
      </c>
      <c r="J1356" s="1">
        <v>4</v>
      </c>
      <c r="K1356" s="1" t="s">
        <v>19</v>
      </c>
      <c r="L1356" s="1" t="s">
        <v>113</v>
      </c>
      <c r="M1356" s="1">
        <f>orders[[#This Row],[Ship Date]]-orders[[#This Row],[Order Date]]</f>
        <v>1</v>
      </c>
      <c r="N1356" s="1">
        <f>WEEKNUM(orders[[#This Row],[Order Date]])</f>
        <v>8</v>
      </c>
      <c r="O1356" s="1" t="str" cm="1">
        <f t="array" ref="O1356">_xlfn.IFS(orders[[#This Row],[Customer Gender]]="M","Male", orders[[#This Row],[Customer Gender]]="F","Female", orders[[#This Row],[Customer Gender]]="O","Other", TRUE,"Unknown")</f>
        <v>Male</v>
      </c>
    </row>
    <row r="1357" spans="1:15">
      <c r="A1357" s="1" t="s">
        <v>1456</v>
      </c>
      <c r="B1357" s="1" t="s">
        <v>67</v>
      </c>
      <c r="C1357" s="1">
        <v>8</v>
      </c>
      <c r="D1357" s="1">
        <v>34</v>
      </c>
      <c r="E1357" s="11">
        <v>272</v>
      </c>
      <c r="F1357" s="3">
        <v>45709</v>
      </c>
      <c r="G1357" s="3">
        <v>45714</v>
      </c>
      <c r="H1357" s="1" t="s">
        <v>27</v>
      </c>
      <c r="I1357" s="1" t="s">
        <v>18</v>
      </c>
      <c r="J1357" s="1">
        <v>5</v>
      </c>
      <c r="K1357" s="1" t="s">
        <v>19</v>
      </c>
      <c r="L1357" s="1" t="s">
        <v>997</v>
      </c>
      <c r="M1357" s="1">
        <f>orders[[#This Row],[Ship Date]]-orders[[#This Row],[Order Date]]</f>
        <v>5</v>
      </c>
      <c r="N1357" s="1">
        <f>WEEKNUM(orders[[#This Row],[Order Date]])</f>
        <v>8</v>
      </c>
      <c r="O1357" s="1" t="str" cm="1">
        <f t="array" ref="O1357">_xlfn.IFS(orders[[#This Row],[Customer Gender]]="M","Male", orders[[#This Row],[Customer Gender]]="F","Female", orders[[#This Row],[Customer Gender]]="O","Other", TRUE,"Unknown")</f>
        <v>Female</v>
      </c>
    </row>
    <row r="1358" spans="1:15">
      <c r="A1358" s="1" t="s">
        <v>1457</v>
      </c>
      <c r="B1358" s="1" t="s">
        <v>39</v>
      </c>
      <c r="C1358" s="1">
        <v>1</v>
      </c>
      <c r="D1358" s="1">
        <v>66.3</v>
      </c>
      <c r="E1358" s="11">
        <v>66.3</v>
      </c>
      <c r="F1358" s="3">
        <v>45709</v>
      </c>
      <c r="G1358" s="3">
        <v>45710</v>
      </c>
      <c r="H1358" s="1" t="s">
        <v>27</v>
      </c>
      <c r="I1358" s="1" t="s">
        <v>35</v>
      </c>
      <c r="J1358" s="1">
        <v>4</v>
      </c>
      <c r="K1358" s="1" t="s">
        <v>19</v>
      </c>
      <c r="L1358" s="1" t="s">
        <v>82</v>
      </c>
      <c r="M1358" s="1">
        <f>orders[[#This Row],[Ship Date]]-orders[[#This Row],[Order Date]]</f>
        <v>1</v>
      </c>
      <c r="N1358" s="1">
        <f>WEEKNUM(orders[[#This Row],[Order Date]])</f>
        <v>8</v>
      </c>
      <c r="O1358" s="1" t="str" cm="1">
        <f t="array" ref="O1358">_xlfn.IFS(orders[[#This Row],[Customer Gender]]="M","Male", orders[[#This Row],[Customer Gender]]="F","Female", orders[[#This Row],[Customer Gender]]="O","Other", TRUE,"Unknown")</f>
        <v>Female</v>
      </c>
    </row>
    <row r="1359" spans="1:15">
      <c r="A1359" s="1" t="s">
        <v>1458</v>
      </c>
      <c r="B1359" s="1" t="s">
        <v>42</v>
      </c>
      <c r="C1359" s="1">
        <v>1</v>
      </c>
      <c r="D1359" s="1">
        <v>33.5</v>
      </c>
      <c r="E1359" s="11">
        <v>33.5</v>
      </c>
      <c r="F1359" s="3">
        <v>45709</v>
      </c>
      <c r="G1359" s="3">
        <v>45713</v>
      </c>
      <c r="H1359" s="1" t="s">
        <v>23</v>
      </c>
      <c r="I1359" s="1" t="s">
        <v>40</v>
      </c>
      <c r="J1359" s="1">
        <v>4</v>
      </c>
      <c r="K1359" s="1" t="s">
        <v>19</v>
      </c>
      <c r="L1359" s="1" t="s">
        <v>82</v>
      </c>
      <c r="M1359" s="1">
        <f>orders[[#This Row],[Ship Date]]-orders[[#This Row],[Order Date]]</f>
        <v>4</v>
      </c>
      <c r="N1359" s="1">
        <f>WEEKNUM(orders[[#This Row],[Order Date]])</f>
        <v>8</v>
      </c>
      <c r="O1359" s="1" t="str" cm="1">
        <f t="array" ref="O1359">_xlfn.IFS(orders[[#This Row],[Customer Gender]]="M","Male", orders[[#This Row],[Customer Gender]]="F","Female", orders[[#This Row],[Customer Gender]]="O","Other", TRUE,"Unknown")</f>
        <v>Male</v>
      </c>
    </row>
    <row r="1360" spans="1:15">
      <c r="A1360" s="1" t="s">
        <v>1459</v>
      </c>
      <c r="B1360" s="1" t="s">
        <v>69</v>
      </c>
      <c r="C1360" s="1">
        <v>2</v>
      </c>
      <c r="D1360" s="1">
        <v>70.8</v>
      </c>
      <c r="E1360" s="11">
        <v>141.6</v>
      </c>
      <c r="F1360" s="3">
        <v>45709</v>
      </c>
      <c r="G1360" s="3">
        <v>45710</v>
      </c>
      <c r="H1360" s="1" t="s">
        <v>17</v>
      </c>
      <c r="I1360" s="1" t="s">
        <v>18</v>
      </c>
      <c r="J1360" s="1">
        <v>4</v>
      </c>
      <c r="K1360" s="1" t="s">
        <v>19</v>
      </c>
      <c r="L1360" s="1" t="s">
        <v>243</v>
      </c>
      <c r="M1360" s="1">
        <f>orders[[#This Row],[Ship Date]]-orders[[#This Row],[Order Date]]</f>
        <v>1</v>
      </c>
      <c r="N1360" s="1">
        <f>WEEKNUM(orders[[#This Row],[Order Date]])</f>
        <v>8</v>
      </c>
      <c r="O1360" s="1" t="str" cm="1">
        <f t="array" ref="O1360">_xlfn.IFS(orders[[#This Row],[Customer Gender]]="M","Male", orders[[#This Row],[Customer Gender]]="F","Female", orders[[#This Row],[Customer Gender]]="O","Other", TRUE,"Unknown")</f>
        <v>Unknown</v>
      </c>
    </row>
    <row r="1361" spans="1:15">
      <c r="A1361" s="1" t="s">
        <v>1460</v>
      </c>
      <c r="B1361" s="1" t="s">
        <v>39</v>
      </c>
      <c r="C1361" s="1">
        <v>2</v>
      </c>
      <c r="D1361" s="1">
        <v>127.6</v>
      </c>
      <c r="E1361" s="11">
        <v>255.2</v>
      </c>
      <c r="F1361" s="3">
        <v>45709</v>
      </c>
      <c r="G1361" s="3">
        <v>45710</v>
      </c>
      <c r="H1361" s="1" t="s">
        <v>23</v>
      </c>
      <c r="I1361" s="1" t="s">
        <v>18</v>
      </c>
      <c r="J1361" s="1">
        <v>4</v>
      </c>
      <c r="K1361" s="1" t="s">
        <v>19</v>
      </c>
      <c r="L1361" s="1" t="s">
        <v>115</v>
      </c>
      <c r="M1361" s="1">
        <f>orders[[#This Row],[Ship Date]]-orders[[#This Row],[Order Date]]</f>
        <v>1</v>
      </c>
      <c r="N1361" s="1">
        <f>WEEKNUM(orders[[#This Row],[Order Date]])</f>
        <v>8</v>
      </c>
      <c r="O1361" s="1" t="str" cm="1">
        <f t="array" ref="O1361">_xlfn.IFS(orders[[#This Row],[Customer Gender]]="M","Male", orders[[#This Row],[Customer Gender]]="F","Female", orders[[#This Row],[Customer Gender]]="O","Other", TRUE,"Unknown")</f>
        <v>Male</v>
      </c>
    </row>
    <row r="1362" spans="1:15">
      <c r="A1362" s="1" t="s">
        <v>1461</v>
      </c>
      <c r="B1362" s="1" t="s">
        <v>39</v>
      </c>
      <c r="C1362" s="1">
        <v>3</v>
      </c>
      <c r="D1362" s="1">
        <v>95.9</v>
      </c>
      <c r="E1362" s="11">
        <v>287.70000000000005</v>
      </c>
      <c r="F1362" s="3">
        <v>45709</v>
      </c>
      <c r="G1362" s="3">
        <v>45710</v>
      </c>
      <c r="H1362" s="1" t="s">
        <v>27</v>
      </c>
      <c r="I1362" s="1" t="s">
        <v>35</v>
      </c>
      <c r="J1362" s="1">
        <v>3</v>
      </c>
      <c r="K1362" s="1" t="s">
        <v>19</v>
      </c>
      <c r="L1362" s="1" t="s">
        <v>115</v>
      </c>
      <c r="M1362" s="1">
        <f>orders[[#This Row],[Ship Date]]-orders[[#This Row],[Order Date]]</f>
        <v>1</v>
      </c>
      <c r="N1362" s="1">
        <f>WEEKNUM(orders[[#This Row],[Order Date]])</f>
        <v>8</v>
      </c>
      <c r="O1362" s="1" t="str" cm="1">
        <f t="array" ref="O1362">_xlfn.IFS(orders[[#This Row],[Customer Gender]]="M","Male", orders[[#This Row],[Customer Gender]]="F","Female", orders[[#This Row],[Customer Gender]]="O","Other", TRUE,"Unknown")</f>
        <v>Female</v>
      </c>
    </row>
    <row r="1363" spans="1:15">
      <c r="A1363" s="1" t="s">
        <v>1462</v>
      </c>
      <c r="B1363" s="1" t="s">
        <v>26</v>
      </c>
      <c r="C1363" s="1">
        <v>2</v>
      </c>
      <c r="D1363" s="1">
        <v>78.099999999999994</v>
      </c>
      <c r="E1363" s="11">
        <v>156.19999999999999</v>
      </c>
      <c r="F1363" s="3">
        <v>45709</v>
      </c>
      <c r="G1363" s="3">
        <v>45710</v>
      </c>
      <c r="H1363" s="1" t="s">
        <v>23</v>
      </c>
      <c r="I1363" s="1" t="s">
        <v>18</v>
      </c>
      <c r="J1363" s="1">
        <v>4</v>
      </c>
      <c r="K1363" s="1" t="s">
        <v>19</v>
      </c>
      <c r="L1363" s="1" t="s">
        <v>24</v>
      </c>
      <c r="M1363" s="1">
        <f>orders[[#This Row],[Ship Date]]-orders[[#This Row],[Order Date]]</f>
        <v>1</v>
      </c>
      <c r="N1363" s="1">
        <f>WEEKNUM(orders[[#This Row],[Order Date]])</f>
        <v>8</v>
      </c>
      <c r="O1363" s="1" t="str" cm="1">
        <f t="array" ref="O1363">_xlfn.IFS(orders[[#This Row],[Customer Gender]]="M","Male", orders[[#This Row],[Customer Gender]]="F","Female", orders[[#This Row],[Customer Gender]]="O","Other", TRUE,"Unknown")</f>
        <v>Male</v>
      </c>
    </row>
    <row r="1364" spans="1:15">
      <c r="A1364" s="1" t="s">
        <v>1463</v>
      </c>
      <c r="B1364" s="1" t="s">
        <v>76</v>
      </c>
      <c r="C1364" s="1">
        <v>2</v>
      </c>
      <c r="D1364" s="1">
        <v>43.2</v>
      </c>
      <c r="E1364" s="11">
        <v>86.4</v>
      </c>
      <c r="F1364" s="3">
        <v>45709</v>
      </c>
      <c r="G1364" s="3">
        <v>45710</v>
      </c>
      <c r="H1364" s="1" t="s">
        <v>17</v>
      </c>
      <c r="I1364" s="1" t="s">
        <v>35</v>
      </c>
      <c r="J1364" s="1">
        <v>3</v>
      </c>
      <c r="K1364" s="1" t="s">
        <v>19</v>
      </c>
      <c r="L1364" s="1" t="s">
        <v>24</v>
      </c>
      <c r="M1364" s="1">
        <f>orders[[#This Row],[Ship Date]]-orders[[#This Row],[Order Date]]</f>
        <v>1</v>
      </c>
      <c r="N1364" s="1">
        <f>WEEKNUM(orders[[#This Row],[Order Date]])</f>
        <v>8</v>
      </c>
      <c r="O1364" s="1" t="str" cm="1">
        <f t="array" ref="O1364">_xlfn.IFS(orders[[#This Row],[Customer Gender]]="M","Male", orders[[#This Row],[Customer Gender]]="F","Female", orders[[#This Row],[Customer Gender]]="O","Other", TRUE,"Unknown")</f>
        <v>Unknown</v>
      </c>
    </row>
    <row r="1365" spans="1:15">
      <c r="A1365" s="1" t="s">
        <v>1464</v>
      </c>
      <c r="B1365" s="1" t="s">
        <v>44</v>
      </c>
      <c r="C1365" s="1">
        <v>4</v>
      </c>
      <c r="D1365" s="1">
        <v>28.4</v>
      </c>
      <c r="E1365" s="11">
        <v>113.6</v>
      </c>
      <c r="F1365" s="3">
        <v>45709</v>
      </c>
      <c r="G1365" s="3">
        <v>45715</v>
      </c>
      <c r="H1365" s="1" t="s">
        <v>23</v>
      </c>
      <c r="I1365" s="1" t="s">
        <v>40</v>
      </c>
      <c r="J1365" s="1">
        <v>4</v>
      </c>
      <c r="K1365" s="1" t="s">
        <v>19</v>
      </c>
      <c r="L1365" s="1" t="s">
        <v>33</v>
      </c>
      <c r="M1365" s="1">
        <f>orders[[#This Row],[Ship Date]]-orders[[#This Row],[Order Date]]</f>
        <v>6</v>
      </c>
      <c r="N1365" s="1">
        <f>WEEKNUM(orders[[#This Row],[Order Date]])</f>
        <v>8</v>
      </c>
      <c r="O1365" s="1" t="str" cm="1">
        <f t="array" ref="O1365">_xlfn.IFS(orders[[#This Row],[Customer Gender]]="M","Male", orders[[#This Row],[Customer Gender]]="F","Female", orders[[#This Row],[Customer Gender]]="O","Other", TRUE,"Unknown")</f>
        <v>Male</v>
      </c>
    </row>
    <row r="1366" spans="1:15">
      <c r="A1366" s="1" t="s">
        <v>1465</v>
      </c>
      <c r="B1366" s="1" t="s">
        <v>26</v>
      </c>
      <c r="C1366" s="1">
        <v>2</v>
      </c>
      <c r="D1366" s="1">
        <v>81.7</v>
      </c>
      <c r="E1366" s="11">
        <v>163.4</v>
      </c>
      <c r="F1366" s="3">
        <v>45709</v>
      </c>
      <c r="G1366" s="3">
        <v>45709</v>
      </c>
      <c r="H1366" s="1" t="s">
        <v>23</v>
      </c>
      <c r="I1366" s="1" t="s">
        <v>18</v>
      </c>
      <c r="J1366" s="1">
        <v>4</v>
      </c>
      <c r="K1366" s="1" t="s">
        <v>19</v>
      </c>
      <c r="L1366" s="1" t="s">
        <v>33</v>
      </c>
      <c r="M1366" s="1">
        <f>orders[[#This Row],[Ship Date]]-orders[[#This Row],[Order Date]]</f>
        <v>0</v>
      </c>
      <c r="N1366" s="1">
        <f>WEEKNUM(orders[[#This Row],[Order Date]])</f>
        <v>8</v>
      </c>
      <c r="O1366" s="1" t="str" cm="1">
        <f t="array" ref="O1366">_xlfn.IFS(orders[[#This Row],[Customer Gender]]="M","Male", orders[[#This Row],[Customer Gender]]="F","Female", orders[[#This Row],[Customer Gender]]="O","Other", TRUE,"Unknown")</f>
        <v>Male</v>
      </c>
    </row>
    <row r="1367" spans="1:15">
      <c r="A1367" s="1" t="s">
        <v>1466</v>
      </c>
      <c r="B1367" s="1" t="s">
        <v>146</v>
      </c>
      <c r="C1367" s="1">
        <v>2</v>
      </c>
      <c r="D1367" s="1">
        <v>56.7</v>
      </c>
      <c r="E1367" s="11">
        <v>113.4</v>
      </c>
      <c r="F1367" s="3">
        <v>45709</v>
      </c>
      <c r="G1367" s="3">
        <v>45711</v>
      </c>
      <c r="H1367" s="1" t="s">
        <v>17</v>
      </c>
      <c r="I1367" s="1" t="s">
        <v>18</v>
      </c>
      <c r="J1367" s="1">
        <v>5</v>
      </c>
      <c r="K1367" s="1" t="s">
        <v>19</v>
      </c>
      <c r="L1367" s="1" t="s">
        <v>33</v>
      </c>
      <c r="M1367" s="1">
        <f>orders[[#This Row],[Ship Date]]-orders[[#This Row],[Order Date]]</f>
        <v>2</v>
      </c>
      <c r="N1367" s="1">
        <f>WEEKNUM(orders[[#This Row],[Order Date]])</f>
        <v>8</v>
      </c>
      <c r="O1367" s="1" t="str" cm="1">
        <f t="array" ref="O1367">_xlfn.IFS(orders[[#This Row],[Customer Gender]]="M","Male", orders[[#This Row],[Customer Gender]]="F","Female", orders[[#This Row],[Customer Gender]]="O","Other", TRUE,"Unknown")</f>
        <v>Unknown</v>
      </c>
    </row>
    <row r="1368" spans="1:15">
      <c r="A1368" s="1" t="s">
        <v>1467</v>
      </c>
      <c r="B1368" s="1" t="s">
        <v>30</v>
      </c>
      <c r="C1368" s="1">
        <v>4</v>
      </c>
      <c r="D1368" s="1">
        <v>66.5</v>
      </c>
      <c r="E1368" s="11">
        <v>266</v>
      </c>
      <c r="F1368" s="3">
        <v>45709</v>
      </c>
      <c r="G1368" s="3">
        <v>45709</v>
      </c>
      <c r="H1368" s="1" t="s">
        <v>27</v>
      </c>
      <c r="I1368" s="1" t="s">
        <v>18</v>
      </c>
      <c r="J1368" s="1">
        <v>5</v>
      </c>
      <c r="K1368" s="1" t="s">
        <v>19</v>
      </c>
      <c r="L1368" s="1" t="s">
        <v>33</v>
      </c>
      <c r="M1368" s="1">
        <f>orders[[#This Row],[Ship Date]]-orders[[#This Row],[Order Date]]</f>
        <v>0</v>
      </c>
      <c r="N1368" s="1">
        <f>WEEKNUM(orders[[#This Row],[Order Date]])</f>
        <v>8</v>
      </c>
      <c r="O1368" s="1" t="str" cm="1">
        <f t="array" ref="O1368">_xlfn.IFS(orders[[#This Row],[Customer Gender]]="M","Male", orders[[#This Row],[Customer Gender]]="F","Female", orders[[#This Row],[Customer Gender]]="O","Other", TRUE,"Unknown")</f>
        <v>Female</v>
      </c>
    </row>
    <row r="1369" spans="1:15">
      <c r="A1369" s="1" t="s">
        <v>1468</v>
      </c>
      <c r="B1369" s="1" t="s">
        <v>22</v>
      </c>
      <c r="C1369" s="1">
        <v>2</v>
      </c>
      <c r="D1369" s="1">
        <v>105.3</v>
      </c>
      <c r="E1369" s="11">
        <v>210.6</v>
      </c>
      <c r="F1369" s="3">
        <v>45709</v>
      </c>
      <c r="G1369" s="3">
        <v>45713</v>
      </c>
      <c r="H1369" s="1" t="s">
        <v>23</v>
      </c>
      <c r="I1369" s="1" t="s">
        <v>18</v>
      </c>
      <c r="J1369" s="1">
        <v>3</v>
      </c>
      <c r="K1369" s="1" t="s">
        <v>19</v>
      </c>
      <c r="L1369" s="1" t="s">
        <v>33</v>
      </c>
      <c r="M1369" s="1">
        <f>orders[[#This Row],[Ship Date]]-orders[[#This Row],[Order Date]]</f>
        <v>4</v>
      </c>
      <c r="N1369" s="1">
        <f>WEEKNUM(orders[[#This Row],[Order Date]])</f>
        <v>8</v>
      </c>
      <c r="O1369" s="1" t="str" cm="1">
        <f t="array" ref="O1369">_xlfn.IFS(orders[[#This Row],[Customer Gender]]="M","Male", orders[[#This Row],[Customer Gender]]="F","Female", orders[[#This Row],[Customer Gender]]="O","Other", TRUE,"Unknown")</f>
        <v>Male</v>
      </c>
    </row>
    <row r="1370" spans="1:15">
      <c r="A1370" s="1" t="s">
        <v>1469</v>
      </c>
      <c r="B1370" s="1" t="s">
        <v>54</v>
      </c>
      <c r="C1370" s="1">
        <v>5</v>
      </c>
      <c r="D1370" s="1">
        <v>33.799999999999997</v>
      </c>
      <c r="E1370" s="11">
        <v>169</v>
      </c>
      <c r="F1370" s="3">
        <v>45709</v>
      </c>
      <c r="G1370" s="3">
        <v>45714</v>
      </c>
      <c r="H1370" s="1" t="s">
        <v>23</v>
      </c>
      <c r="I1370" s="1" t="s">
        <v>18</v>
      </c>
      <c r="J1370" s="1">
        <v>4</v>
      </c>
      <c r="K1370" s="1" t="s">
        <v>19</v>
      </c>
      <c r="L1370" s="1" t="s">
        <v>33</v>
      </c>
      <c r="M1370" s="1">
        <f>orders[[#This Row],[Ship Date]]-orders[[#This Row],[Order Date]]</f>
        <v>5</v>
      </c>
      <c r="N1370" s="1">
        <f>WEEKNUM(orders[[#This Row],[Order Date]])</f>
        <v>8</v>
      </c>
      <c r="O1370" s="1" t="str" cm="1">
        <f t="array" ref="O1370">_xlfn.IFS(orders[[#This Row],[Customer Gender]]="M","Male", orders[[#This Row],[Customer Gender]]="F","Female", orders[[#This Row],[Customer Gender]]="O","Other", TRUE,"Unknown")</f>
        <v>Male</v>
      </c>
    </row>
    <row r="1371" spans="1:15">
      <c r="A1371" s="1" t="s">
        <v>1470</v>
      </c>
      <c r="B1371" s="1" t="s">
        <v>39</v>
      </c>
      <c r="C1371" s="1">
        <v>3</v>
      </c>
      <c r="D1371" s="1">
        <v>63.4</v>
      </c>
      <c r="E1371" s="11">
        <v>190.2</v>
      </c>
      <c r="F1371" s="3">
        <v>45709</v>
      </c>
      <c r="G1371" s="3">
        <v>45714</v>
      </c>
      <c r="H1371" s="1" t="s">
        <v>23</v>
      </c>
      <c r="I1371" s="1" t="s">
        <v>51</v>
      </c>
      <c r="J1371" s="1">
        <v>3</v>
      </c>
      <c r="K1371" s="1" t="s">
        <v>19</v>
      </c>
      <c r="L1371" s="1" t="s">
        <v>186</v>
      </c>
      <c r="M1371" s="1">
        <f>orders[[#This Row],[Ship Date]]-orders[[#This Row],[Order Date]]</f>
        <v>5</v>
      </c>
      <c r="N1371" s="1">
        <f>WEEKNUM(orders[[#This Row],[Order Date]])</f>
        <v>8</v>
      </c>
      <c r="O1371" s="1" t="str" cm="1">
        <f t="array" ref="O1371">_xlfn.IFS(orders[[#This Row],[Customer Gender]]="M","Male", orders[[#This Row],[Customer Gender]]="F","Female", orders[[#This Row],[Customer Gender]]="O","Other", TRUE,"Unknown")</f>
        <v>Male</v>
      </c>
    </row>
    <row r="1372" spans="1:15">
      <c r="A1372" s="1" t="s">
        <v>1471</v>
      </c>
      <c r="B1372" s="1" t="s">
        <v>39</v>
      </c>
      <c r="C1372" s="1">
        <v>3</v>
      </c>
      <c r="D1372" s="1">
        <v>49</v>
      </c>
      <c r="E1372" s="11">
        <v>147</v>
      </c>
      <c r="F1372" s="3">
        <v>45709</v>
      </c>
      <c r="G1372" s="3">
        <v>45713</v>
      </c>
      <c r="H1372" s="1" t="s">
        <v>23</v>
      </c>
      <c r="I1372" s="1" t="s">
        <v>51</v>
      </c>
      <c r="J1372" s="1">
        <v>4</v>
      </c>
      <c r="K1372" s="1" t="s">
        <v>19</v>
      </c>
      <c r="L1372" s="1" t="s">
        <v>802</v>
      </c>
      <c r="M1372" s="1">
        <f>orders[[#This Row],[Ship Date]]-orders[[#This Row],[Order Date]]</f>
        <v>4</v>
      </c>
      <c r="N1372" s="1">
        <f>WEEKNUM(orders[[#This Row],[Order Date]])</f>
        <v>8</v>
      </c>
      <c r="O1372" s="1" t="str" cm="1">
        <f t="array" ref="O1372">_xlfn.IFS(orders[[#This Row],[Customer Gender]]="M","Male", orders[[#This Row],[Customer Gender]]="F","Female", orders[[#This Row],[Customer Gender]]="O","Other", TRUE,"Unknown")</f>
        <v>Male</v>
      </c>
    </row>
    <row r="1373" spans="1:15">
      <c r="A1373" s="1" t="s">
        <v>1472</v>
      </c>
      <c r="B1373" s="1" t="s">
        <v>22</v>
      </c>
      <c r="C1373" s="1">
        <v>2</v>
      </c>
      <c r="D1373" s="1">
        <v>40</v>
      </c>
      <c r="E1373" s="11">
        <v>80</v>
      </c>
      <c r="F1373" s="3">
        <v>45709</v>
      </c>
      <c r="G1373" s="3">
        <v>45710</v>
      </c>
      <c r="H1373" s="1" t="s">
        <v>27</v>
      </c>
      <c r="I1373" s="1" t="s">
        <v>70</v>
      </c>
      <c r="J1373" s="1">
        <v>3</v>
      </c>
      <c r="K1373" s="1" t="s">
        <v>19</v>
      </c>
      <c r="L1373" s="1" t="s">
        <v>158</v>
      </c>
      <c r="M1373" s="1">
        <f>orders[[#This Row],[Ship Date]]-orders[[#This Row],[Order Date]]</f>
        <v>1</v>
      </c>
      <c r="N1373" s="1">
        <f>WEEKNUM(orders[[#This Row],[Order Date]])</f>
        <v>8</v>
      </c>
      <c r="O1373" s="1" t="str" cm="1">
        <f t="array" ref="O1373">_xlfn.IFS(orders[[#This Row],[Customer Gender]]="M","Male", orders[[#This Row],[Customer Gender]]="F","Female", orders[[#This Row],[Customer Gender]]="O","Other", TRUE,"Unknown")</f>
        <v>Female</v>
      </c>
    </row>
    <row r="1374" spans="1:15">
      <c r="A1374" s="1" t="s">
        <v>1473</v>
      </c>
      <c r="B1374" s="1" t="s">
        <v>39</v>
      </c>
      <c r="C1374" s="1">
        <v>4</v>
      </c>
      <c r="D1374" s="1">
        <v>86.3</v>
      </c>
      <c r="E1374" s="11">
        <v>345.2</v>
      </c>
      <c r="F1374" s="3">
        <v>45709</v>
      </c>
      <c r="G1374" s="3">
        <v>45710</v>
      </c>
      <c r="H1374" s="1" t="s">
        <v>89</v>
      </c>
      <c r="I1374" s="1" t="s">
        <v>18</v>
      </c>
      <c r="J1374" s="1">
        <v>4</v>
      </c>
      <c r="K1374" s="1" t="s">
        <v>19</v>
      </c>
      <c r="L1374" s="1" t="s">
        <v>55</v>
      </c>
      <c r="M1374" s="1">
        <f>orders[[#This Row],[Ship Date]]-orders[[#This Row],[Order Date]]</f>
        <v>1</v>
      </c>
      <c r="N1374" s="1">
        <f>WEEKNUM(orders[[#This Row],[Order Date]])</f>
        <v>8</v>
      </c>
      <c r="O1374" s="1" t="str" cm="1">
        <f t="array" ref="O1374">_xlfn.IFS(orders[[#This Row],[Customer Gender]]="M","Male", orders[[#This Row],[Customer Gender]]="F","Female", orders[[#This Row],[Customer Gender]]="O","Other", TRUE,"Unknown")</f>
        <v>Other</v>
      </c>
    </row>
    <row r="1375" spans="1:15">
      <c r="A1375" s="1" t="s">
        <v>1474</v>
      </c>
      <c r="B1375" s="1" t="s">
        <v>39</v>
      </c>
      <c r="C1375" s="1">
        <v>1</v>
      </c>
      <c r="D1375" s="1">
        <v>51.6</v>
      </c>
      <c r="E1375" s="11">
        <v>51.6</v>
      </c>
      <c r="F1375" s="3">
        <v>45709</v>
      </c>
      <c r="G1375" s="3">
        <v>45711</v>
      </c>
      <c r="H1375" s="1" t="s">
        <v>27</v>
      </c>
      <c r="I1375" s="1" t="s">
        <v>40</v>
      </c>
      <c r="J1375" s="1">
        <v>5</v>
      </c>
      <c r="K1375" s="1" t="s">
        <v>19</v>
      </c>
      <c r="L1375" s="1" t="s">
        <v>55</v>
      </c>
      <c r="M1375" s="1">
        <f>orders[[#This Row],[Ship Date]]-orders[[#This Row],[Order Date]]</f>
        <v>2</v>
      </c>
      <c r="N1375" s="1">
        <f>WEEKNUM(orders[[#This Row],[Order Date]])</f>
        <v>8</v>
      </c>
      <c r="O1375" s="1" t="str" cm="1">
        <f t="array" ref="O1375">_xlfn.IFS(orders[[#This Row],[Customer Gender]]="M","Male", orders[[#This Row],[Customer Gender]]="F","Female", orders[[#This Row],[Customer Gender]]="O","Other", TRUE,"Unknown")</f>
        <v>Female</v>
      </c>
    </row>
    <row r="1376" spans="1:15">
      <c r="A1376" s="1" t="s">
        <v>1475</v>
      </c>
      <c r="B1376" s="1" t="s">
        <v>54</v>
      </c>
      <c r="C1376" s="1">
        <v>3</v>
      </c>
      <c r="D1376" s="1">
        <v>26.7</v>
      </c>
      <c r="E1376" s="11">
        <v>80.099999999999994</v>
      </c>
      <c r="F1376" s="3">
        <v>45709</v>
      </c>
      <c r="G1376" s="3">
        <v>45714</v>
      </c>
      <c r="H1376" s="1" t="s">
        <v>27</v>
      </c>
      <c r="I1376" s="1" t="s">
        <v>40</v>
      </c>
      <c r="J1376" s="1">
        <v>3</v>
      </c>
      <c r="K1376" s="1" t="s">
        <v>19</v>
      </c>
      <c r="L1376" s="1" t="s">
        <v>55</v>
      </c>
      <c r="M1376" s="1">
        <f>orders[[#This Row],[Ship Date]]-orders[[#This Row],[Order Date]]</f>
        <v>5</v>
      </c>
      <c r="N1376" s="1">
        <f>WEEKNUM(orders[[#This Row],[Order Date]])</f>
        <v>8</v>
      </c>
      <c r="O1376" s="1" t="str" cm="1">
        <f t="array" ref="O1376">_xlfn.IFS(orders[[#This Row],[Customer Gender]]="M","Male", orders[[#This Row],[Customer Gender]]="F","Female", orders[[#This Row],[Customer Gender]]="O","Other", TRUE,"Unknown")</f>
        <v>Female</v>
      </c>
    </row>
    <row r="1377" spans="1:15">
      <c r="A1377" s="1" t="s">
        <v>1476</v>
      </c>
      <c r="B1377" s="1" t="s">
        <v>146</v>
      </c>
      <c r="C1377" s="1">
        <v>2</v>
      </c>
      <c r="D1377" s="1">
        <v>68.099999999999994</v>
      </c>
      <c r="E1377" s="11">
        <v>136.19999999999999</v>
      </c>
      <c r="F1377" s="3">
        <v>45709</v>
      </c>
      <c r="G1377" s="3">
        <v>45710</v>
      </c>
      <c r="H1377" s="1" t="s">
        <v>23</v>
      </c>
      <c r="I1377" s="1" t="s">
        <v>18</v>
      </c>
      <c r="J1377" s="1">
        <v>3</v>
      </c>
      <c r="K1377" s="1" t="s">
        <v>19</v>
      </c>
      <c r="L1377" s="1" t="s">
        <v>55</v>
      </c>
      <c r="M1377" s="1">
        <f>orders[[#This Row],[Ship Date]]-orders[[#This Row],[Order Date]]</f>
        <v>1</v>
      </c>
      <c r="N1377" s="1">
        <f>WEEKNUM(orders[[#This Row],[Order Date]])</f>
        <v>8</v>
      </c>
      <c r="O1377" s="1" t="str" cm="1">
        <f t="array" ref="O1377">_xlfn.IFS(orders[[#This Row],[Customer Gender]]="M","Male", orders[[#This Row],[Customer Gender]]="F","Female", orders[[#This Row],[Customer Gender]]="O","Other", TRUE,"Unknown")</f>
        <v>Male</v>
      </c>
    </row>
    <row r="1378" spans="1:15">
      <c r="A1378" s="1" t="s">
        <v>1477</v>
      </c>
      <c r="B1378" s="1" t="s">
        <v>22</v>
      </c>
      <c r="C1378" s="1">
        <v>1</v>
      </c>
      <c r="D1378" s="1">
        <v>81.7</v>
      </c>
      <c r="E1378" s="11">
        <v>81.7</v>
      </c>
      <c r="F1378" s="3">
        <v>45709</v>
      </c>
      <c r="G1378" s="3">
        <v>45710</v>
      </c>
      <c r="H1378" s="1" t="s">
        <v>23</v>
      </c>
      <c r="I1378" s="1" t="s">
        <v>18</v>
      </c>
      <c r="J1378" s="1">
        <v>4</v>
      </c>
      <c r="K1378" s="1" t="s">
        <v>19</v>
      </c>
      <c r="L1378" s="1" t="s">
        <v>59</v>
      </c>
      <c r="M1378" s="1">
        <f>orders[[#This Row],[Ship Date]]-orders[[#This Row],[Order Date]]</f>
        <v>1</v>
      </c>
      <c r="N1378" s="1">
        <f>WEEKNUM(orders[[#This Row],[Order Date]])</f>
        <v>8</v>
      </c>
      <c r="O1378" s="1" t="str" cm="1">
        <f t="array" ref="O1378">_xlfn.IFS(orders[[#This Row],[Customer Gender]]="M","Male", orders[[#This Row],[Customer Gender]]="F","Female", orders[[#This Row],[Customer Gender]]="O","Other", TRUE,"Unknown")</f>
        <v>Male</v>
      </c>
    </row>
    <row r="1379" spans="1:15">
      <c r="A1379" s="1" t="s">
        <v>1478</v>
      </c>
      <c r="B1379" s="1" t="s">
        <v>146</v>
      </c>
      <c r="C1379" s="1">
        <v>10</v>
      </c>
      <c r="D1379" s="1">
        <v>25.1</v>
      </c>
      <c r="E1379" s="11">
        <v>251</v>
      </c>
      <c r="F1379" s="3">
        <v>45709</v>
      </c>
      <c r="G1379" s="3">
        <v>45712</v>
      </c>
      <c r="H1379" s="1" t="s">
        <v>23</v>
      </c>
      <c r="I1379" s="1" t="s">
        <v>51</v>
      </c>
      <c r="J1379" s="1">
        <v>3</v>
      </c>
      <c r="K1379" s="1" t="s">
        <v>19</v>
      </c>
      <c r="L1379" s="1" t="s">
        <v>62</v>
      </c>
      <c r="M1379" s="1">
        <f>orders[[#This Row],[Ship Date]]-orders[[#This Row],[Order Date]]</f>
        <v>3</v>
      </c>
      <c r="N1379" s="1">
        <f>WEEKNUM(orders[[#This Row],[Order Date]])</f>
        <v>8</v>
      </c>
      <c r="O1379" s="1" t="str" cm="1">
        <f t="array" ref="O1379">_xlfn.IFS(orders[[#This Row],[Customer Gender]]="M","Male", orders[[#This Row],[Customer Gender]]="F","Female", orders[[#This Row],[Customer Gender]]="O","Other", TRUE,"Unknown")</f>
        <v>Male</v>
      </c>
    </row>
    <row r="1380" spans="1:15">
      <c r="A1380" s="1" t="s">
        <v>1479</v>
      </c>
      <c r="B1380" s="1" t="s">
        <v>44</v>
      </c>
      <c r="C1380" s="1">
        <v>1</v>
      </c>
      <c r="D1380" s="1">
        <v>20.2</v>
      </c>
      <c r="E1380" s="11">
        <v>20.2</v>
      </c>
      <c r="F1380" s="3">
        <v>45709</v>
      </c>
      <c r="G1380" s="3">
        <v>45713</v>
      </c>
      <c r="H1380" s="1" t="s">
        <v>27</v>
      </c>
      <c r="I1380" s="1" t="s">
        <v>18</v>
      </c>
      <c r="J1380" s="1">
        <v>4</v>
      </c>
      <c r="K1380" s="1" t="s">
        <v>19</v>
      </c>
      <c r="L1380" s="1" t="s">
        <v>62</v>
      </c>
      <c r="M1380" s="1">
        <f>orders[[#This Row],[Ship Date]]-orders[[#This Row],[Order Date]]</f>
        <v>4</v>
      </c>
      <c r="N1380" s="1">
        <f>WEEKNUM(orders[[#This Row],[Order Date]])</f>
        <v>8</v>
      </c>
      <c r="O1380" s="1" t="str" cm="1">
        <f t="array" ref="O1380">_xlfn.IFS(orders[[#This Row],[Customer Gender]]="M","Male", orders[[#This Row],[Customer Gender]]="F","Female", orders[[#This Row],[Customer Gender]]="O","Other", TRUE,"Unknown")</f>
        <v>Female</v>
      </c>
    </row>
    <row r="1381" spans="1:15">
      <c r="A1381" s="1" t="s">
        <v>1480</v>
      </c>
      <c r="B1381" s="1" t="s">
        <v>44</v>
      </c>
      <c r="C1381" s="1">
        <v>3</v>
      </c>
      <c r="D1381" s="1">
        <v>15.4</v>
      </c>
      <c r="E1381" s="11">
        <v>46.2</v>
      </c>
      <c r="F1381" s="3">
        <v>45709</v>
      </c>
      <c r="G1381" s="3">
        <v>45710</v>
      </c>
      <c r="H1381" s="1" t="s">
        <v>23</v>
      </c>
      <c r="I1381" s="1" t="s">
        <v>35</v>
      </c>
      <c r="J1381" s="1">
        <v>5</v>
      </c>
      <c r="K1381" s="1" t="s">
        <v>19</v>
      </c>
      <c r="L1381" s="1" t="s">
        <v>62</v>
      </c>
      <c r="M1381" s="1">
        <f>orders[[#This Row],[Ship Date]]-orders[[#This Row],[Order Date]]</f>
        <v>1</v>
      </c>
      <c r="N1381" s="1">
        <f>WEEKNUM(orders[[#This Row],[Order Date]])</f>
        <v>8</v>
      </c>
      <c r="O1381" s="1" t="str" cm="1">
        <f t="array" ref="O1381">_xlfn.IFS(orders[[#This Row],[Customer Gender]]="M","Male", orders[[#This Row],[Customer Gender]]="F","Female", orders[[#This Row],[Customer Gender]]="O","Other", TRUE,"Unknown")</f>
        <v>Male</v>
      </c>
    </row>
    <row r="1382" spans="1:15">
      <c r="A1382" s="1" t="s">
        <v>1481</v>
      </c>
      <c r="B1382" s="1" t="s">
        <v>54</v>
      </c>
      <c r="C1382" s="1">
        <v>1</v>
      </c>
      <c r="D1382" s="1">
        <v>59.2</v>
      </c>
      <c r="E1382" s="11">
        <v>59.2</v>
      </c>
      <c r="F1382" s="3">
        <v>45709</v>
      </c>
      <c r="G1382" s="3">
        <v>45710</v>
      </c>
      <c r="H1382" s="1" t="s">
        <v>23</v>
      </c>
      <c r="I1382" s="1" t="s">
        <v>40</v>
      </c>
      <c r="J1382" s="1">
        <v>5</v>
      </c>
      <c r="K1382" s="1" t="s">
        <v>19</v>
      </c>
      <c r="L1382" s="1" t="s">
        <v>103</v>
      </c>
      <c r="M1382" s="1">
        <f>orders[[#This Row],[Ship Date]]-orders[[#This Row],[Order Date]]</f>
        <v>1</v>
      </c>
      <c r="N1382" s="1">
        <f>WEEKNUM(orders[[#This Row],[Order Date]])</f>
        <v>8</v>
      </c>
      <c r="O1382" s="1" t="str" cm="1">
        <f t="array" ref="O1382">_xlfn.IFS(orders[[#This Row],[Customer Gender]]="M","Male", orders[[#This Row],[Customer Gender]]="F","Female", orders[[#This Row],[Customer Gender]]="O","Other", TRUE,"Unknown")</f>
        <v>Male</v>
      </c>
    </row>
    <row r="1383" spans="1:15">
      <c r="A1383" s="1" t="s">
        <v>1482</v>
      </c>
      <c r="B1383" s="1" t="s">
        <v>16</v>
      </c>
      <c r="C1383" s="1">
        <v>1</v>
      </c>
      <c r="D1383" s="1">
        <v>46.7</v>
      </c>
      <c r="E1383" s="11">
        <v>46.7</v>
      </c>
      <c r="F1383" s="3">
        <v>45709</v>
      </c>
      <c r="G1383" s="3">
        <v>45714</v>
      </c>
      <c r="H1383" s="1" t="s">
        <v>23</v>
      </c>
      <c r="I1383" s="1" t="s">
        <v>18</v>
      </c>
      <c r="J1383" s="1">
        <v>4</v>
      </c>
      <c r="K1383" s="1" t="s">
        <v>19</v>
      </c>
      <c r="L1383" s="1" t="s">
        <v>103</v>
      </c>
      <c r="M1383" s="1">
        <f>orders[[#This Row],[Ship Date]]-orders[[#This Row],[Order Date]]</f>
        <v>5</v>
      </c>
      <c r="N1383" s="1">
        <f>WEEKNUM(orders[[#This Row],[Order Date]])</f>
        <v>8</v>
      </c>
      <c r="O1383" s="1" t="str" cm="1">
        <f t="array" ref="O1383">_xlfn.IFS(orders[[#This Row],[Customer Gender]]="M","Male", orders[[#This Row],[Customer Gender]]="F","Female", orders[[#This Row],[Customer Gender]]="O","Other", TRUE,"Unknown")</f>
        <v>Male</v>
      </c>
    </row>
    <row r="1384" spans="1:15">
      <c r="A1384" s="1" t="s">
        <v>1483</v>
      </c>
      <c r="B1384" s="1" t="s">
        <v>39</v>
      </c>
      <c r="C1384" s="1">
        <v>15</v>
      </c>
      <c r="D1384" s="1">
        <v>41.6</v>
      </c>
      <c r="E1384" s="11">
        <v>624</v>
      </c>
      <c r="F1384" s="3">
        <v>45709</v>
      </c>
      <c r="G1384" s="3">
        <v>45711</v>
      </c>
      <c r="H1384" s="1" t="s">
        <v>23</v>
      </c>
      <c r="I1384" s="1" t="s">
        <v>35</v>
      </c>
      <c r="J1384" s="1">
        <v>4</v>
      </c>
      <c r="K1384" s="1" t="s">
        <v>19</v>
      </c>
      <c r="L1384" s="1" t="s">
        <v>201</v>
      </c>
      <c r="M1384" s="1">
        <f>orders[[#This Row],[Ship Date]]-orders[[#This Row],[Order Date]]</f>
        <v>2</v>
      </c>
      <c r="N1384" s="1">
        <f>WEEKNUM(orders[[#This Row],[Order Date]])</f>
        <v>8</v>
      </c>
      <c r="O1384" s="1" t="str" cm="1">
        <f t="array" ref="O1384">_xlfn.IFS(orders[[#This Row],[Customer Gender]]="M","Male", orders[[#This Row],[Customer Gender]]="F","Female", orders[[#This Row],[Customer Gender]]="O","Other", TRUE,"Unknown")</f>
        <v>Male</v>
      </c>
    </row>
    <row r="1385" spans="1:15">
      <c r="A1385" s="1" t="s">
        <v>1484</v>
      </c>
      <c r="B1385" s="1" t="s">
        <v>44</v>
      </c>
      <c r="C1385" s="1">
        <v>2</v>
      </c>
      <c r="D1385" s="1">
        <v>19.2</v>
      </c>
      <c r="E1385" s="11">
        <v>38.4</v>
      </c>
      <c r="F1385" s="3">
        <v>45709</v>
      </c>
      <c r="G1385" s="3">
        <v>45712</v>
      </c>
      <c r="H1385" s="1" t="s">
        <v>23</v>
      </c>
      <c r="I1385" s="1" t="s">
        <v>70</v>
      </c>
      <c r="J1385" s="1">
        <v>5</v>
      </c>
      <c r="K1385" s="1" t="s">
        <v>19</v>
      </c>
      <c r="L1385" s="1" t="s">
        <v>72</v>
      </c>
      <c r="M1385" s="1">
        <f>orders[[#This Row],[Ship Date]]-orders[[#This Row],[Order Date]]</f>
        <v>3</v>
      </c>
      <c r="N1385" s="1">
        <f>WEEKNUM(orders[[#This Row],[Order Date]])</f>
        <v>8</v>
      </c>
      <c r="O1385" s="1" t="str" cm="1">
        <f t="array" ref="O1385">_xlfn.IFS(orders[[#This Row],[Customer Gender]]="M","Male", orders[[#This Row],[Customer Gender]]="F","Female", orders[[#This Row],[Customer Gender]]="O","Other", TRUE,"Unknown")</f>
        <v>Male</v>
      </c>
    </row>
    <row r="1386" spans="1:15">
      <c r="A1386" s="1" t="s">
        <v>1485</v>
      </c>
      <c r="B1386" s="1" t="s">
        <v>135</v>
      </c>
      <c r="C1386" s="1">
        <v>7</v>
      </c>
      <c r="D1386" s="1">
        <v>41.8</v>
      </c>
      <c r="E1386" s="11">
        <v>292.59999999999997</v>
      </c>
      <c r="F1386" s="3">
        <v>45709</v>
      </c>
      <c r="G1386" s="3">
        <v>45711</v>
      </c>
      <c r="H1386" s="1" t="s">
        <v>27</v>
      </c>
      <c r="I1386" s="1" t="s">
        <v>40</v>
      </c>
      <c r="J1386" s="1">
        <v>4</v>
      </c>
      <c r="K1386" s="1" t="s">
        <v>19</v>
      </c>
      <c r="L1386" s="1" t="s">
        <v>77</v>
      </c>
      <c r="M1386" s="1">
        <f>orders[[#This Row],[Ship Date]]-orders[[#This Row],[Order Date]]</f>
        <v>2</v>
      </c>
      <c r="N1386" s="1">
        <f>WEEKNUM(orders[[#This Row],[Order Date]])</f>
        <v>8</v>
      </c>
      <c r="O1386" s="1" t="str" cm="1">
        <f t="array" ref="O1386">_xlfn.IFS(orders[[#This Row],[Customer Gender]]="M","Male", orders[[#This Row],[Customer Gender]]="F","Female", orders[[#This Row],[Customer Gender]]="O","Other", TRUE,"Unknown")</f>
        <v>Female</v>
      </c>
    </row>
    <row r="1387" spans="1:15">
      <c r="A1387" s="1" t="s">
        <v>1486</v>
      </c>
      <c r="B1387" s="1" t="s">
        <v>44</v>
      </c>
      <c r="C1387" s="1">
        <v>6</v>
      </c>
      <c r="D1387" s="1">
        <v>37.4</v>
      </c>
      <c r="E1387" s="11">
        <v>224.39999999999998</v>
      </c>
      <c r="F1387" s="3">
        <v>45709</v>
      </c>
      <c r="G1387" s="3">
        <v>45711</v>
      </c>
      <c r="H1387" s="1" t="s">
        <v>23</v>
      </c>
      <c r="I1387" s="1" t="s">
        <v>18</v>
      </c>
      <c r="J1387" s="1">
        <v>5</v>
      </c>
      <c r="K1387" s="1" t="s">
        <v>19</v>
      </c>
      <c r="L1387" s="1" t="s">
        <v>77</v>
      </c>
      <c r="M1387" s="1">
        <f>orders[[#This Row],[Ship Date]]-orders[[#This Row],[Order Date]]</f>
        <v>2</v>
      </c>
      <c r="N1387" s="1">
        <f>WEEKNUM(orders[[#This Row],[Order Date]])</f>
        <v>8</v>
      </c>
      <c r="O1387" s="1" t="str" cm="1">
        <f t="array" ref="O1387">_xlfn.IFS(orders[[#This Row],[Customer Gender]]="M","Male", orders[[#This Row],[Customer Gender]]="F","Female", orders[[#This Row],[Customer Gender]]="O","Other", TRUE,"Unknown")</f>
        <v>Male</v>
      </c>
    </row>
    <row r="1388" spans="1:15">
      <c r="A1388" s="1" t="s">
        <v>1487</v>
      </c>
      <c r="B1388" s="1" t="s">
        <v>54</v>
      </c>
      <c r="C1388" s="1">
        <v>3</v>
      </c>
      <c r="D1388" s="1">
        <v>60.2</v>
      </c>
      <c r="E1388" s="11">
        <v>180.60000000000002</v>
      </c>
      <c r="F1388" s="3">
        <v>45709</v>
      </c>
      <c r="G1388" s="3">
        <v>45712</v>
      </c>
      <c r="H1388" s="1" t="s">
        <v>23</v>
      </c>
      <c r="I1388" s="1" t="s">
        <v>70</v>
      </c>
      <c r="J1388" s="1">
        <v>3</v>
      </c>
      <c r="K1388" s="1" t="s">
        <v>19</v>
      </c>
      <c r="L1388" s="1" t="s">
        <v>377</v>
      </c>
      <c r="M1388" s="1">
        <f>orders[[#This Row],[Ship Date]]-orders[[#This Row],[Order Date]]</f>
        <v>3</v>
      </c>
      <c r="N1388" s="1">
        <f>WEEKNUM(orders[[#This Row],[Order Date]])</f>
        <v>8</v>
      </c>
      <c r="O1388" s="1" t="str" cm="1">
        <f t="array" ref="O1388">_xlfn.IFS(orders[[#This Row],[Customer Gender]]="M","Male", orders[[#This Row],[Customer Gender]]="F","Female", orders[[#This Row],[Customer Gender]]="O","Other", TRUE,"Unknown")</f>
        <v>Male</v>
      </c>
    </row>
    <row r="1389" spans="1:15">
      <c r="A1389" s="1" t="s">
        <v>1488</v>
      </c>
      <c r="B1389" s="1" t="s">
        <v>46</v>
      </c>
      <c r="C1389" s="1">
        <v>2</v>
      </c>
      <c r="D1389" s="1">
        <v>91.5</v>
      </c>
      <c r="E1389" s="11">
        <v>183</v>
      </c>
      <c r="F1389" s="3">
        <v>45710</v>
      </c>
      <c r="G1389" s="3">
        <v>45711</v>
      </c>
      <c r="H1389" s="1" t="s">
        <v>23</v>
      </c>
      <c r="I1389" s="1" t="s">
        <v>18</v>
      </c>
      <c r="J1389" s="1">
        <v>4</v>
      </c>
      <c r="K1389" s="1" t="s">
        <v>19</v>
      </c>
      <c r="L1389" s="1" t="s">
        <v>82</v>
      </c>
      <c r="M1389" s="1">
        <f>orders[[#This Row],[Ship Date]]-orders[[#This Row],[Order Date]]</f>
        <v>1</v>
      </c>
      <c r="N1389" s="1">
        <f>WEEKNUM(orders[[#This Row],[Order Date]])</f>
        <v>8</v>
      </c>
      <c r="O1389" s="1" t="str" cm="1">
        <f t="array" ref="O1389">_xlfn.IFS(orders[[#This Row],[Customer Gender]]="M","Male", orders[[#This Row],[Customer Gender]]="F","Female", orders[[#This Row],[Customer Gender]]="O","Other", TRUE,"Unknown")</f>
        <v>Male</v>
      </c>
    </row>
    <row r="1390" spans="1:15">
      <c r="A1390" s="1" t="s">
        <v>1489</v>
      </c>
      <c r="B1390" s="1" t="s">
        <v>30</v>
      </c>
      <c r="C1390" s="1">
        <v>5</v>
      </c>
      <c r="D1390" s="1">
        <v>55.7</v>
      </c>
      <c r="E1390" s="11">
        <v>278.5</v>
      </c>
      <c r="F1390" s="3">
        <v>45710</v>
      </c>
      <c r="G1390" s="3">
        <v>45712</v>
      </c>
      <c r="H1390" s="1" t="s">
        <v>17</v>
      </c>
      <c r="I1390" s="1" t="s">
        <v>35</v>
      </c>
      <c r="J1390" s="1">
        <v>5</v>
      </c>
      <c r="K1390" s="1" t="s">
        <v>19</v>
      </c>
      <c r="L1390" s="1" t="s">
        <v>115</v>
      </c>
      <c r="M1390" s="1">
        <f>orders[[#This Row],[Ship Date]]-orders[[#This Row],[Order Date]]</f>
        <v>2</v>
      </c>
      <c r="N1390" s="1">
        <f>WEEKNUM(orders[[#This Row],[Order Date]])</f>
        <v>8</v>
      </c>
      <c r="O1390" s="1" t="str" cm="1">
        <f t="array" ref="O1390">_xlfn.IFS(orders[[#This Row],[Customer Gender]]="M","Male", orders[[#This Row],[Customer Gender]]="F","Female", orders[[#This Row],[Customer Gender]]="O","Other", TRUE,"Unknown")</f>
        <v>Unknown</v>
      </c>
    </row>
    <row r="1391" spans="1:15">
      <c r="A1391" s="1" t="s">
        <v>1490</v>
      </c>
      <c r="B1391" s="1" t="s">
        <v>42</v>
      </c>
      <c r="C1391" s="1">
        <v>2</v>
      </c>
      <c r="D1391" s="1">
        <v>76.7</v>
      </c>
      <c r="E1391" s="11">
        <v>153.4</v>
      </c>
      <c r="F1391" s="3">
        <v>45710</v>
      </c>
      <c r="G1391" s="3">
        <v>45712</v>
      </c>
      <c r="H1391" s="1" t="s">
        <v>23</v>
      </c>
      <c r="I1391" s="1" t="s">
        <v>18</v>
      </c>
      <c r="J1391" s="1">
        <v>3</v>
      </c>
      <c r="K1391" s="1" t="s">
        <v>19</v>
      </c>
      <c r="L1391" s="1" t="s">
        <v>115</v>
      </c>
      <c r="M1391" s="1">
        <f>orders[[#This Row],[Ship Date]]-orders[[#This Row],[Order Date]]</f>
        <v>2</v>
      </c>
      <c r="N1391" s="1">
        <f>WEEKNUM(orders[[#This Row],[Order Date]])</f>
        <v>8</v>
      </c>
      <c r="O1391" s="1" t="str" cm="1">
        <f t="array" ref="O1391">_xlfn.IFS(orders[[#This Row],[Customer Gender]]="M","Male", orders[[#This Row],[Customer Gender]]="F","Female", orders[[#This Row],[Customer Gender]]="O","Other", TRUE,"Unknown")</f>
        <v>Male</v>
      </c>
    </row>
    <row r="1392" spans="1:15">
      <c r="A1392" s="1" t="s">
        <v>1491</v>
      </c>
      <c r="B1392" s="1" t="s">
        <v>44</v>
      </c>
      <c r="C1392" s="1">
        <v>21</v>
      </c>
      <c r="D1392" s="1">
        <v>28.2</v>
      </c>
      <c r="E1392" s="11">
        <v>592.19999999999993</v>
      </c>
      <c r="F1392" s="3">
        <v>45710</v>
      </c>
      <c r="G1392" s="3">
        <v>45715</v>
      </c>
      <c r="H1392" s="1" t="s">
        <v>23</v>
      </c>
      <c r="I1392" s="1" t="s">
        <v>40</v>
      </c>
      <c r="J1392" s="1">
        <v>4</v>
      </c>
      <c r="K1392" s="1" t="s">
        <v>19</v>
      </c>
      <c r="L1392" s="1" t="s">
        <v>24</v>
      </c>
      <c r="M1392" s="1">
        <f>orders[[#This Row],[Ship Date]]-orders[[#This Row],[Order Date]]</f>
        <v>5</v>
      </c>
      <c r="N1392" s="1">
        <f>WEEKNUM(orders[[#This Row],[Order Date]])</f>
        <v>8</v>
      </c>
      <c r="O1392" s="1" t="str" cm="1">
        <f t="array" ref="O1392">_xlfn.IFS(orders[[#This Row],[Customer Gender]]="M","Male", orders[[#This Row],[Customer Gender]]="F","Female", orders[[#This Row],[Customer Gender]]="O","Other", TRUE,"Unknown")</f>
        <v>Male</v>
      </c>
    </row>
    <row r="1393" spans="1:15">
      <c r="A1393" s="1" t="s">
        <v>1492</v>
      </c>
      <c r="B1393" s="1" t="s">
        <v>42</v>
      </c>
      <c r="C1393" s="1">
        <v>5</v>
      </c>
      <c r="D1393" s="1">
        <v>93.2</v>
      </c>
      <c r="E1393" s="11">
        <v>466</v>
      </c>
      <c r="F1393" s="3">
        <v>45710</v>
      </c>
      <c r="G1393" s="3">
        <v>45712</v>
      </c>
      <c r="H1393" s="1" t="s">
        <v>27</v>
      </c>
      <c r="I1393" s="1" t="s">
        <v>70</v>
      </c>
      <c r="J1393" s="1">
        <v>5</v>
      </c>
      <c r="K1393" s="1" t="s">
        <v>19</v>
      </c>
      <c r="L1393" s="1" t="s">
        <v>24</v>
      </c>
      <c r="M1393" s="1">
        <f>orders[[#This Row],[Ship Date]]-orders[[#This Row],[Order Date]]</f>
        <v>2</v>
      </c>
      <c r="N1393" s="1">
        <f>WEEKNUM(orders[[#This Row],[Order Date]])</f>
        <v>8</v>
      </c>
      <c r="O1393" s="1" t="str" cm="1">
        <f t="array" ref="O1393">_xlfn.IFS(orders[[#This Row],[Customer Gender]]="M","Male", orders[[#This Row],[Customer Gender]]="F","Female", orders[[#This Row],[Customer Gender]]="O","Other", TRUE,"Unknown")</f>
        <v>Female</v>
      </c>
    </row>
    <row r="1394" spans="1:15">
      <c r="A1394" s="1" t="s">
        <v>1493</v>
      </c>
      <c r="B1394" s="1" t="s">
        <v>135</v>
      </c>
      <c r="C1394" s="1">
        <v>1</v>
      </c>
      <c r="D1394" s="1">
        <v>33.299999999999997</v>
      </c>
      <c r="E1394" s="11">
        <v>33.299999999999997</v>
      </c>
      <c r="F1394" s="3">
        <v>45710</v>
      </c>
      <c r="G1394" s="3">
        <v>45711</v>
      </c>
      <c r="H1394" s="1" t="s">
        <v>23</v>
      </c>
      <c r="I1394" s="1" t="s">
        <v>70</v>
      </c>
      <c r="J1394" s="1">
        <v>4</v>
      </c>
      <c r="K1394" s="1" t="s">
        <v>19</v>
      </c>
      <c r="L1394" s="1" t="s">
        <v>28</v>
      </c>
      <c r="M1394" s="1">
        <f>orders[[#This Row],[Ship Date]]-orders[[#This Row],[Order Date]]</f>
        <v>1</v>
      </c>
      <c r="N1394" s="1">
        <f>WEEKNUM(orders[[#This Row],[Order Date]])</f>
        <v>8</v>
      </c>
      <c r="O1394" s="1" t="str" cm="1">
        <f t="array" ref="O1394">_xlfn.IFS(orders[[#This Row],[Customer Gender]]="M","Male", orders[[#This Row],[Customer Gender]]="F","Female", orders[[#This Row],[Customer Gender]]="O","Other", TRUE,"Unknown")</f>
        <v>Male</v>
      </c>
    </row>
    <row r="1395" spans="1:15">
      <c r="A1395" s="1" t="s">
        <v>1494</v>
      </c>
      <c r="B1395" s="1" t="s">
        <v>54</v>
      </c>
      <c r="C1395" s="1">
        <v>2</v>
      </c>
      <c r="D1395" s="1">
        <v>39.1</v>
      </c>
      <c r="E1395" s="11">
        <v>78.2</v>
      </c>
      <c r="F1395" s="3">
        <v>45710</v>
      </c>
      <c r="G1395" s="3">
        <v>45713</v>
      </c>
      <c r="H1395" s="1" t="s">
        <v>23</v>
      </c>
      <c r="I1395" s="1" t="s">
        <v>18</v>
      </c>
      <c r="J1395" s="1">
        <v>4</v>
      </c>
      <c r="K1395" s="1" t="s">
        <v>19</v>
      </c>
      <c r="L1395" s="1" t="s">
        <v>587</v>
      </c>
      <c r="M1395" s="1">
        <f>orders[[#This Row],[Ship Date]]-orders[[#This Row],[Order Date]]</f>
        <v>3</v>
      </c>
      <c r="N1395" s="1">
        <f>WEEKNUM(orders[[#This Row],[Order Date]])</f>
        <v>8</v>
      </c>
      <c r="O1395" s="1" t="str" cm="1">
        <f t="array" ref="O1395">_xlfn.IFS(orders[[#This Row],[Customer Gender]]="M","Male", orders[[#This Row],[Customer Gender]]="F","Female", orders[[#This Row],[Customer Gender]]="O","Other", TRUE,"Unknown")</f>
        <v>Male</v>
      </c>
    </row>
    <row r="1396" spans="1:15">
      <c r="A1396" s="1" t="s">
        <v>1495</v>
      </c>
      <c r="B1396" s="1" t="s">
        <v>42</v>
      </c>
      <c r="C1396" s="1">
        <v>12</v>
      </c>
      <c r="D1396" s="1">
        <v>45.3</v>
      </c>
      <c r="E1396" s="11">
        <v>543.59999999999991</v>
      </c>
      <c r="F1396" s="3">
        <v>45710</v>
      </c>
      <c r="G1396" s="3">
        <v>45711</v>
      </c>
      <c r="H1396" s="1" t="s">
        <v>23</v>
      </c>
      <c r="I1396" s="1" t="s">
        <v>40</v>
      </c>
      <c r="J1396" s="1">
        <v>4</v>
      </c>
      <c r="K1396" s="1" t="s">
        <v>19</v>
      </c>
      <c r="L1396" s="1" t="s">
        <v>331</v>
      </c>
      <c r="M1396" s="1">
        <f>orders[[#This Row],[Ship Date]]-orders[[#This Row],[Order Date]]</f>
        <v>1</v>
      </c>
      <c r="N1396" s="1">
        <f>WEEKNUM(orders[[#This Row],[Order Date]])</f>
        <v>8</v>
      </c>
      <c r="O1396" s="1" t="str" cm="1">
        <f t="array" ref="O1396">_xlfn.IFS(orders[[#This Row],[Customer Gender]]="M","Male", orders[[#This Row],[Customer Gender]]="F","Female", orders[[#This Row],[Customer Gender]]="O","Other", TRUE,"Unknown")</f>
        <v>Male</v>
      </c>
    </row>
    <row r="1397" spans="1:15">
      <c r="A1397" s="1" t="s">
        <v>1496</v>
      </c>
      <c r="B1397" s="1" t="s">
        <v>46</v>
      </c>
      <c r="C1397" s="1">
        <v>7</v>
      </c>
      <c r="D1397" s="1">
        <v>33.9</v>
      </c>
      <c r="E1397" s="11">
        <v>237.29999999999998</v>
      </c>
      <c r="F1397" s="3">
        <v>45710</v>
      </c>
      <c r="G1397" s="3">
        <v>45711</v>
      </c>
      <c r="H1397" s="1" t="s">
        <v>23</v>
      </c>
      <c r="I1397" s="1" t="s">
        <v>70</v>
      </c>
      <c r="J1397" s="1">
        <v>4</v>
      </c>
      <c r="K1397" s="1" t="s">
        <v>19</v>
      </c>
      <c r="L1397" s="1" t="s">
        <v>331</v>
      </c>
      <c r="M1397" s="1">
        <f>orders[[#This Row],[Ship Date]]-orders[[#This Row],[Order Date]]</f>
        <v>1</v>
      </c>
      <c r="N1397" s="1">
        <f>WEEKNUM(orders[[#This Row],[Order Date]])</f>
        <v>8</v>
      </c>
      <c r="O1397" s="1" t="str" cm="1">
        <f t="array" ref="O1397">_xlfn.IFS(orders[[#This Row],[Customer Gender]]="M","Male", orders[[#This Row],[Customer Gender]]="F","Female", orders[[#This Row],[Customer Gender]]="O","Other", TRUE,"Unknown")</f>
        <v>Male</v>
      </c>
    </row>
    <row r="1398" spans="1:15">
      <c r="A1398" s="1" t="s">
        <v>1497</v>
      </c>
      <c r="B1398" s="1" t="s">
        <v>44</v>
      </c>
      <c r="C1398" s="1">
        <v>3</v>
      </c>
      <c r="D1398" s="1">
        <v>19</v>
      </c>
      <c r="E1398" s="11">
        <v>57</v>
      </c>
      <c r="F1398" s="3">
        <v>45710</v>
      </c>
      <c r="G1398" s="3">
        <v>45711</v>
      </c>
      <c r="H1398" s="1" t="s">
        <v>23</v>
      </c>
      <c r="I1398" s="1" t="s">
        <v>18</v>
      </c>
      <c r="J1398" s="1">
        <v>5</v>
      </c>
      <c r="K1398" s="1" t="s">
        <v>19</v>
      </c>
      <c r="L1398" s="1" t="s">
        <v>86</v>
      </c>
      <c r="M1398" s="1">
        <f>orders[[#This Row],[Ship Date]]-orders[[#This Row],[Order Date]]</f>
        <v>1</v>
      </c>
      <c r="N1398" s="1">
        <f>WEEKNUM(orders[[#This Row],[Order Date]])</f>
        <v>8</v>
      </c>
      <c r="O1398" s="1" t="str" cm="1">
        <f t="array" ref="O1398">_xlfn.IFS(orders[[#This Row],[Customer Gender]]="M","Male", orders[[#This Row],[Customer Gender]]="F","Female", orders[[#This Row],[Customer Gender]]="O","Other", TRUE,"Unknown")</f>
        <v>Male</v>
      </c>
    </row>
    <row r="1399" spans="1:15">
      <c r="A1399" s="1" t="s">
        <v>1498</v>
      </c>
      <c r="B1399" s="1" t="s">
        <v>32</v>
      </c>
      <c r="C1399" s="1">
        <v>1</v>
      </c>
      <c r="D1399" s="1">
        <v>41.9</v>
      </c>
      <c r="E1399" s="11">
        <v>41.9</v>
      </c>
      <c r="F1399" s="3">
        <v>45710</v>
      </c>
      <c r="G1399" s="3">
        <v>45713</v>
      </c>
      <c r="H1399" s="1" t="s">
        <v>27</v>
      </c>
      <c r="I1399" s="1" t="s">
        <v>40</v>
      </c>
      <c r="J1399" s="1">
        <v>4</v>
      </c>
      <c r="K1399" s="1" t="s">
        <v>19</v>
      </c>
      <c r="L1399" s="1" t="s">
        <v>147</v>
      </c>
      <c r="M1399" s="1">
        <f>orders[[#This Row],[Ship Date]]-orders[[#This Row],[Order Date]]</f>
        <v>3</v>
      </c>
      <c r="N1399" s="1">
        <f>WEEKNUM(orders[[#This Row],[Order Date]])</f>
        <v>8</v>
      </c>
      <c r="O1399" s="1" t="str" cm="1">
        <f t="array" ref="O1399">_xlfn.IFS(orders[[#This Row],[Customer Gender]]="M","Male", orders[[#This Row],[Customer Gender]]="F","Female", orders[[#This Row],[Customer Gender]]="O","Other", TRUE,"Unknown")</f>
        <v>Female</v>
      </c>
    </row>
    <row r="1400" spans="1:15">
      <c r="A1400" s="1" t="s">
        <v>1499</v>
      </c>
      <c r="B1400" s="1" t="s">
        <v>22</v>
      </c>
      <c r="C1400" s="1">
        <v>4</v>
      </c>
      <c r="D1400" s="1">
        <v>37.5</v>
      </c>
      <c r="E1400" s="11">
        <v>150</v>
      </c>
      <c r="F1400" s="3">
        <v>45710</v>
      </c>
      <c r="G1400" s="3">
        <v>45710</v>
      </c>
      <c r="H1400" s="1" t="s">
        <v>27</v>
      </c>
      <c r="I1400" s="1" t="s">
        <v>18</v>
      </c>
      <c r="J1400" s="1">
        <v>4</v>
      </c>
      <c r="K1400" s="1" t="s">
        <v>19</v>
      </c>
      <c r="L1400" s="1" t="s">
        <v>33</v>
      </c>
      <c r="M1400" s="1">
        <f>orders[[#This Row],[Ship Date]]-orders[[#This Row],[Order Date]]</f>
        <v>0</v>
      </c>
      <c r="N1400" s="1">
        <f>WEEKNUM(orders[[#This Row],[Order Date]])</f>
        <v>8</v>
      </c>
      <c r="O1400" s="1" t="str" cm="1">
        <f t="array" ref="O1400">_xlfn.IFS(orders[[#This Row],[Customer Gender]]="M","Male", orders[[#This Row],[Customer Gender]]="F","Female", orders[[#This Row],[Customer Gender]]="O","Other", TRUE,"Unknown")</f>
        <v>Female</v>
      </c>
    </row>
    <row r="1401" spans="1:15">
      <c r="A1401" s="1" t="s">
        <v>1500</v>
      </c>
      <c r="B1401" s="1" t="s">
        <v>16</v>
      </c>
      <c r="C1401" s="1">
        <v>2</v>
      </c>
      <c r="D1401" s="1">
        <v>40.799999999999997</v>
      </c>
      <c r="E1401" s="11">
        <v>81.599999999999994</v>
      </c>
      <c r="F1401" s="3">
        <v>45710</v>
      </c>
      <c r="G1401" s="3">
        <v>45713</v>
      </c>
      <c r="H1401" s="1" t="s">
        <v>23</v>
      </c>
      <c r="I1401" s="1" t="s">
        <v>18</v>
      </c>
      <c r="J1401" s="1">
        <v>4</v>
      </c>
      <c r="K1401" s="1" t="s">
        <v>19</v>
      </c>
      <c r="L1401" s="1" t="s">
        <v>33</v>
      </c>
      <c r="M1401" s="1">
        <f>orders[[#This Row],[Ship Date]]-orders[[#This Row],[Order Date]]</f>
        <v>3</v>
      </c>
      <c r="N1401" s="1">
        <f>WEEKNUM(orders[[#This Row],[Order Date]])</f>
        <v>8</v>
      </c>
      <c r="O1401" s="1" t="str" cm="1">
        <f t="array" ref="O1401">_xlfn.IFS(orders[[#This Row],[Customer Gender]]="M","Male", orders[[#This Row],[Customer Gender]]="F","Female", orders[[#This Row],[Customer Gender]]="O","Other", TRUE,"Unknown")</f>
        <v>Male</v>
      </c>
    </row>
    <row r="1402" spans="1:15">
      <c r="A1402" s="1" t="s">
        <v>1501</v>
      </c>
      <c r="B1402" s="1" t="s">
        <v>16</v>
      </c>
      <c r="C1402" s="1">
        <v>4</v>
      </c>
      <c r="D1402" s="1">
        <v>23.1</v>
      </c>
      <c r="E1402" s="11">
        <v>92.4</v>
      </c>
      <c r="F1402" s="3">
        <v>45710</v>
      </c>
      <c r="G1402" s="3">
        <v>45711</v>
      </c>
      <c r="H1402" s="1" t="s">
        <v>27</v>
      </c>
      <c r="I1402" s="1" t="s">
        <v>70</v>
      </c>
      <c r="J1402" s="1">
        <v>4</v>
      </c>
      <c r="K1402" s="1" t="s">
        <v>19</v>
      </c>
      <c r="L1402" s="1" t="s">
        <v>33</v>
      </c>
      <c r="M1402" s="1">
        <f>orders[[#This Row],[Ship Date]]-orders[[#This Row],[Order Date]]</f>
        <v>1</v>
      </c>
      <c r="N1402" s="1">
        <f>WEEKNUM(orders[[#This Row],[Order Date]])</f>
        <v>8</v>
      </c>
      <c r="O1402" s="1" t="str" cm="1">
        <f t="array" ref="O1402">_xlfn.IFS(orders[[#This Row],[Customer Gender]]="M","Male", orders[[#This Row],[Customer Gender]]="F","Female", orders[[#This Row],[Customer Gender]]="O","Other", TRUE,"Unknown")</f>
        <v>Female</v>
      </c>
    </row>
    <row r="1403" spans="1:15">
      <c r="A1403" s="1" t="s">
        <v>1502</v>
      </c>
      <c r="B1403" s="1" t="s">
        <v>44</v>
      </c>
      <c r="C1403" s="1">
        <v>5</v>
      </c>
      <c r="D1403" s="1">
        <v>39.299999999999997</v>
      </c>
      <c r="E1403" s="11">
        <v>196.5</v>
      </c>
      <c r="F1403" s="3">
        <v>45710</v>
      </c>
      <c r="G1403" s="3">
        <v>45711</v>
      </c>
      <c r="H1403" s="1" t="s">
        <v>27</v>
      </c>
      <c r="I1403" s="1" t="s">
        <v>18</v>
      </c>
      <c r="J1403" s="1">
        <v>4</v>
      </c>
      <c r="K1403" s="1" t="s">
        <v>19</v>
      </c>
      <c r="L1403" s="1" t="s">
        <v>33</v>
      </c>
      <c r="M1403" s="1">
        <f>orders[[#This Row],[Ship Date]]-orders[[#This Row],[Order Date]]</f>
        <v>1</v>
      </c>
      <c r="N1403" s="1">
        <f>WEEKNUM(orders[[#This Row],[Order Date]])</f>
        <v>8</v>
      </c>
      <c r="O1403" s="1" t="str" cm="1">
        <f t="array" ref="O1403">_xlfn.IFS(orders[[#This Row],[Customer Gender]]="M","Male", orders[[#This Row],[Customer Gender]]="F","Female", orders[[#This Row],[Customer Gender]]="O","Other", TRUE,"Unknown")</f>
        <v>Female</v>
      </c>
    </row>
    <row r="1404" spans="1:15">
      <c r="A1404" s="1" t="s">
        <v>1503</v>
      </c>
      <c r="B1404" s="1" t="s">
        <v>26</v>
      </c>
      <c r="C1404" s="1">
        <v>4</v>
      </c>
      <c r="D1404" s="1">
        <v>85.2</v>
      </c>
      <c r="E1404" s="11">
        <v>340.8</v>
      </c>
      <c r="F1404" s="3">
        <v>45710</v>
      </c>
      <c r="G1404" s="3">
        <v>45715</v>
      </c>
      <c r="H1404" s="1" t="s">
        <v>23</v>
      </c>
      <c r="I1404" s="1" t="s">
        <v>40</v>
      </c>
      <c r="J1404" s="1">
        <v>4</v>
      </c>
      <c r="K1404" s="1" t="s">
        <v>19</v>
      </c>
      <c r="L1404" s="1" t="s">
        <v>33</v>
      </c>
      <c r="M1404" s="1">
        <f>orders[[#This Row],[Ship Date]]-orders[[#This Row],[Order Date]]</f>
        <v>5</v>
      </c>
      <c r="N1404" s="1">
        <f>WEEKNUM(orders[[#This Row],[Order Date]])</f>
        <v>8</v>
      </c>
      <c r="O1404" s="1" t="str" cm="1">
        <f t="array" ref="O1404">_xlfn.IFS(orders[[#This Row],[Customer Gender]]="M","Male", orders[[#This Row],[Customer Gender]]="F","Female", orders[[#This Row],[Customer Gender]]="O","Other", TRUE,"Unknown")</f>
        <v>Male</v>
      </c>
    </row>
    <row r="1405" spans="1:15">
      <c r="A1405" s="1" t="s">
        <v>1504</v>
      </c>
      <c r="B1405" s="1" t="s">
        <v>44</v>
      </c>
      <c r="C1405" s="1">
        <v>6</v>
      </c>
      <c r="D1405" s="1">
        <v>16</v>
      </c>
      <c r="E1405" s="11">
        <v>96</v>
      </c>
      <c r="F1405" s="3">
        <v>45710</v>
      </c>
      <c r="G1405" s="3">
        <v>45713</v>
      </c>
      <c r="H1405" s="1" t="s">
        <v>23</v>
      </c>
      <c r="I1405" s="1" t="s">
        <v>35</v>
      </c>
      <c r="J1405" s="1">
        <v>4</v>
      </c>
      <c r="K1405" s="1" t="s">
        <v>19</v>
      </c>
      <c r="L1405" s="1" t="s">
        <v>33</v>
      </c>
      <c r="M1405" s="1">
        <f>orders[[#This Row],[Ship Date]]-orders[[#This Row],[Order Date]]</f>
        <v>3</v>
      </c>
      <c r="N1405" s="1">
        <f>WEEKNUM(orders[[#This Row],[Order Date]])</f>
        <v>8</v>
      </c>
      <c r="O1405" s="1" t="str" cm="1">
        <f t="array" ref="O1405">_xlfn.IFS(orders[[#This Row],[Customer Gender]]="M","Male", orders[[#This Row],[Customer Gender]]="F","Female", orders[[#This Row],[Customer Gender]]="O","Other", TRUE,"Unknown")</f>
        <v>Male</v>
      </c>
    </row>
    <row r="1406" spans="1:15">
      <c r="A1406" s="1" t="s">
        <v>1505</v>
      </c>
      <c r="B1406" s="1" t="s">
        <v>22</v>
      </c>
      <c r="C1406" s="1">
        <v>2</v>
      </c>
      <c r="D1406" s="1">
        <v>33.799999999999997</v>
      </c>
      <c r="E1406" s="11">
        <v>67.599999999999994</v>
      </c>
      <c r="F1406" s="3">
        <v>45710</v>
      </c>
      <c r="G1406" s="3">
        <v>45714</v>
      </c>
      <c r="H1406" s="1" t="s">
        <v>27</v>
      </c>
      <c r="I1406" s="1" t="s">
        <v>35</v>
      </c>
      <c r="J1406" s="1">
        <v>4</v>
      </c>
      <c r="K1406" s="1" t="s">
        <v>19</v>
      </c>
      <c r="L1406" s="1" t="s">
        <v>33</v>
      </c>
      <c r="M1406" s="1">
        <f>orders[[#This Row],[Ship Date]]-orders[[#This Row],[Order Date]]</f>
        <v>4</v>
      </c>
      <c r="N1406" s="1">
        <f>WEEKNUM(orders[[#This Row],[Order Date]])</f>
        <v>8</v>
      </c>
      <c r="O1406" s="1" t="str" cm="1">
        <f t="array" ref="O1406">_xlfn.IFS(orders[[#This Row],[Customer Gender]]="M","Male", orders[[#This Row],[Customer Gender]]="F","Female", orders[[#This Row],[Customer Gender]]="O","Other", TRUE,"Unknown")</f>
        <v>Female</v>
      </c>
    </row>
    <row r="1407" spans="1:15">
      <c r="A1407" s="1" t="s">
        <v>1506</v>
      </c>
      <c r="B1407" s="1" t="s">
        <v>30</v>
      </c>
      <c r="C1407" s="1">
        <v>1</v>
      </c>
      <c r="D1407" s="1">
        <v>70</v>
      </c>
      <c r="E1407" s="11">
        <v>70</v>
      </c>
      <c r="F1407" s="3">
        <v>45710</v>
      </c>
      <c r="G1407" s="3">
        <v>45711</v>
      </c>
      <c r="H1407" s="1" t="s">
        <v>27</v>
      </c>
      <c r="I1407" s="1" t="s">
        <v>18</v>
      </c>
      <c r="J1407" s="1">
        <v>4</v>
      </c>
      <c r="K1407" s="1" t="s">
        <v>19</v>
      </c>
      <c r="L1407" s="1" t="s">
        <v>33</v>
      </c>
      <c r="M1407" s="1">
        <f>orders[[#This Row],[Ship Date]]-orders[[#This Row],[Order Date]]</f>
        <v>1</v>
      </c>
      <c r="N1407" s="1">
        <f>WEEKNUM(orders[[#This Row],[Order Date]])</f>
        <v>8</v>
      </c>
      <c r="O1407" s="1" t="str" cm="1">
        <f t="array" ref="O1407">_xlfn.IFS(orders[[#This Row],[Customer Gender]]="M","Male", orders[[#This Row],[Customer Gender]]="F","Female", orders[[#This Row],[Customer Gender]]="O","Other", TRUE,"Unknown")</f>
        <v>Female</v>
      </c>
    </row>
    <row r="1408" spans="1:15">
      <c r="A1408" s="1" t="s">
        <v>1507</v>
      </c>
      <c r="B1408" s="1" t="s">
        <v>46</v>
      </c>
      <c r="C1408" s="1">
        <v>1</v>
      </c>
      <c r="D1408" s="1">
        <v>88</v>
      </c>
      <c r="E1408" s="11">
        <v>88</v>
      </c>
      <c r="F1408" s="3">
        <v>45710</v>
      </c>
      <c r="G1408" s="3">
        <v>45715</v>
      </c>
      <c r="H1408" s="1" t="s">
        <v>27</v>
      </c>
      <c r="I1408" s="1" t="s">
        <v>51</v>
      </c>
      <c r="J1408" s="1">
        <v>4</v>
      </c>
      <c r="K1408" s="1" t="s">
        <v>19</v>
      </c>
      <c r="L1408" s="1" t="s">
        <v>33</v>
      </c>
      <c r="M1408" s="1">
        <f>orders[[#This Row],[Ship Date]]-orders[[#This Row],[Order Date]]</f>
        <v>5</v>
      </c>
      <c r="N1408" s="1">
        <f>WEEKNUM(orders[[#This Row],[Order Date]])</f>
        <v>8</v>
      </c>
      <c r="O1408" s="1" t="str" cm="1">
        <f t="array" ref="O1408">_xlfn.IFS(orders[[#This Row],[Customer Gender]]="M","Male", orders[[#This Row],[Customer Gender]]="F","Female", orders[[#This Row],[Customer Gender]]="O","Other", TRUE,"Unknown")</f>
        <v>Female</v>
      </c>
    </row>
    <row r="1409" spans="1:15">
      <c r="A1409" s="1" t="s">
        <v>1508</v>
      </c>
      <c r="B1409" s="1" t="s">
        <v>26</v>
      </c>
      <c r="C1409" s="1">
        <v>3</v>
      </c>
      <c r="D1409" s="1">
        <v>74.099999999999994</v>
      </c>
      <c r="E1409" s="11">
        <v>222.29999999999998</v>
      </c>
      <c r="F1409" s="3">
        <v>45710</v>
      </c>
      <c r="G1409" s="3">
        <v>45710</v>
      </c>
      <c r="H1409" s="1" t="s">
        <v>23</v>
      </c>
      <c r="I1409" s="1" t="s">
        <v>70</v>
      </c>
      <c r="J1409" s="1">
        <v>3</v>
      </c>
      <c r="K1409" s="1" t="s">
        <v>19</v>
      </c>
      <c r="L1409" s="1" t="s">
        <v>33</v>
      </c>
      <c r="M1409" s="1">
        <f>orders[[#This Row],[Ship Date]]-orders[[#This Row],[Order Date]]</f>
        <v>0</v>
      </c>
      <c r="N1409" s="1">
        <f>WEEKNUM(orders[[#This Row],[Order Date]])</f>
        <v>8</v>
      </c>
      <c r="O1409" s="1" t="str" cm="1">
        <f t="array" ref="O1409">_xlfn.IFS(orders[[#This Row],[Customer Gender]]="M","Male", orders[[#This Row],[Customer Gender]]="F","Female", orders[[#This Row],[Customer Gender]]="O","Other", TRUE,"Unknown")</f>
        <v>Male</v>
      </c>
    </row>
    <row r="1410" spans="1:15">
      <c r="A1410" s="1" t="s">
        <v>1509</v>
      </c>
      <c r="B1410" s="1" t="s">
        <v>26</v>
      </c>
      <c r="C1410" s="1">
        <v>1</v>
      </c>
      <c r="D1410" s="1">
        <v>161.9</v>
      </c>
      <c r="E1410" s="11">
        <v>161.9</v>
      </c>
      <c r="F1410" s="3">
        <v>45710</v>
      </c>
      <c r="G1410" s="3">
        <v>45712</v>
      </c>
      <c r="H1410" s="1" t="s">
        <v>23</v>
      </c>
      <c r="I1410" s="1" t="s">
        <v>40</v>
      </c>
      <c r="J1410" s="1">
        <v>4</v>
      </c>
      <c r="K1410" s="1" t="s">
        <v>19</v>
      </c>
      <c r="L1410" s="1" t="s">
        <v>33</v>
      </c>
      <c r="M1410" s="1">
        <f>orders[[#This Row],[Ship Date]]-orders[[#This Row],[Order Date]]</f>
        <v>2</v>
      </c>
      <c r="N1410" s="1">
        <f>WEEKNUM(orders[[#This Row],[Order Date]])</f>
        <v>8</v>
      </c>
      <c r="O1410" s="1" t="str" cm="1">
        <f t="array" ref="O1410">_xlfn.IFS(orders[[#This Row],[Customer Gender]]="M","Male", orders[[#This Row],[Customer Gender]]="F","Female", orders[[#This Row],[Customer Gender]]="O","Other", TRUE,"Unknown")</f>
        <v>Male</v>
      </c>
    </row>
    <row r="1411" spans="1:15">
      <c r="A1411" s="1" t="s">
        <v>1510</v>
      </c>
      <c r="B1411" s="1" t="s">
        <v>32</v>
      </c>
      <c r="C1411" s="1">
        <v>2</v>
      </c>
      <c r="D1411" s="1">
        <v>44</v>
      </c>
      <c r="E1411" s="11">
        <v>88</v>
      </c>
      <c r="F1411" s="3">
        <v>45710</v>
      </c>
      <c r="G1411" s="3">
        <v>45711</v>
      </c>
      <c r="H1411" s="1" t="s">
        <v>89</v>
      </c>
      <c r="I1411" s="1" t="s">
        <v>70</v>
      </c>
      <c r="J1411" s="1">
        <v>3</v>
      </c>
      <c r="K1411" s="1" t="s">
        <v>19</v>
      </c>
      <c r="L1411" s="1" t="s">
        <v>33</v>
      </c>
      <c r="M1411" s="1">
        <f>orders[[#This Row],[Ship Date]]-orders[[#This Row],[Order Date]]</f>
        <v>1</v>
      </c>
      <c r="N1411" s="1">
        <f>WEEKNUM(orders[[#This Row],[Order Date]])</f>
        <v>8</v>
      </c>
      <c r="O1411" s="1" t="str" cm="1">
        <f t="array" ref="O1411">_xlfn.IFS(orders[[#This Row],[Customer Gender]]="M","Male", orders[[#This Row],[Customer Gender]]="F","Female", orders[[#This Row],[Customer Gender]]="O","Other", TRUE,"Unknown")</f>
        <v>Other</v>
      </c>
    </row>
    <row r="1412" spans="1:15">
      <c r="A1412" s="1" t="s">
        <v>1511</v>
      </c>
      <c r="B1412" s="1" t="s">
        <v>67</v>
      </c>
      <c r="C1412" s="1">
        <v>1</v>
      </c>
      <c r="D1412" s="1">
        <v>32.1</v>
      </c>
      <c r="E1412" s="11">
        <v>32.1</v>
      </c>
      <c r="F1412" s="3">
        <v>45710</v>
      </c>
      <c r="G1412" s="3">
        <v>45710</v>
      </c>
      <c r="H1412" s="1" t="s">
        <v>27</v>
      </c>
      <c r="I1412" s="1" t="s">
        <v>51</v>
      </c>
      <c r="J1412" s="1">
        <v>1</v>
      </c>
      <c r="K1412" s="1" t="s">
        <v>19</v>
      </c>
      <c r="L1412" s="1" t="s">
        <v>33</v>
      </c>
      <c r="M1412" s="1">
        <f>orders[[#This Row],[Ship Date]]-orders[[#This Row],[Order Date]]</f>
        <v>0</v>
      </c>
      <c r="N1412" s="1">
        <f>WEEKNUM(orders[[#This Row],[Order Date]])</f>
        <v>8</v>
      </c>
      <c r="O1412" s="1" t="str" cm="1">
        <f t="array" ref="O1412">_xlfn.IFS(orders[[#This Row],[Customer Gender]]="M","Male", orders[[#This Row],[Customer Gender]]="F","Female", orders[[#This Row],[Customer Gender]]="O","Other", TRUE,"Unknown")</f>
        <v>Female</v>
      </c>
    </row>
    <row r="1413" spans="1:15">
      <c r="A1413" s="1" t="s">
        <v>1512</v>
      </c>
      <c r="B1413" s="1" t="s">
        <v>26</v>
      </c>
      <c r="C1413" s="1">
        <v>4</v>
      </c>
      <c r="D1413" s="1">
        <v>104.8</v>
      </c>
      <c r="E1413" s="11">
        <v>419.2</v>
      </c>
      <c r="F1413" s="3">
        <v>45711</v>
      </c>
      <c r="G1413" s="3">
        <v>45713</v>
      </c>
      <c r="H1413" s="1" t="s">
        <v>89</v>
      </c>
      <c r="I1413" s="1" t="s">
        <v>18</v>
      </c>
      <c r="J1413" s="1">
        <v>4</v>
      </c>
      <c r="K1413" s="1" t="s">
        <v>19</v>
      </c>
      <c r="L1413" s="1" t="s">
        <v>33</v>
      </c>
      <c r="M1413" s="1">
        <f>orders[[#This Row],[Ship Date]]-orders[[#This Row],[Order Date]]</f>
        <v>2</v>
      </c>
      <c r="N1413" s="1">
        <f>WEEKNUM(orders[[#This Row],[Order Date]])</f>
        <v>9</v>
      </c>
      <c r="O1413" s="1" t="str" cm="1">
        <f t="array" ref="O1413">_xlfn.IFS(orders[[#This Row],[Customer Gender]]="M","Male", orders[[#This Row],[Customer Gender]]="F","Female", orders[[#This Row],[Customer Gender]]="O","Other", TRUE,"Unknown")</f>
        <v>Other</v>
      </c>
    </row>
    <row r="1414" spans="1:15">
      <c r="A1414" s="1" t="s">
        <v>1513</v>
      </c>
      <c r="B1414" s="1" t="s">
        <v>46</v>
      </c>
      <c r="C1414" s="1">
        <v>6</v>
      </c>
      <c r="D1414" s="1">
        <v>67.400000000000006</v>
      </c>
      <c r="E1414" s="11">
        <v>404.40000000000003</v>
      </c>
      <c r="F1414" s="3">
        <v>45711</v>
      </c>
      <c r="G1414" s="3">
        <v>45712</v>
      </c>
      <c r="H1414" s="1" t="s">
        <v>27</v>
      </c>
      <c r="I1414" s="1" t="s">
        <v>51</v>
      </c>
      <c r="J1414" s="1">
        <v>4</v>
      </c>
      <c r="K1414" s="1" t="s">
        <v>19</v>
      </c>
      <c r="L1414" s="1" t="s">
        <v>33</v>
      </c>
      <c r="M1414" s="1">
        <f>orders[[#This Row],[Ship Date]]-orders[[#This Row],[Order Date]]</f>
        <v>1</v>
      </c>
      <c r="N1414" s="1">
        <f>WEEKNUM(orders[[#This Row],[Order Date]])</f>
        <v>9</v>
      </c>
      <c r="O1414" s="1" t="str" cm="1">
        <f t="array" ref="O1414">_xlfn.IFS(orders[[#This Row],[Customer Gender]]="M","Male", orders[[#This Row],[Customer Gender]]="F","Female", orders[[#This Row],[Customer Gender]]="O","Other", TRUE,"Unknown")</f>
        <v>Female</v>
      </c>
    </row>
    <row r="1415" spans="1:15">
      <c r="A1415" s="1" t="s">
        <v>1514</v>
      </c>
      <c r="B1415" s="1" t="s">
        <v>39</v>
      </c>
      <c r="C1415" s="1">
        <v>2</v>
      </c>
      <c r="D1415" s="1">
        <v>115.2</v>
      </c>
      <c r="E1415" s="11">
        <v>230.4</v>
      </c>
      <c r="F1415" s="3">
        <v>45711</v>
      </c>
      <c r="G1415" s="3">
        <v>45712</v>
      </c>
      <c r="H1415" s="1" t="s">
        <v>27</v>
      </c>
      <c r="I1415" s="1" t="s">
        <v>35</v>
      </c>
      <c r="J1415" s="1">
        <v>4</v>
      </c>
      <c r="K1415" s="1" t="s">
        <v>19</v>
      </c>
      <c r="L1415" s="1" t="s">
        <v>49</v>
      </c>
      <c r="M1415" s="1">
        <f>orders[[#This Row],[Ship Date]]-orders[[#This Row],[Order Date]]</f>
        <v>1</v>
      </c>
      <c r="N1415" s="1">
        <f>WEEKNUM(orders[[#This Row],[Order Date]])</f>
        <v>9</v>
      </c>
      <c r="O1415" s="1" t="str" cm="1">
        <f t="array" ref="O1415">_xlfn.IFS(orders[[#This Row],[Customer Gender]]="M","Male", orders[[#This Row],[Customer Gender]]="F","Female", orders[[#This Row],[Customer Gender]]="O","Other", TRUE,"Unknown")</f>
        <v>Female</v>
      </c>
    </row>
    <row r="1416" spans="1:15">
      <c r="A1416" s="1" t="s">
        <v>1515</v>
      </c>
      <c r="B1416" s="1" t="s">
        <v>44</v>
      </c>
      <c r="C1416" s="1">
        <v>29</v>
      </c>
      <c r="D1416" s="1">
        <v>15.5</v>
      </c>
      <c r="E1416" s="11">
        <v>449.5</v>
      </c>
      <c r="F1416" s="3">
        <v>45711</v>
      </c>
      <c r="G1416" s="3">
        <v>45713</v>
      </c>
      <c r="H1416" s="1" t="s">
        <v>27</v>
      </c>
      <c r="I1416" s="1" t="s">
        <v>18</v>
      </c>
      <c r="J1416" s="1">
        <v>3</v>
      </c>
      <c r="K1416" s="1" t="s">
        <v>19</v>
      </c>
      <c r="L1416" s="1" t="s">
        <v>158</v>
      </c>
      <c r="M1416" s="1">
        <f>orders[[#This Row],[Ship Date]]-orders[[#This Row],[Order Date]]</f>
        <v>2</v>
      </c>
      <c r="N1416" s="1">
        <f>WEEKNUM(orders[[#This Row],[Order Date]])</f>
        <v>9</v>
      </c>
      <c r="O1416" s="1" t="str" cm="1">
        <f t="array" ref="O1416">_xlfn.IFS(orders[[#This Row],[Customer Gender]]="M","Male", orders[[#This Row],[Customer Gender]]="F","Female", orders[[#This Row],[Customer Gender]]="O","Other", TRUE,"Unknown")</f>
        <v>Female</v>
      </c>
    </row>
    <row r="1417" spans="1:15">
      <c r="A1417" s="1" t="s">
        <v>1516</v>
      </c>
      <c r="B1417" s="1" t="s">
        <v>39</v>
      </c>
      <c r="C1417" s="1">
        <v>11</v>
      </c>
      <c r="D1417" s="1">
        <v>66.400000000000006</v>
      </c>
      <c r="E1417" s="11">
        <v>730.40000000000009</v>
      </c>
      <c r="F1417" s="3">
        <v>45711</v>
      </c>
      <c r="G1417" s="3">
        <v>45713</v>
      </c>
      <c r="H1417" s="1" t="s">
        <v>27</v>
      </c>
      <c r="I1417" s="1" t="s">
        <v>18</v>
      </c>
      <c r="J1417" s="1">
        <v>4</v>
      </c>
      <c r="K1417" s="1" t="s">
        <v>19</v>
      </c>
      <c r="L1417" s="1" t="s">
        <v>55</v>
      </c>
      <c r="M1417" s="1">
        <f>orders[[#This Row],[Ship Date]]-orders[[#This Row],[Order Date]]</f>
        <v>2</v>
      </c>
      <c r="N1417" s="1">
        <f>WEEKNUM(orders[[#This Row],[Order Date]])</f>
        <v>9</v>
      </c>
      <c r="O1417" s="1" t="str" cm="1">
        <f t="array" ref="O1417">_xlfn.IFS(orders[[#This Row],[Customer Gender]]="M","Male", orders[[#This Row],[Customer Gender]]="F","Female", orders[[#This Row],[Customer Gender]]="O","Other", TRUE,"Unknown")</f>
        <v>Female</v>
      </c>
    </row>
    <row r="1418" spans="1:15">
      <c r="A1418" s="1" t="s">
        <v>1517</v>
      </c>
      <c r="B1418" s="1" t="s">
        <v>46</v>
      </c>
      <c r="C1418" s="1">
        <v>12</v>
      </c>
      <c r="D1418" s="1">
        <v>68.099999999999994</v>
      </c>
      <c r="E1418" s="11">
        <v>817.19999999999993</v>
      </c>
      <c r="F1418" s="3">
        <v>45711</v>
      </c>
      <c r="G1418" s="3">
        <v>45712</v>
      </c>
      <c r="H1418" s="1" t="s">
        <v>27</v>
      </c>
      <c r="I1418" s="1" t="s">
        <v>40</v>
      </c>
      <c r="J1418" s="1">
        <v>4</v>
      </c>
      <c r="K1418" s="1" t="s">
        <v>19</v>
      </c>
      <c r="L1418" s="1" t="s">
        <v>62</v>
      </c>
      <c r="M1418" s="1">
        <f>orders[[#This Row],[Ship Date]]-orders[[#This Row],[Order Date]]</f>
        <v>1</v>
      </c>
      <c r="N1418" s="1">
        <f>WEEKNUM(orders[[#This Row],[Order Date]])</f>
        <v>9</v>
      </c>
      <c r="O1418" s="1" t="str" cm="1">
        <f t="array" ref="O1418">_xlfn.IFS(orders[[#This Row],[Customer Gender]]="M","Male", orders[[#This Row],[Customer Gender]]="F","Female", orders[[#This Row],[Customer Gender]]="O","Other", TRUE,"Unknown")</f>
        <v>Female</v>
      </c>
    </row>
    <row r="1419" spans="1:15">
      <c r="A1419" s="1" t="s">
        <v>1518</v>
      </c>
      <c r="B1419" s="1" t="s">
        <v>44</v>
      </c>
      <c r="C1419" s="1">
        <v>5</v>
      </c>
      <c r="D1419" s="1">
        <v>32.5</v>
      </c>
      <c r="E1419" s="11">
        <v>162.5</v>
      </c>
      <c r="F1419" s="3">
        <v>45711</v>
      </c>
      <c r="G1419" s="3">
        <v>45715</v>
      </c>
      <c r="H1419" s="1" t="s">
        <v>23</v>
      </c>
      <c r="I1419" s="1" t="s">
        <v>40</v>
      </c>
      <c r="J1419" s="1">
        <v>3</v>
      </c>
      <c r="K1419" s="1" t="s">
        <v>19</v>
      </c>
      <c r="L1419" s="1" t="s">
        <v>62</v>
      </c>
      <c r="M1419" s="1">
        <f>orders[[#This Row],[Ship Date]]-orders[[#This Row],[Order Date]]</f>
        <v>4</v>
      </c>
      <c r="N1419" s="1">
        <f>WEEKNUM(orders[[#This Row],[Order Date]])</f>
        <v>9</v>
      </c>
      <c r="O1419" s="1" t="str" cm="1">
        <f t="array" ref="O1419">_xlfn.IFS(orders[[#This Row],[Customer Gender]]="M","Male", orders[[#This Row],[Customer Gender]]="F","Female", orders[[#This Row],[Customer Gender]]="O","Other", TRUE,"Unknown")</f>
        <v>Male</v>
      </c>
    </row>
    <row r="1420" spans="1:15">
      <c r="A1420" s="1" t="s">
        <v>1519</v>
      </c>
      <c r="B1420" s="1" t="s">
        <v>123</v>
      </c>
      <c r="C1420" s="1">
        <v>3</v>
      </c>
      <c r="D1420" s="1">
        <v>61.2</v>
      </c>
      <c r="E1420" s="11">
        <v>183.60000000000002</v>
      </c>
      <c r="F1420" s="3">
        <v>45711</v>
      </c>
      <c r="G1420" s="3">
        <v>45713</v>
      </c>
      <c r="H1420" s="1" t="s">
        <v>27</v>
      </c>
      <c r="I1420" s="1" t="s">
        <v>35</v>
      </c>
      <c r="J1420" s="1">
        <v>3</v>
      </c>
      <c r="K1420" s="1" t="s">
        <v>19</v>
      </c>
      <c r="L1420" s="1" t="s">
        <v>62</v>
      </c>
      <c r="M1420" s="1">
        <f>orders[[#This Row],[Ship Date]]-orders[[#This Row],[Order Date]]</f>
        <v>2</v>
      </c>
      <c r="N1420" s="1">
        <f>WEEKNUM(orders[[#This Row],[Order Date]])</f>
        <v>9</v>
      </c>
      <c r="O1420" s="1" t="str" cm="1">
        <f t="array" ref="O1420">_xlfn.IFS(orders[[#This Row],[Customer Gender]]="M","Male", orders[[#This Row],[Customer Gender]]="F","Female", orders[[#This Row],[Customer Gender]]="O","Other", TRUE,"Unknown")</f>
        <v>Female</v>
      </c>
    </row>
    <row r="1421" spans="1:15">
      <c r="A1421" s="1" t="s">
        <v>1520</v>
      </c>
      <c r="B1421" s="1" t="s">
        <v>46</v>
      </c>
      <c r="C1421" s="1">
        <v>2</v>
      </c>
      <c r="D1421" s="1">
        <v>54.2</v>
      </c>
      <c r="E1421" s="11">
        <v>108.4</v>
      </c>
      <c r="F1421" s="3">
        <v>45711</v>
      </c>
      <c r="G1421" s="3">
        <v>45712</v>
      </c>
      <c r="H1421" s="1" t="s">
        <v>27</v>
      </c>
      <c r="I1421" s="1" t="s">
        <v>35</v>
      </c>
      <c r="J1421" s="1">
        <v>4</v>
      </c>
      <c r="K1421" s="1" t="s">
        <v>19</v>
      </c>
      <c r="L1421" s="1" t="s">
        <v>62</v>
      </c>
      <c r="M1421" s="1">
        <f>orders[[#This Row],[Ship Date]]-orders[[#This Row],[Order Date]]</f>
        <v>1</v>
      </c>
      <c r="N1421" s="1">
        <f>WEEKNUM(orders[[#This Row],[Order Date]])</f>
        <v>9</v>
      </c>
      <c r="O1421" s="1" t="str" cm="1">
        <f t="array" ref="O1421">_xlfn.IFS(orders[[#This Row],[Customer Gender]]="M","Male", orders[[#This Row],[Customer Gender]]="F","Female", orders[[#This Row],[Customer Gender]]="O","Other", TRUE,"Unknown")</f>
        <v>Female</v>
      </c>
    </row>
    <row r="1422" spans="1:15">
      <c r="A1422" s="1" t="s">
        <v>1521</v>
      </c>
      <c r="B1422" s="1" t="s">
        <v>67</v>
      </c>
      <c r="C1422" s="1">
        <v>8</v>
      </c>
      <c r="D1422" s="1">
        <v>28.7</v>
      </c>
      <c r="E1422" s="11">
        <v>229.6</v>
      </c>
      <c r="F1422" s="3">
        <v>45711</v>
      </c>
      <c r="G1422" s="3">
        <v>45713</v>
      </c>
      <c r="H1422" s="1" t="s">
        <v>23</v>
      </c>
      <c r="I1422" s="1" t="s">
        <v>35</v>
      </c>
      <c r="J1422" s="1">
        <v>4</v>
      </c>
      <c r="K1422" s="1" t="s">
        <v>19</v>
      </c>
      <c r="L1422" s="1" t="s">
        <v>72</v>
      </c>
      <c r="M1422" s="1">
        <f>orders[[#This Row],[Ship Date]]-orders[[#This Row],[Order Date]]</f>
        <v>2</v>
      </c>
      <c r="N1422" s="1">
        <f>WEEKNUM(orders[[#This Row],[Order Date]])</f>
        <v>9</v>
      </c>
      <c r="O1422" s="1" t="str" cm="1">
        <f t="array" ref="O1422">_xlfn.IFS(orders[[#This Row],[Customer Gender]]="M","Male", orders[[#This Row],[Customer Gender]]="F","Female", orders[[#This Row],[Customer Gender]]="O","Other", TRUE,"Unknown")</f>
        <v>Male</v>
      </c>
    </row>
    <row r="1423" spans="1:15">
      <c r="A1423" s="1" t="s">
        <v>1522</v>
      </c>
      <c r="B1423" s="1" t="s">
        <v>69</v>
      </c>
      <c r="C1423" s="1">
        <v>6</v>
      </c>
      <c r="D1423" s="1">
        <v>38.200000000000003</v>
      </c>
      <c r="E1423" s="11">
        <v>229.20000000000002</v>
      </c>
      <c r="F1423" s="3">
        <v>45711</v>
      </c>
      <c r="G1423" s="3">
        <v>45715</v>
      </c>
      <c r="H1423" s="1" t="s">
        <v>27</v>
      </c>
      <c r="I1423" s="1" t="s">
        <v>18</v>
      </c>
      <c r="J1423" s="1">
        <v>3</v>
      </c>
      <c r="K1423" s="1" t="s">
        <v>19</v>
      </c>
      <c r="L1423" s="1" t="s">
        <v>72</v>
      </c>
      <c r="M1423" s="1">
        <f>orders[[#This Row],[Ship Date]]-orders[[#This Row],[Order Date]]</f>
        <v>4</v>
      </c>
      <c r="N1423" s="1">
        <f>WEEKNUM(orders[[#This Row],[Order Date]])</f>
        <v>9</v>
      </c>
      <c r="O1423" s="1" t="str" cm="1">
        <f t="array" ref="O1423">_xlfn.IFS(orders[[#This Row],[Customer Gender]]="M","Male", orders[[#This Row],[Customer Gender]]="F","Female", orders[[#This Row],[Customer Gender]]="O","Other", TRUE,"Unknown")</f>
        <v>Female</v>
      </c>
    </row>
    <row r="1424" spans="1:15">
      <c r="A1424" s="1" t="s">
        <v>1523</v>
      </c>
      <c r="B1424" s="1" t="s">
        <v>44</v>
      </c>
      <c r="C1424" s="1">
        <v>12</v>
      </c>
      <c r="D1424" s="1">
        <v>17.600000000000001</v>
      </c>
      <c r="E1424" s="11">
        <v>211.20000000000002</v>
      </c>
      <c r="F1424" s="3">
        <v>45711</v>
      </c>
      <c r="G1424" s="3">
        <v>45712</v>
      </c>
      <c r="H1424" s="1" t="s">
        <v>27</v>
      </c>
      <c r="I1424" s="1" t="s">
        <v>40</v>
      </c>
      <c r="J1424" s="1">
        <v>3</v>
      </c>
      <c r="K1424" s="1" t="s">
        <v>19</v>
      </c>
      <c r="L1424" s="1" t="s">
        <v>72</v>
      </c>
      <c r="M1424" s="1">
        <f>orders[[#This Row],[Ship Date]]-orders[[#This Row],[Order Date]]</f>
        <v>1</v>
      </c>
      <c r="N1424" s="1">
        <f>WEEKNUM(orders[[#This Row],[Order Date]])</f>
        <v>9</v>
      </c>
      <c r="O1424" s="1" t="str" cm="1">
        <f t="array" ref="O1424">_xlfn.IFS(orders[[#This Row],[Customer Gender]]="M","Male", orders[[#This Row],[Customer Gender]]="F","Female", orders[[#This Row],[Customer Gender]]="O","Other", TRUE,"Unknown")</f>
        <v>Female</v>
      </c>
    </row>
    <row r="1425" spans="1:15">
      <c r="A1425" s="1" t="s">
        <v>1524</v>
      </c>
      <c r="B1425" s="1" t="s">
        <v>54</v>
      </c>
      <c r="C1425" s="1">
        <v>3</v>
      </c>
      <c r="D1425" s="1">
        <v>74.599999999999994</v>
      </c>
      <c r="E1425" s="11">
        <v>223.79999999999998</v>
      </c>
      <c r="F1425" s="3">
        <v>45711</v>
      </c>
      <c r="G1425" s="3">
        <v>45711</v>
      </c>
      <c r="H1425" s="1" t="s">
        <v>27</v>
      </c>
      <c r="I1425" s="1" t="s">
        <v>40</v>
      </c>
      <c r="J1425" s="1">
        <v>4</v>
      </c>
      <c r="K1425" s="1" t="s">
        <v>19</v>
      </c>
      <c r="L1425" s="1" t="s">
        <v>77</v>
      </c>
      <c r="M1425" s="1">
        <f>orders[[#This Row],[Ship Date]]-orders[[#This Row],[Order Date]]</f>
        <v>0</v>
      </c>
      <c r="N1425" s="1">
        <f>WEEKNUM(orders[[#This Row],[Order Date]])</f>
        <v>9</v>
      </c>
      <c r="O1425" s="1" t="str" cm="1">
        <f t="array" ref="O1425">_xlfn.IFS(orders[[#This Row],[Customer Gender]]="M","Male", orders[[#This Row],[Customer Gender]]="F","Female", orders[[#This Row],[Customer Gender]]="O","Other", TRUE,"Unknown")</f>
        <v>Female</v>
      </c>
    </row>
    <row r="1426" spans="1:15">
      <c r="A1426" s="1" t="s">
        <v>1525</v>
      </c>
      <c r="B1426" s="1" t="s">
        <v>128</v>
      </c>
      <c r="C1426" s="1">
        <v>15</v>
      </c>
      <c r="D1426" s="1">
        <v>72.599999999999994</v>
      </c>
      <c r="E1426" s="11">
        <v>1089</v>
      </c>
      <c r="F1426" s="3">
        <v>45711</v>
      </c>
      <c r="G1426" s="3">
        <v>45711</v>
      </c>
      <c r="H1426" s="1" t="s">
        <v>17</v>
      </c>
      <c r="I1426" s="1" t="s">
        <v>35</v>
      </c>
      <c r="J1426" s="1">
        <v>3</v>
      </c>
      <c r="K1426" s="1" t="s">
        <v>19</v>
      </c>
      <c r="L1426" s="1" t="s">
        <v>77</v>
      </c>
      <c r="M1426" s="1">
        <f>orders[[#This Row],[Ship Date]]-orders[[#This Row],[Order Date]]</f>
        <v>0</v>
      </c>
      <c r="N1426" s="1">
        <f>WEEKNUM(orders[[#This Row],[Order Date]])</f>
        <v>9</v>
      </c>
      <c r="O1426" s="1" t="str" cm="1">
        <f t="array" ref="O1426">_xlfn.IFS(orders[[#This Row],[Customer Gender]]="M","Male", orders[[#This Row],[Customer Gender]]="F","Female", orders[[#This Row],[Customer Gender]]="O","Other", TRUE,"Unknown")</f>
        <v>Unknown</v>
      </c>
    </row>
    <row r="1427" spans="1:15">
      <c r="A1427" s="1" t="s">
        <v>1526</v>
      </c>
      <c r="B1427" s="1" t="s">
        <v>42</v>
      </c>
      <c r="C1427" s="1">
        <v>1</v>
      </c>
      <c r="D1427" s="1">
        <v>62.3</v>
      </c>
      <c r="E1427" s="11">
        <v>62.3</v>
      </c>
      <c r="F1427" s="3">
        <v>45711</v>
      </c>
      <c r="G1427" s="3">
        <v>45712</v>
      </c>
      <c r="H1427" s="1" t="s">
        <v>27</v>
      </c>
      <c r="I1427" s="1" t="s">
        <v>35</v>
      </c>
      <c r="J1427" s="1">
        <v>4</v>
      </c>
      <c r="K1427" s="1" t="s">
        <v>19</v>
      </c>
      <c r="L1427" s="1" t="s">
        <v>77</v>
      </c>
      <c r="M1427" s="1">
        <f>orders[[#This Row],[Ship Date]]-orders[[#This Row],[Order Date]]</f>
        <v>1</v>
      </c>
      <c r="N1427" s="1">
        <f>WEEKNUM(orders[[#This Row],[Order Date]])</f>
        <v>9</v>
      </c>
      <c r="O1427" s="1" t="str" cm="1">
        <f t="array" ref="O1427">_xlfn.IFS(orders[[#This Row],[Customer Gender]]="M","Male", orders[[#This Row],[Customer Gender]]="F","Female", orders[[#This Row],[Customer Gender]]="O","Other", TRUE,"Unknown")</f>
        <v>Female</v>
      </c>
    </row>
    <row r="1428" spans="1:15">
      <c r="A1428" s="1" t="s">
        <v>1527</v>
      </c>
      <c r="B1428" s="1" t="s">
        <v>30</v>
      </c>
      <c r="C1428" s="1">
        <v>3</v>
      </c>
      <c r="D1428" s="1">
        <v>33.799999999999997</v>
      </c>
      <c r="E1428" s="11">
        <v>101.39999999999999</v>
      </c>
      <c r="F1428" s="3">
        <v>45711</v>
      </c>
      <c r="G1428" s="3">
        <v>45713</v>
      </c>
      <c r="H1428" s="1" t="s">
        <v>23</v>
      </c>
      <c r="I1428" s="1" t="s">
        <v>18</v>
      </c>
      <c r="J1428" s="1">
        <v>5</v>
      </c>
      <c r="K1428" s="1" t="s">
        <v>19</v>
      </c>
      <c r="L1428" s="1" t="s">
        <v>113</v>
      </c>
      <c r="M1428" s="1">
        <f>orders[[#This Row],[Ship Date]]-orders[[#This Row],[Order Date]]</f>
        <v>2</v>
      </c>
      <c r="N1428" s="1">
        <f>WEEKNUM(orders[[#This Row],[Order Date]])</f>
        <v>9</v>
      </c>
      <c r="O1428" s="1" t="str" cm="1">
        <f t="array" ref="O1428">_xlfn.IFS(orders[[#This Row],[Customer Gender]]="M","Male", orders[[#This Row],[Customer Gender]]="F","Female", orders[[#This Row],[Customer Gender]]="O","Other", TRUE,"Unknown")</f>
        <v>Male</v>
      </c>
    </row>
    <row r="1429" spans="1:15">
      <c r="A1429" s="1" t="s">
        <v>1528</v>
      </c>
      <c r="B1429" s="1" t="s">
        <v>46</v>
      </c>
      <c r="C1429" s="1">
        <v>1</v>
      </c>
      <c r="D1429" s="1">
        <v>85.7</v>
      </c>
      <c r="E1429" s="11">
        <v>85.7</v>
      </c>
      <c r="F1429" s="3">
        <v>45711</v>
      </c>
      <c r="G1429" s="3">
        <v>45714</v>
      </c>
      <c r="H1429" s="1" t="s">
        <v>23</v>
      </c>
      <c r="I1429" s="1" t="s">
        <v>51</v>
      </c>
      <c r="J1429" s="1">
        <v>3</v>
      </c>
      <c r="K1429" s="1" t="s">
        <v>19</v>
      </c>
      <c r="L1429" s="1" t="s">
        <v>115</v>
      </c>
      <c r="M1429" s="1">
        <f>orders[[#This Row],[Ship Date]]-orders[[#This Row],[Order Date]]</f>
        <v>3</v>
      </c>
      <c r="N1429" s="1">
        <f>WEEKNUM(orders[[#This Row],[Order Date]])</f>
        <v>9</v>
      </c>
      <c r="O1429" s="1" t="str" cm="1">
        <f t="array" ref="O1429">_xlfn.IFS(orders[[#This Row],[Customer Gender]]="M","Male", orders[[#This Row],[Customer Gender]]="F","Female", orders[[#This Row],[Customer Gender]]="O","Other", TRUE,"Unknown")</f>
        <v>Male</v>
      </c>
    </row>
    <row r="1430" spans="1:15">
      <c r="A1430" s="1" t="s">
        <v>1529</v>
      </c>
      <c r="B1430" s="1" t="s">
        <v>39</v>
      </c>
      <c r="C1430" s="1">
        <v>2</v>
      </c>
      <c r="D1430" s="1">
        <v>92.1</v>
      </c>
      <c r="E1430" s="11">
        <v>184.2</v>
      </c>
      <c r="F1430" s="3">
        <v>45711</v>
      </c>
      <c r="G1430" s="3">
        <v>45713</v>
      </c>
      <c r="H1430" s="1" t="s">
        <v>23</v>
      </c>
      <c r="I1430" s="1" t="s">
        <v>35</v>
      </c>
      <c r="J1430" s="1">
        <v>4</v>
      </c>
      <c r="K1430" s="1" t="s">
        <v>19</v>
      </c>
      <c r="L1430" s="1" t="s">
        <v>115</v>
      </c>
      <c r="M1430" s="1">
        <f>orders[[#This Row],[Ship Date]]-orders[[#This Row],[Order Date]]</f>
        <v>2</v>
      </c>
      <c r="N1430" s="1">
        <f>WEEKNUM(orders[[#This Row],[Order Date]])</f>
        <v>9</v>
      </c>
      <c r="O1430" s="1" t="str" cm="1">
        <f t="array" ref="O1430">_xlfn.IFS(orders[[#This Row],[Customer Gender]]="M","Male", orders[[#This Row],[Customer Gender]]="F","Female", orders[[#This Row],[Customer Gender]]="O","Other", TRUE,"Unknown")</f>
        <v>Male</v>
      </c>
    </row>
    <row r="1431" spans="1:15">
      <c r="A1431" s="1" t="s">
        <v>1530</v>
      </c>
      <c r="B1431" s="1" t="s">
        <v>128</v>
      </c>
      <c r="C1431" s="1">
        <v>3</v>
      </c>
      <c r="D1431" s="1">
        <v>65.099999999999994</v>
      </c>
      <c r="E1431" s="11">
        <v>195.29999999999998</v>
      </c>
      <c r="F1431" s="3">
        <v>45711</v>
      </c>
      <c r="G1431" s="3">
        <v>45714</v>
      </c>
      <c r="H1431" s="1" t="s">
        <v>23</v>
      </c>
      <c r="I1431" s="1" t="s">
        <v>18</v>
      </c>
      <c r="J1431" s="1">
        <v>4</v>
      </c>
      <c r="K1431" s="1" t="s">
        <v>19</v>
      </c>
      <c r="L1431" s="1" t="s">
        <v>24</v>
      </c>
      <c r="M1431" s="1">
        <f>orders[[#This Row],[Ship Date]]-orders[[#This Row],[Order Date]]</f>
        <v>3</v>
      </c>
      <c r="N1431" s="1">
        <f>WEEKNUM(orders[[#This Row],[Order Date]])</f>
        <v>9</v>
      </c>
      <c r="O1431" s="1" t="str" cm="1">
        <f t="array" ref="O1431">_xlfn.IFS(orders[[#This Row],[Customer Gender]]="M","Male", orders[[#This Row],[Customer Gender]]="F","Female", orders[[#This Row],[Customer Gender]]="O","Other", TRUE,"Unknown")</f>
        <v>Male</v>
      </c>
    </row>
    <row r="1432" spans="1:15">
      <c r="A1432" s="1" t="s">
        <v>1531</v>
      </c>
      <c r="B1432" s="1" t="s">
        <v>46</v>
      </c>
      <c r="C1432" s="1">
        <v>7</v>
      </c>
      <c r="D1432" s="1">
        <v>20.3</v>
      </c>
      <c r="E1432" s="11">
        <v>142.1</v>
      </c>
      <c r="F1432" s="3">
        <v>45711</v>
      </c>
      <c r="G1432" s="3">
        <v>45712</v>
      </c>
      <c r="H1432" s="1" t="s">
        <v>27</v>
      </c>
      <c r="I1432" s="1" t="s">
        <v>40</v>
      </c>
      <c r="J1432" s="1">
        <v>5</v>
      </c>
      <c r="K1432" s="1" t="s">
        <v>19</v>
      </c>
      <c r="L1432" s="1" t="s">
        <v>28</v>
      </c>
      <c r="M1432" s="1">
        <f>orders[[#This Row],[Ship Date]]-orders[[#This Row],[Order Date]]</f>
        <v>1</v>
      </c>
      <c r="N1432" s="1">
        <f>WEEKNUM(orders[[#This Row],[Order Date]])</f>
        <v>9</v>
      </c>
      <c r="O1432" s="1" t="str" cm="1">
        <f t="array" ref="O1432">_xlfn.IFS(orders[[#This Row],[Customer Gender]]="M","Male", orders[[#This Row],[Customer Gender]]="F","Female", orders[[#This Row],[Customer Gender]]="O","Other", TRUE,"Unknown")</f>
        <v>Female</v>
      </c>
    </row>
    <row r="1433" spans="1:15">
      <c r="A1433" s="1" t="s">
        <v>1532</v>
      </c>
      <c r="B1433" s="1" t="s">
        <v>171</v>
      </c>
      <c r="C1433" s="1">
        <v>2</v>
      </c>
      <c r="D1433" s="1">
        <v>29.8</v>
      </c>
      <c r="E1433" s="11">
        <v>59.6</v>
      </c>
      <c r="F1433" s="3">
        <v>45711</v>
      </c>
      <c r="G1433" s="3">
        <v>45713</v>
      </c>
      <c r="H1433" s="1" t="s">
        <v>27</v>
      </c>
      <c r="I1433" s="1" t="s">
        <v>35</v>
      </c>
      <c r="J1433" s="1">
        <v>5</v>
      </c>
      <c r="K1433" s="1" t="s">
        <v>19</v>
      </c>
      <c r="L1433" s="1" t="s">
        <v>334</v>
      </c>
      <c r="M1433" s="1">
        <f>orders[[#This Row],[Ship Date]]-orders[[#This Row],[Order Date]]</f>
        <v>2</v>
      </c>
      <c r="N1433" s="1">
        <f>WEEKNUM(orders[[#This Row],[Order Date]])</f>
        <v>9</v>
      </c>
      <c r="O1433" s="1" t="str" cm="1">
        <f t="array" ref="O1433">_xlfn.IFS(orders[[#This Row],[Customer Gender]]="M","Male", orders[[#This Row],[Customer Gender]]="F","Female", orders[[#This Row],[Customer Gender]]="O","Other", TRUE,"Unknown")</f>
        <v>Female</v>
      </c>
    </row>
    <row r="1434" spans="1:15">
      <c r="A1434" s="1" t="s">
        <v>1533</v>
      </c>
      <c r="B1434" s="1" t="s">
        <v>16</v>
      </c>
      <c r="C1434" s="1">
        <v>2</v>
      </c>
      <c r="D1434" s="1">
        <v>24.2</v>
      </c>
      <c r="E1434" s="11">
        <v>48.4</v>
      </c>
      <c r="F1434" s="3">
        <v>45711</v>
      </c>
      <c r="G1434" s="3">
        <v>45713</v>
      </c>
      <c r="H1434" s="1" t="s">
        <v>27</v>
      </c>
      <c r="I1434" s="1" t="s">
        <v>51</v>
      </c>
      <c r="J1434" s="1">
        <v>5</v>
      </c>
      <c r="K1434" s="1" t="s">
        <v>19</v>
      </c>
      <c r="L1434" s="1" t="s">
        <v>33</v>
      </c>
      <c r="M1434" s="1">
        <f>orders[[#This Row],[Ship Date]]-orders[[#This Row],[Order Date]]</f>
        <v>2</v>
      </c>
      <c r="N1434" s="1">
        <f>WEEKNUM(orders[[#This Row],[Order Date]])</f>
        <v>9</v>
      </c>
      <c r="O1434" s="1" t="str" cm="1">
        <f t="array" ref="O1434">_xlfn.IFS(orders[[#This Row],[Customer Gender]]="M","Male", orders[[#This Row],[Customer Gender]]="F","Female", orders[[#This Row],[Customer Gender]]="O","Other", TRUE,"Unknown")</f>
        <v>Female</v>
      </c>
    </row>
    <row r="1435" spans="1:15">
      <c r="A1435" s="1" t="s">
        <v>1534</v>
      </c>
      <c r="B1435" s="1" t="s">
        <v>30</v>
      </c>
      <c r="C1435" s="1">
        <v>1</v>
      </c>
      <c r="D1435" s="1">
        <v>57.3</v>
      </c>
      <c r="E1435" s="11">
        <v>57.3</v>
      </c>
      <c r="F1435" s="3">
        <v>45711</v>
      </c>
      <c r="G1435" s="3">
        <v>45713</v>
      </c>
      <c r="H1435" s="1" t="s">
        <v>23</v>
      </c>
      <c r="I1435" s="1" t="s">
        <v>18</v>
      </c>
      <c r="J1435" s="1">
        <v>4</v>
      </c>
      <c r="K1435" s="1" t="s">
        <v>19</v>
      </c>
      <c r="L1435" s="1" t="s">
        <v>33</v>
      </c>
      <c r="M1435" s="1">
        <f>orders[[#This Row],[Ship Date]]-orders[[#This Row],[Order Date]]</f>
        <v>2</v>
      </c>
      <c r="N1435" s="1">
        <f>WEEKNUM(orders[[#This Row],[Order Date]])</f>
        <v>9</v>
      </c>
      <c r="O1435" s="1" t="str" cm="1">
        <f t="array" ref="O1435">_xlfn.IFS(orders[[#This Row],[Customer Gender]]="M","Male", orders[[#This Row],[Customer Gender]]="F","Female", orders[[#This Row],[Customer Gender]]="O","Other", TRUE,"Unknown")</f>
        <v>Male</v>
      </c>
    </row>
    <row r="1436" spans="1:15">
      <c r="A1436" s="1" t="s">
        <v>1535</v>
      </c>
      <c r="B1436" s="1" t="s">
        <v>26</v>
      </c>
      <c r="C1436" s="1">
        <v>1</v>
      </c>
      <c r="D1436" s="1">
        <v>108.9</v>
      </c>
      <c r="E1436" s="11">
        <v>108.9</v>
      </c>
      <c r="F1436" s="3">
        <v>45711</v>
      </c>
      <c r="G1436" s="3">
        <v>45713</v>
      </c>
      <c r="H1436" s="1" t="s">
        <v>27</v>
      </c>
      <c r="I1436" s="1" t="s">
        <v>35</v>
      </c>
      <c r="J1436" s="1">
        <v>4</v>
      </c>
      <c r="K1436" s="1" t="s">
        <v>19</v>
      </c>
      <c r="L1436" s="1" t="s">
        <v>33</v>
      </c>
      <c r="M1436" s="1">
        <f>orders[[#This Row],[Ship Date]]-orders[[#This Row],[Order Date]]</f>
        <v>2</v>
      </c>
      <c r="N1436" s="1">
        <f>WEEKNUM(orders[[#This Row],[Order Date]])</f>
        <v>9</v>
      </c>
      <c r="O1436" s="1" t="str" cm="1">
        <f t="array" ref="O1436">_xlfn.IFS(orders[[#This Row],[Customer Gender]]="M","Male", orders[[#This Row],[Customer Gender]]="F","Female", orders[[#This Row],[Customer Gender]]="O","Other", TRUE,"Unknown")</f>
        <v>Female</v>
      </c>
    </row>
    <row r="1437" spans="1:15">
      <c r="A1437" s="1" t="s">
        <v>1536</v>
      </c>
      <c r="B1437" s="1" t="s">
        <v>42</v>
      </c>
      <c r="C1437" s="1">
        <v>5</v>
      </c>
      <c r="D1437" s="1">
        <v>50.7</v>
      </c>
      <c r="E1437" s="11">
        <v>253.5</v>
      </c>
      <c r="F1437" s="3">
        <v>45711</v>
      </c>
      <c r="G1437" s="3">
        <v>45712</v>
      </c>
      <c r="H1437" s="1" t="s">
        <v>27</v>
      </c>
      <c r="I1437" s="1" t="s">
        <v>18</v>
      </c>
      <c r="J1437" s="1">
        <v>4</v>
      </c>
      <c r="K1437" s="1" t="s">
        <v>19</v>
      </c>
      <c r="L1437" s="1" t="s">
        <v>33</v>
      </c>
      <c r="M1437" s="1">
        <f>orders[[#This Row],[Ship Date]]-orders[[#This Row],[Order Date]]</f>
        <v>1</v>
      </c>
      <c r="N1437" s="1">
        <f>WEEKNUM(orders[[#This Row],[Order Date]])</f>
        <v>9</v>
      </c>
      <c r="O1437" s="1" t="str" cm="1">
        <f t="array" ref="O1437">_xlfn.IFS(orders[[#This Row],[Customer Gender]]="M","Male", orders[[#This Row],[Customer Gender]]="F","Female", orders[[#This Row],[Customer Gender]]="O","Other", TRUE,"Unknown")</f>
        <v>Female</v>
      </c>
    </row>
    <row r="1438" spans="1:15">
      <c r="A1438" s="1" t="s">
        <v>1537</v>
      </c>
      <c r="B1438" s="1" t="s">
        <v>42</v>
      </c>
      <c r="C1438" s="1">
        <v>9</v>
      </c>
      <c r="D1438" s="1">
        <v>66.099999999999994</v>
      </c>
      <c r="E1438" s="11">
        <v>594.9</v>
      </c>
      <c r="F1438" s="3">
        <v>45711</v>
      </c>
      <c r="G1438" s="3">
        <v>45725</v>
      </c>
      <c r="H1438" s="1" t="s">
        <v>27</v>
      </c>
      <c r="I1438" s="1" t="s">
        <v>35</v>
      </c>
      <c r="J1438" s="1">
        <v>4</v>
      </c>
      <c r="K1438" s="1" t="s">
        <v>19</v>
      </c>
      <c r="L1438" s="1" t="s">
        <v>33</v>
      </c>
      <c r="M1438" s="1">
        <f>orders[[#This Row],[Ship Date]]-orders[[#This Row],[Order Date]]</f>
        <v>14</v>
      </c>
      <c r="N1438" s="1">
        <f>WEEKNUM(orders[[#This Row],[Order Date]])</f>
        <v>9</v>
      </c>
      <c r="O1438" s="1" t="str" cm="1">
        <f t="array" ref="O1438">_xlfn.IFS(orders[[#This Row],[Customer Gender]]="M","Male", orders[[#This Row],[Customer Gender]]="F","Female", orders[[#This Row],[Customer Gender]]="O","Other", TRUE,"Unknown")</f>
        <v>Female</v>
      </c>
    </row>
    <row r="1439" spans="1:15">
      <c r="A1439" s="1" t="s">
        <v>1538</v>
      </c>
      <c r="B1439" s="1" t="s">
        <v>69</v>
      </c>
      <c r="C1439" s="1">
        <v>5</v>
      </c>
      <c r="D1439" s="1">
        <v>36.700000000000003</v>
      </c>
      <c r="E1439" s="11">
        <v>183.5</v>
      </c>
      <c r="F1439" s="3">
        <v>45711</v>
      </c>
      <c r="G1439" s="3">
        <v>45715</v>
      </c>
      <c r="H1439" s="1" t="s">
        <v>27</v>
      </c>
      <c r="I1439" s="1" t="s">
        <v>70</v>
      </c>
      <c r="J1439" s="1">
        <v>4</v>
      </c>
      <c r="K1439" s="1" t="s">
        <v>19</v>
      </c>
      <c r="L1439" s="1" t="s">
        <v>33</v>
      </c>
      <c r="M1439" s="1">
        <f>orders[[#This Row],[Ship Date]]-orders[[#This Row],[Order Date]]</f>
        <v>4</v>
      </c>
      <c r="N1439" s="1">
        <f>WEEKNUM(orders[[#This Row],[Order Date]])</f>
        <v>9</v>
      </c>
      <c r="O1439" s="1" t="str" cm="1">
        <f t="array" ref="O1439">_xlfn.IFS(orders[[#This Row],[Customer Gender]]="M","Male", orders[[#This Row],[Customer Gender]]="F","Female", orders[[#This Row],[Customer Gender]]="O","Other", TRUE,"Unknown")</f>
        <v>Female</v>
      </c>
    </row>
    <row r="1440" spans="1:15">
      <c r="A1440" s="1" t="s">
        <v>1539</v>
      </c>
      <c r="B1440" s="1" t="s">
        <v>44</v>
      </c>
      <c r="C1440" s="1">
        <v>17</v>
      </c>
      <c r="D1440" s="1">
        <v>19.3</v>
      </c>
      <c r="E1440" s="11">
        <v>328.1</v>
      </c>
      <c r="F1440" s="3">
        <v>45711</v>
      </c>
      <c r="G1440" s="3">
        <v>45713</v>
      </c>
      <c r="H1440" s="1" t="s">
        <v>23</v>
      </c>
      <c r="I1440" s="1" t="s">
        <v>18</v>
      </c>
      <c r="J1440" s="1">
        <v>4</v>
      </c>
      <c r="K1440" s="1" t="s">
        <v>19</v>
      </c>
      <c r="L1440" s="1" t="s">
        <v>545</v>
      </c>
      <c r="M1440" s="1">
        <f>orders[[#This Row],[Ship Date]]-orders[[#This Row],[Order Date]]</f>
        <v>2</v>
      </c>
      <c r="N1440" s="1">
        <f>WEEKNUM(orders[[#This Row],[Order Date]])</f>
        <v>9</v>
      </c>
      <c r="O1440" s="1" t="str" cm="1">
        <f t="array" ref="O1440">_xlfn.IFS(orders[[#This Row],[Customer Gender]]="M","Male", orders[[#This Row],[Customer Gender]]="F","Female", orders[[#This Row],[Customer Gender]]="O","Other", TRUE,"Unknown")</f>
        <v>Male</v>
      </c>
    </row>
    <row r="1441" spans="1:15">
      <c r="A1441" s="1" t="s">
        <v>1540</v>
      </c>
      <c r="B1441" s="1" t="s">
        <v>44</v>
      </c>
      <c r="C1441" s="1">
        <v>4</v>
      </c>
      <c r="D1441" s="1">
        <v>20.7</v>
      </c>
      <c r="E1441" s="11">
        <v>82.8</v>
      </c>
      <c r="F1441" s="3">
        <v>45711</v>
      </c>
      <c r="G1441" s="3">
        <v>45712</v>
      </c>
      <c r="H1441" s="1" t="s">
        <v>23</v>
      </c>
      <c r="I1441" s="1" t="s">
        <v>35</v>
      </c>
      <c r="J1441" s="1">
        <v>5</v>
      </c>
      <c r="K1441" s="1" t="s">
        <v>19</v>
      </c>
      <c r="L1441" s="1" t="s">
        <v>55</v>
      </c>
      <c r="M1441" s="1">
        <f>orders[[#This Row],[Ship Date]]-orders[[#This Row],[Order Date]]</f>
        <v>1</v>
      </c>
      <c r="N1441" s="1">
        <f>WEEKNUM(orders[[#This Row],[Order Date]])</f>
        <v>9</v>
      </c>
      <c r="O1441" s="1" t="str" cm="1">
        <f t="array" ref="O1441">_xlfn.IFS(orders[[#This Row],[Customer Gender]]="M","Male", orders[[#This Row],[Customer Gender]]="F","Female", orders[[#This Row],[Customer Gender]]="O","Other", TRUE,"Unknown")</f>
        <v>Male</v>
      </c>
    </row>
    <row r="1442" spans="1:15">
      <c r="A1442" s="1" t="s">
        <v>1541</v>
      </c>
      <c r="B1442" s="1" t="s">
        <v>37</v>
      </c>
      <c r="C1442" s="1">
        <v>3</v>
      </c>
      <c r="D1442" s="1">
        <v>54.7</v>
      </c>
      <c r="E1442" s="11">
        <v>164.10000000000002</v>
      </c>
      <c r="F1442" s="3">
        <v>45711</v>
      </c>
      <c r="G1442" s="3">
        <v>45711</v>
      </c>
      <c r="H1442" s="1" t="s">
        <v>89</v>
      </c>
      <c r="I1442" s="1" t="s">
        <v>35</v>
      </c>
      <c r="J1442" s="1">
        <v>2</v>
      </c>
      <c r="K1442" s="1" t="s">
        <v>19</v>
      </c>
      <c r="L1442" s="1" t="s">
        <v>55</v>
      </c>
      <c r="M1442" s="1">
        <f>orders[[#This Row],[Ship Date]]-orders[[#This Row],[Order Date]]</f>
        <v>0</v>
      </c>
      <c r="N1442" s="1">
        <f>WEEKNUM(orders[[#This Row],[Order Date]])</f>
        <v>9</v>
      </c>
      <c r="O1442" s="1" t="str" cm="1">
        <f t="array" ref="O1442">_xlfn.IFS(orders[[#This Row],[Customer Gender]]="M","Male", orders[[#This Row],[Customer Gender]]="F","Female", orders[[#This Row],[Customer Gender]]="O","Other", TRUE,"Unknown")</f>
        <v>Other</v>
      </c>
    </row>
    <row r="1443" spans="1:15">
      <c r="A1443" s="1" t="s">
        <v>1542</v>
      </c>
      <c r="B1443" s="1" t="s">
        <v>32</v>
      </c>
      <c r="C1443" s="1">
        <v>2</v>
      </c>
      <c r="D1443" s="1">
        <v>19.8</v>
      </c>
      <c r="E1443" s="11">
        <v>39.6</v>
      </c>
      <c r="F1443" s="3">
        <v>45711</v>
      </c>
      <c r="G1443" s="3">
        <v>45715</v>
      </c>
      <c r="H1443" s="1" t="s">
        <v>27</v>
      </c>
      <c r="I1443" s="1" t="s">
        <v>70</v>
      </c>
      <c r="J1443" s="1">
        <v>3</v>
      </c>
      <c r="K1443" s="1" t="s">
        <v>19</v>
      </c>
      <c r="L1443" s="1" t="s">
        <v>62</v>
      </c>
      <c r="M1443" s="1">
        <f>orders[[#This Row],[Ship Date]]-orders[[#This Row],[Order Date]]</f>
        <v>4</v>
      </c>
      <c r="N1443" s="1">
        <f>WEEKNUM(orders[[#This Row],[Order Date]])</f>
        <v>9</v>
      </c>
      <c r="O1443" s="1" t="str" cm="1">
        <f t="array" ref="O1443">_xlfn.IFS(orders[[#This Row],[Customer Gender]]="M","Male", orders[[#This Row],[Customer Gender]]="F","Female", orders[[#This Row],[Customer Gender]]="O","Other", TRUE,"Unknown")</f>
        <v>Female</v>
      </c>
    </row>
    <row r="1444" spans="1:15">
      <c r="A1444" s="1" t="s">
        <v>1543</v>
      </c>
      <c r="B1444" s="1" t="s">
        <v>42</v>
      </c>
      <c r="C1444" s="1">
        <v>1</v>
      </c>
      <c r="D1444" s="1">
        <v>41.1</v>
      </c>
      <c r="E1444" s="11">
        <v>41.1</v>
      </c>
      <c r="F1444" s="3">
        <v>45711</v>
      </c>
      <c r="G1444" s="3">
        <v>45713</v>
      </c>
      <c r="H1444" s="1" t="s">
        <v>27</v>
      </c>
      <c r="I1444" s="1" t="s">
        <v>18</v>
      </c>
      <c r="J1444" s="1">
        <v>5</v>
      </c>
      <c r="K1444" s="1" t="s">
        <v>19</v>
      </c>
      <c r="L1444" s="1" t="s">
        <v>62</v>
      </c>
      <c r="M1444" s="1">
        <f>orders[[#This Row],[Ship Date]]-orders[[#This Row],[Order Date]]</f>
        <v>2</v>
      </c>
      <c r="N1444" s="1">
        <f>WEEKNUM(orders[[#This Row],[Order Date]])</f>
        <v>9</v>
      </c>
      <c r="O1444" s="1" t="str" cm="1">
        <f t="array" ref="O1444">_xlfn.IFS(orders[[#This Row],[Customer Gender]]="M","Male", orders[[#This Row],[Customer Gender]]="F","Female", orders[[#This Row],[Customer Gender]]="O","Other", TRUE,"Unknown")</f>
        <v>Female</v>
      </c>
    </row>
    <row r="1445" spans="1:15">
      <c r="A1445" s="1" t="s">
        <v>1544</v>
      </c>
      <c r="B1445" s="1" t="s">
        <v>67</v>
      </c>
      <c r="C1445" s="1">
        <v>8</v>
      </c>
      <c r="D1445" s="1">
        <v>43.5</v>
      </c>
      <c r="E1445" s="11">
        <v>348</v>
      </c>
      <c r="F1445" s="3">
        <v>45711</v>
      </c>
      <c r="G1445" s="3">
        <v>45715</v>
      </c>
      <c r="H1445" s="1" t="s">
        <v>27</v>
      </c>
      <c r="I1445" s="1" t="s">
        <v>51</v>
      </c>
      <c r="J1445" s="1">
        <v>4</v>
      </c>
      <c r="K1445" s="1" t="s">
        <v>19</v>
      </c>
      <c r="L1445" s="1" t="s">
        <v>62</v>
      </c>
      <c r="M1445" s="1">
        <f>orders[[#This Row],[Ship Date]]-orders[[#This Row],[Order Date]]</f>
        <v>4</v>
      </c>
      <c r="N1445" s="1">
        <f>WEEKNUM(orders[[#This Row],[Order Date]])</f>
        <v>9</v>
      </c>
      <c r="O1445" s="1" t="str" cm="1">
        <f t="array" ref="O1445">_xlfn.IFS(orders[[#This Row],[Customer Gender]]="M","Male", orders[[#This Row],[Customer Gender]]="F","Female", orders[[#This Row],[Customer Gender]]="O","Other", TRUE,"Unknown")</f>
        <v>Female</v>
      </c>
    </row>
    <row r="1446" spans="1:15">
      <c r="A1446" s="1" t="s">
        <v>1545</v>
      </c>
      <c r="B1446" s="1" t="s">
        <v>44</v>
      </c>
      <c r="C1446" s="1">
        <v>14</v>
      </c>
      <c r="D1446" s="1">
        <v>19</v>
      </c>
      <c r="E1446" s="11">
        <v>266</v>
      </c>
      <c r="F1446" s="3">
        <v>45711</v>
      </c>
      <c r="G1446" s="3">
        <v>45712</v>
      </c>
      <c r="H1446" s="1" t="s">
        <v>23</v>
      </c>
      <c r="I1446" s="1" t="s">
        <v>18</v>
      </c>
      <c r="J1446" s="1">
        <v>4</v>
      </c>
      <c r="K1446" s="1" t="s">
        <v>19</v>
      </c>
      <c r="L1446" s="1" t="s">
        <v>201</v>
      </c>
      <c r="M1446" s="1">
        <f>orders[[#This Row],[Ship Date]]-orders[[#This Row],[Order Date]]</f>
        <v>1</v>
      </c>
      <c r="N1446" s="1">
        <f>WEEKNUM(orders[[#This Row],[Order Date]])</f>
        <v>9</v>
      </c>
      <c r="O1446" s="1" t="str" cm="1">
        <f t="array" ref="O1446">_xlfn.IFS(orders[[#This Row],[Customer Gender]]="M","Male", orders[[#This Row],[Customer Gender]]="F","Female", orders[[#This Row],[Customer Gender]]="O","Other", TRUE,"Unknown")</f>
        <v>Male</v>
      </c>
    </row>
    <row r="1447" spans="1:15">
      <c r="A1447" s="1" t="s">
        <v>1546</v>
      </c>
      <c r="B1447" s="1" t="s">
        <v>26</v>
      </c>
      <c r="C1447" s="1">
        <v>4</v>
      </c>
      <c r="D1447" s="1">
        <v>51.4</v>
      </c>
      <c r="E1447" s="11">
        <v>205.6</v>
      </c>
      <c r="F1447" s="3">
        <v>45711</v>
      </c>
      <c r="G1447" s="3">
        <v>45711</v>
      </c>
      <c r="H1447" s="1" t="s">
        <v>27</v>
      </c>
      <c r="I1447" s="1" t="s">
        <v>18</v>
      </c>
      <c r="J1447" s="1">
        <v>4</v>
      </c>
      <c r="K1447" s="1" t="s">
        <v>19</v>
      </c>
      <c r="L1447" s="1" t="s">
        <v>201</v>
      </c>
      <c r="M1447" s="1">
        <f>orders[[#This Row],[Ship Date]]-orders[[#This Row],[Order Date]]</f>
        <v>0</v>
      </c>
      <c r="N1447" s="1">
        <f>WEEKNUM(orders[[#This Row],[Order Date]])</f>
        <v>9</v>
      </c>
      <c r="O1447" s="1" t="str" cm="1">
        <f t="array" ref="O1447">_xlfn.IFS(orders[[#This Row],[Customer Gender]]="M","Male", orders[[#This Row],[Customer Gender]]="F","Female", orders[[#This Row],[Customer Gender]]="O","Other", TRUE,"Unknown")</f>
        <v>Female</v>
      </c>
    </row>
    <row r="1448" spans="1:15">
      <c r="A1448" s="1" t="s">
        <v>1547</v>
      </c>
      <c r="B1448" s="1" t="s">
        <v>54</v>
      </c>
      <c r="C1448" s="1">
        <v>2</v>
      </c>
      <c r="D1448" s="1">
        <v>39.799999999999997</v>
      </c>
      <c r="E1448" s="11">
        <v>79.599999999999994</v>
      </c>
      <c r="F1448" s="3">
        <v>45711</v>
      </c>
      <c r="G1448" s="3">
        <v>45714</v>
      </c>
      <c r="H1448" s="1" t="s">
        <v>23</v>
      </c>
      <c r="I1448" s="1" t="s">
        <v>51</v>
      </c>
      <c r="J1448" s="1">
        <v>3</v>
      </c>
      <c r="K1448" s="1" t="s">
        <v>19</v>
      </c>
      <c r="L1448" s="1" t="s">
        <v>82</v>
      </c>
      <c r="M1448" s="1">
        <f>orders[[#This Row],[Ship Date]]-orders[[#This Row],[Order Date]]</f>
        <v>3</v>
      </c>
      <c r="N1448" s="1">
        <f>WEEKNUM(orders[[#This Row],[Order Date]])</f>
        <v>9</v>
      </c>
      <c r="O1448" s="1" t="str" cm="1">
        <f t="array" ref="O1448">_xlfn.IFS(orders[[#This Row],[Customer Gender]]="M","Male", orders[[#This Row],[Customer Gender]]="F","Female", orders[[#This Row],[Customer Gender]]="O","Other", TRUE,"Unknown")</f>
        <v>Male</v>
      </c>
    </row>
    <row r="1449" spans="1:15">
      <c r="A1449" s="1" t="s">
        <v>1548</v>
      </c>
      <c r="B1449" s="1" t="s">
        <v>39</v>
      </c>
      <c r="C1449" s="1">
        <v>5</v>
      </c>
      <c r="D1449" s="1">
        <v>61</v>
      </c>
      <c r="E1449" s="11">
        <v>305</v>
      </c>
      <c r="F1449" s="3">
        <v>45711</v>
      </c>
      <c r="G1449" s="3">
        <v>45712</v>
      </c>
      <c r="H1449" s="1" t="s">
        <v>17</v>
      </c>
      <c r="I1449" s="1" t="s">
        <v>18</v>
      </c>
      <c r="J1449" s="1">
        <v>5</v>
      </c>
      <c r="K1449" s="1" t="s">
        <v>19</v>
      </c>
      <c r="L1449" s="1" t="s">
        <v>115</v>
      </c>
      <c r="M1449" s="1">
        <f>orders[[#This Row],[Ship Date]]-orders[[#This Row],[Order Date]]</f>
        <v>1</v>
      </c>
      <c r="N1449" s="1">
        <f>WEEKNUM(orders[[#This Row],[Order Date]])</f>
        <v>9</v>
      </c>
      <c r="O1449" s="1" t="str" cm="1">
        <f t="array" ref="O1449">_xlfn.IFS(orders[[#This Row],[Customer Gender]]="M","Male", orders[[#This Row],[Customer Gender]]="F","Female", orders[[#This Row],[Customer Gender]]="O","Other", TRUE,"Unknown")</f>
        <v>Unknown</v>
      </c>
    </row>
    <row r="1450" spans="1:15">
      <c r="A1450" s="1" t="s">
        <v>1549</v>
      </c>
      <c r="B1450" s="1" t="s">
        <v>44</v>
      </c>
      <c r="C1450" s="1">
        <v>11</v>
      </c>
      <c r="D1450" s="1">
        <v>15.1</v>
      </c>
      <c r="E1450" s="11">
        <v>166.1</v>
      </c>
      <c r="F1450" s="3">
        <v>45712</v>
      </c>
      <c r="G1450" s="3">
        <v>45717</v>
      </c>
      <c r="H1450" s="1" t="s">
        <v>23</v>
      </c>
      <c r="I1450" s="1" t="s">
        <v>51</v>
      </c>
      <c r="J1450" s="1">
        <v>5</v>
      </c>
      <c r="K1450" s="1" t="s">
        <v>19</v>
      </c>
      <c r="L1450" s="1" t="s">
        <v>28</v>
      </c>
      <c r="M1450" s="1">
        <f>orders[[#This Row],[Ship Date]]-orders[[#This Row],[Order Date]]</f>
        <v>5</v>
      </c>
      <c r="N1450" s="1">
        <f>WEEKNUM(orders[[#This Row],[Order Date]])</f>
        <v>9</v>
      </c>
      <c r="O1450" s="1" t="str" cm="1">
        <f t="array" ref="O1450">_xlfn.IFS(orders[[#This Row],[Customer Gender]]="M","Male", orders[[#This Row],[Customer Gender]]="F","Female", orders[[#This Row],[Customer Gender]]="O","Other", TRUE,"Unknown")</f>
        <v>Male</v>
      </c>
    </row>
    <row r="1451" spans="1:15">
      <c r="A1451" s="1" t="s">
        <v>1550</v>
      </c>
      <c r="B1451" s="1" t="s">
        <v>22</v>
      </c>
      <c r="C1451" s="1">
        <v>7</v>
      </c>
      <c r="D1451" s="1">
        <v>71.3</v>
      </c>
      <c r="E1451" s="11">
        <v>499.09999999999997</v>
      </c>
      <c r="F1451" s="3">
        <v>45712</v>
      </c>
      <c r="G1451" s="3">
        <v>45713</v>
      </c>
      <c r="H1451" s="1" t="s">
        <v>23</v>
      </c>
      <c r="I1451" s="1" t="s">
        <v>70</v>
      </c>
      <c r="J1451" s="1">
        <v>4</v>
      </c>
      <c r="K1451" s="1" t="s">
        <v>19</v>
      </c>
      <c r="L1451" s="1" t="s">
        <v>33</v>
      </c>
      <c r="M1451" s="1">
        <f>orders[[#This Row],[Ship Date]]-orders[[#This Row],[Order Date]]</f>
        <v>1</v>
      </c>
      <c r="N1451" s="1">
        <f>WEEKNUM(orders[[#This Row],[Order Date]])</f>
        <v>9</v>
      </c>
      <c r="O1451" s="1" t="str" cm="1">
        <f t="array" ref="O1451">_xlfn.IFS(orders[[#This Row],[Customer Gender]]="M","Male", orders[[#This Row],[Customer Gender]]="F","Female", orders[[#This Row],[Customer Gender]]="O","Other", TRUE,"Unknown")</f>
        <v>Male</v>
      </c>
    </row>
    <row r="1452" spans="1:15">
      <c r="A1452" s="1" t="s">
        <v>1551</v>
      </c>
      <c r="B1452" s="1" t="s">
        <v>54</v>
      </c>
      <c r="C1452" s="1">
        <v>1</v>
      </c>
      <c r="D1452" s="1">
        <v>25.8</v>
      </c>
      <c r="E1452" s="11">
        <v>25.8</v>
      </c>
      <c r="F1452" s="3">
        <v>45712</v>
      </c>
      <c r="G1452" s="3">
        <v>45714</v>
      </c>
      <c r="H1452" s="1" t="s">
        <v>27</v>
      </c>
      <c r="I1452" s="1" t="s">
        <v>18</v>
      </c>
      <c r="J1452" s="1">
        <v>5</v>
      </c>
      <c r="K1452" s="1" t="s">
        <v>19</v>
      </c>
      <c r="L1452" s="1" t="s">
        <v>33</v>
      </c>
      <c r="M1452" s="1">
        <f>orders[[#This Row],[Ship Date]]-orders[[#This Row],[Order Date]]</f>
        <v>2</v>
      </c>
      <c r="N1452" s="1">
        <f>WEEKNUM(orders[[#This Row],[Order Date]])</f>
        <v>9</v>
      </c>
      <c r="O1452" s="1" t="str" cm="1">
        <f t="array" ref="O1452">_xlfn.IFS(orders[[#This Row],[Customer Gender]]="M","Male", orders[[#This Row],[Customer Gender]]="F","Female", orders[[#This Row],[Customer Gender]]="O","Other", TRUE,"Unknown")</f>
        <v>Female</v>
      </c>
    </row>
    <row r="1453" spans="1:15">
      <c r="A1453" s="1" t="s">
        <v>1552</v>
      </c>
      <c r="B1453" s="1" t="s">
        <v>44</v>
      </c>
      <c r="C1453" s="1">
        <v>5</v>
      </c>
      <c r="D1453" s="1">
        <v>39.6</v>
      </c>
      <c r="E1453" s="11">
        <v>198</v>
      </c>
      <c r="F1453" s="3">
        <v>45712</v>
      </c>
      <c r="G1453" s="3">
        <v>45714</v>
      </c>
      <c r="H1453" s="1" t="s">
        <v>23</v>
      </c>
      <c r="I1453" s="1" t="s">
        <v>35</v>
      </c>
      <c r="J1453" s="1">
        <v>5</v>
      </c>
      <c r="K1453" s="1" t="s">
        <v>19</v>
      </c>
      <c r="L1453" s="1" t="s">
        <v>33</v>
      </c>
      <c r="M1453" s="1">
        <f>orders[[#This Row],[Ship Date]]-orders[[#This Row],[Order Date]]</f>
        <v>2</v>
      </c>
      <c r="N1453" s="1">
        <f>WEEKNUM(orders[[#This Row],[Order Date]])</f>
        <v>9</v>
      </c>
      <c r="O1453" s="1" t="str" cm="1">
        <f t="array" ref="O1453">_xlfn.IFS(orders[[#This Row],[Customer Gender]]="M","Male", orders[[#This Row],[Customer Gender]]="F","Female", orders[[#This Row],[Customer Gender]]="O","Other", TRUE,"Unknown")</f>
        <v>Male</v>
      </c>
    </row>
    <row r="1454" spans="1:15">
      <c r="A1454" s="1" t="s">
        <v>1553</v>
      </c>
      <c r="B1454" s="1" t="s">
        <v>37</v>
      </c>
      <c r="C1454" s="1">
        <v>2</v>
      </c>
      <c r="D1454" s="1">
        <v>64</v>
      </c>
      <c r="E1454" s="11">
        <v>128</v>
      </c>
      <c r="F1454" s="3">
        <v>45712</v>
      </c>
      <c r="G1454" s="3">
        <v>45712</v>
      </c>
      <c r="H1454" s="1" t="s">
        <v>23</v>
      </c>
      <c r="I1454" s="1" t="s">
        <v>35</v>
      </c>
      <c r="J1454" s="1">
        <v>3</v>
      </c>
      <c r="K1454" s="1" t="s">
        <v>19</v>
      </c>
      <c r="L1454" s="1" t="s">
        <v>33</v>
      </c>
      <c r="M1454" s="1">
        <f>orders[[#This Row],[Ship Date]]-orders[[#This Row],[Order Date]]</f>
        <v>0</v>
      </c>
      <c r="N1454" s="1">
        <f>WEEKNUM(orders[[#This Row],[Order Date]])</f>
        <v>9</v>
      </c>
      <c r="O1454" s="1" t="str" cm="1">
        <f t="array" ref="O1454">_xlfn.IFS(orders[[#This Row],[Customer Gender]]="M","Male", orders[[#This Row],[Customer Gender]]="F","Female", orders[[#This Row],[Customer Gender]]="O","Other", TRUE,"Unknown")</f>
        <v>Male</v>
      </c>
    </row>
    <row r="1455" spans="1:15">
      <c r="A1455" s="1" t="s">
        <v>1554</v>
      </c>
      <c r="B1455" s="1" t="s">
        <v>44</v>
      </c>
      <c r="C1455" s="1">
        <v>2</v>
      </c>
      <c r="D1455" s="1">
        <v>30.6</v>
      </c>
      <c r="E1455" s="11">
        <v>61.2</v>
      </c>
      <c r="F1455" s="3">
        <v>45712</v>
      </c>
      <c r="G1455" s="3">
        <v>45715</v>
      </c>
      <c r="H1455" s="1" t="s">
        <v>23</v>
      </c>
      <c r="I1455" s="1" t="s">
        <v>18</v>
      </c>
      <c r="J1455" s="1">
        <v>5</v>
      </c>
      <c r="K1455" s="1" t="s">
        <v>19</v>
      </c>
      <c r="L1455" s="1" t="s">
        <v>33</v>
      </c>
      <c r="M1455" s="1">
        <f>orders[[#This Row],[Ship Date]]-orders[[#This Row],[Order Date]]</f>
        <v>3</v>
      </c>
      <c r="N1455" s="1">
        <f>WEEKNUM(orders[[#This Row],[Order Date]])</f>
        <v>9</v>
      </c>
      <c r="O1455" s="1" t="str" cm="1">
        <f t="array" ref="O1455">_xlfn.IFS(orders[[#This Row],[Customer Gender]]="M","Male", orders[[#This Row],[Customer Gender]]="F","Female", orders[[#This Row],[Customer Gender]]="O","Other", TRUE,"Unknown")</f>
        <v>Male</v>
      </c>
    </row>
    <row r="1456" spans="1:15">
      <c r="A1456" s="1" t="s">
        <v>1555</v>
      </c>
      <c r="B1456" s="1" t="s">
        <v>44</v>
      </c>
      <c r="C1456" s="1">
        <v>2</v>
      </c>
      <c r="D1456" s="1">
        <v>21.3</v>
      </c>
      <c r="E1456" s="11">
        <v>42.6</v>
      </c>
      <c r="F1456" s="3">
        <v>45712</v>
      </c>
      <c r="G1456" s="3">
        <v>45713</v>
      </c>
      <c r="H1456" s="1" t="s">
        <v>23</v>
      </c>
      <c r="I1456" s="1" t="s">
        <v>18</v>
      </c>
      <c r="J1456" s="1">
        <v>3</v>
      </c>
      <c r="K1456" s="1" t="s">
        <v>19</v>
      </c>
      <c r="L1456" s="1" t="s">
        <v>33</v>
      </c>
      <c r="M1456" s="1">
        <f>orders[[#This Row],[Ship Date]]-orders[[#This Row],[Order Date]]</f>
        <v>1</v>
      </c>
      <c r="N1456" s="1">
        <f>WEEKNUM(orders[[#This Row],[Order Date]])</f>
        <v>9</v>
      </c>
      <c r="O1456" s="1" t="str" cm="1">
        <f t="array" ref="O1456">_xlfn.IFS(orders[[#This Row],[Customer Gender]]="M","Male", orders[[#This Row],[Customer Gender]]="F","Female", orders[[#This Row],[Customer Gender]]="O","Other", TRUE,"Unknown")</f>
        <v>Male</v>
      </c>
    </row>
    <row r="1457" spans="1:15">
      <c r="A1457" s="1" t="s">
        <v>1556</v>
      </c>
      <c r="B1457" s="1" t="s">
        <v>42</v>
      </c>
      <c r="C1457" s="1">
        <v>1</v>
      </c>
      <c r="D1457" s="1">
        <v>40.799999999999997</v>
      </c>
      <c r="E1457" s="11">
        <v>40.799999999999997</v>
      </c>
      <c r="F1457" s="3">
        <v>45712</v>
      </c>
      <c r="G1457" s="3">
        <v>45714</v>
      </c>
      <c r="H1457" s="1" t="s">
        <v>27</v>
      </c>
      <c r="I1457" s="1" t="s">
        <v>70</v>
      </c>
      <c r="J1457" s="1">
        <v>4</v>
      </c>
      <c r="K1457" s="1" t="s">
        <v>19</v>
      </c>
      <c r="L1457" s="1" t="s">
        <v>33</v>
      </c>
      <c r="M1457" s="1">
        <f>orders[[#This Row],[Ship Date]]-orders[[#This Row],[Order Date]]</f>
        <v>2</v>
      </c>
      <c r="N1457" s="1">
        <f>WEEKNUM(orders[[#This Row],[Order Date]])</f>
        <v>9</v>
      </c>
      <c r="O1457" s="1" t="str" cm="1">
        <f t="array" ref="O1457">_xlfn.IFS(orders[[#This Row],[Customer Gender]]="M","Male", orders[[#This Row],[Customer Gender]]="F","Female", orders[[#This Row],[Customer Gender]]="O","Other", TRUE,"Unknown")</f>
        <v>Female</v>
      </c>
    </row>
    <row r="1458" spans="1:15">
      <c r="A1458" s="1" t="s">
        <v>1557</v>
      </c>
      <c r="B1458" s="1" t="s">
        <v>46</v>
      </c>
      <c r="C1458" s="1">
        <v>4</v>
      </c>
      <c r="D1458" s="1">
        <v>27.7</v>
      </c>
      <c r="E1458" s="11">
        <v>110.8</v>
      </c>
      <c r="F1458" s="3">
        <v>45712</v>
      </c>
      <c r="G1458" s="3">
        <v>45713</v>
      </c>
      <c r="H1458" s="1" t="s">
        <v>27</v>
      </c>
      <c r="I1458" s="1" t="s">
        <v>18</v>
      </c>
      <c r="J1458" s="1">
        <v>3</v>
      </c>
      <c r="K1458" s="1" t="s">
        <v>19</v>
      </c>
      <c r="L1458" s="1" t="s">
        <v>33</v>
      </c>
      <c r="M1458" s="1">
        <f>orders[[#This Row],[Ship Date]]-orders[[#This Row],[Order Date]]</f>
        <v>1</v>
      </c>
      <c r="N1458" s="1">
        <f>WEEKNUM(orders[[#This Row],[Order Date]])</f>
        <v>9</v>
      </c>
      <c r="O1458" s="1" t="str" cm="1">
        <f t="array" ref="O1458">_xlfn.IFS(orders[[#This Row],[Customer Gender]]="M","Male", orders[[#This Row],[Customer Gender]]="F","Female", orders[[#This Row],[Customer Gender]]="O","Other", TRUE,"Unknown")</f>
        <v>Female</v>
      </c>
    </row>
    <row r="1459" spans="1:15">
      <c r="A1459" s="1" t="s">
        <v>1558</v>
      </c>
      <c r="B1459" s="1" t="s">
        <v>39</v>
      </c>
      <c r="C1459" s="1">
        <v>2</v>
      </c>
      <c r="D1459" s="1">
        <v>64.599999999999994</v>
      </c>
      <c r="E1459" s="11">
        <v>129.19999999999999</v>
      </c>
      <c r="F1459" s="3">
        <v>45712</v>
      </c>
      <c r="G1459" s="3">
        <v>45713</v>
      </c>
      <c r="H1459" s="1" t="s">
        <v>23</v>
      </c>
      <c r="I1459" s="1" t="s">
        <v>18</v>
      </c>
      <c r="J1459" s="1">
        <v>3</v>
      </c>
      <c r="K1459" s="1" t="s">
        <v>19</v>
      </c>
      <c r="L1459" s="1" t="s">
        <v>33</v>
      </c>
      <c r="M1459" s="1">
        <f>orders[[#This Row],[Ship Date]]-orders[[#This Row],[Order Date]]</f>
        <v>1</v>
      </c>
      <c r="N1459" s="1">
        <f>WEEKNUM(orders[[#This Row],[Order Date]])</f>
        <v>9</v>
      </c>
      <c r="O1459" s="1" t="str" cm="1">
        <f t="array" ref="O1459">_xlfn.IFS(orders[[#This Row],[Customer Gender]]="M","Male", orders[[#This Row],[Customer Gender]]="F","Female", orders[[#This Row],[Customer Gender]]="O","Other", TRUE,"Unknown")</f>
        <v>Male</v>
      </c>
    </row>
    <row r="1460" spans="1:15">
      <c r="A1460" s="1" t="s">
        <v>1559</v>
      </c>
      <c r="B1460" s="1" t="s">
        <v>39</v>
      </c>
      <c r="C1460" s="1">
        <v>16</v>
      </c>
      <c r="D1460" s="1">
        <v>91.1</v>
      </c>
      <c r="E1460" s="11">
        <v>1457.6</v>
      </c>
      <c r="F1460" s="3">
        <v>45712</v>
      </c>
      <c r="G1460" s="3">
        <v>45713</v>
      </c>
      <c r="H1460" s="1" t="s">
        <v>27</v>
      </c>
      <c r="I1460" s="1" t="s">
        <v>35</v>
      </c>
      <c r="J1460" s="1">
        <v>5</v>
      </c>
      <c r="K1460" s="1" t="s">
        <v>19</v>
      </c>
      <c r="L1460" s="1" t="s">
        <v>33</v>
      </c>
      <c r="M1460" s="1">
        <f>orders[[#This Row],[Ship Date]]-orders[[#This Row],[Order Date]]</f>
        <v>1</v>
      </c>
      <c r="N1460" s="1">
        <f>WEEKNUM(orders[[#This Row],[Order Date]])</f>
        <v>9</v>
      </c>
      <c r="O1460" s="1" t="str" cm="1">
        <f t="array" ref="O1460">_xlfn.IFS(orders[[#This Row],[Customer Gender]]="M","Male", orders[[#This Row],[Customer Gender]]="F","Female", orders[[#This Row],[Customer Gender]]="O","Other", TRUE,"Unknown")</f>
        <v>Female</v>
      </c>
    </row>
    <row r="1461" spans="1:15">
      <c r="A1461" s="1" t="s">
        <v>1560</v>
      </c>
      <c r="B1461" s="1" t="s">
        <v>22</v>
      </c>
      <c r="C1461" s="1">
        <v>1</v>
      </c>
      <c r="D1461" s="1">
        <v>39.5</v>
      </c>
      <c r="E1461" s="11">
        <v>39.5</v>
      </c>
      <c r="F1461" s="3">
        <v>45712</v>
      </c>
      <c r="G1461" s="3">
        <v>45720</v>
      </c>
      <c r="H1461" s="1" t="s">
        <v>27</v>
      </c>
      <c r="I1461" s="1" t="s">
        <v>18</v>
      </c>
      <c r="J1461" s="1">
        <v>4</v>
      </c>
      <c r="K1461" s="1" t="s">
        <v>19</v>
      </c>
      <c r="L1461" s="1" t="s">
        <v>33</v>
      </c>
      <c r="M1461" s="1">
        <f>orders[[#This Row],[Ship Date]]-orders[[#This Row],[Order Date]]</f>
        <v>8</v>
      </c>
      <c r="N1461" s="1">
        <f>WEEKNUM(orders[[#This Row],[Order Date]])</f>
        <v>9</v>
      </c>
      <c r="O1461" s="1" t="str" cm="1">
        <f t="array" ref="O1461">_xlfn.IFS(orders[[#This Row],[Customer Gender]]="M","Male", orders[[#This Row],[Customer Gender]]="F","Female", orders[[#This Row],[Customer Gender]]="O","Other", TRUE,"Unknown")</f>
        <v>Female</v>
      </c>
    </row>
    <row r="1462" spans="1:15">
      <c r="A1462" s="1" t="s">
        <v>1561</v>
      </c>
      <c r="B1462" s="1" t="s">
        <v>46</v>
      </c>
      <c r="C1462" s="1">
        <v>2</v>
      </c>
      <c r="D1462" s="1">
        <v>21.8</v>
      </c>
      <c r="E1462" s="11">
        <v>43.6</v>
      </c>
      <c r="F1462" s="3">
        <v>45712</v>
      </c>
      <c r="G1462" s="3">
        <v>45716</v>
      </c>
      <c r="H1462" s="1" t="s">
        <v>23</v>
      </c>
      <c r="I1462" s="1" t="s">
        <v>70</v>
      </c>
      <c r="J1462" s="1">
        <v>5</v>
      </c>
      <c r="K1462" s="1" t="s">
        <v>19</v>
      </c>
      <c r="L1462" s="1" t="s">
        <v>33</v>
      </c>
      <c r="M1462" s="1">
        <f>orders[[#This Row],[Ship Date]]-orders[[#This Row],[Order Date]]</f>
        <v>4</v>
      </c>
      <c r="N1462" s="1">
        <f>WEEKNUM(orders[[#This Row],[Order Date]])</f>
        <v>9</v>
      </c>
      <c r="O1462" s="1" t="str" cm="1">
        <f t="array" ref="O1462">_xlfn.IFS(orders[[#This Row],[Customer Gender]]="M","Male", orders[[#This Row],[Customer Gender]]="F","Female", orders[[#This Row],[Customer Gender]]="O","Other", TRUE,"Unknown")</f>
        <v>Male</v>
      </c>
    </row>
    <row r="1463" spans="1:15">
      <c r="A1463" s="1" t="s">
        <v>1562</v>
      </c>
      <c r="B1463" s="1" t="s">
        <v>44</v>
      </c>
      <c r="C1463" s="1">
        <v>2</v>
      </c>
      <c r="D1463" s="1">
        <v>51</v>
      </c>
      <c r="E1463" s="11">
        <v>102</v>
      </c>
      <c r="F1463" s="3">
        <v>45712</v>
      </c>
      <c r="G1463" s="3">
        <v>45715</v>
      </c>
      <c r="H1463" s="1" t="s">
        <v>23</v>
      </c>
      <c r="I1463" s="1" t="s">
        <v>51</v>
      </c>
      <c r="J1463" s="1">
        <v>5</v>
      </c>
      <c r="K1463" s="1" t="s">
        <v>19</v>
      </c>
      <c r="L1463" s="1" t="s">
        <v>33</v>
      </c>
      <c r="M1463" s="1">
        <f>orders[[#This Row],[Ship Date]]-orders[[#This Row],[Order Date]]</f>
        <v>3</v>
      </c>
      <c r="N1463" s="1">
        <f>WEEKNUM(orders[[#This Row],[Order Date]])</f>
        <v>9</v>
      </c>
      <c r="O1463" s="1" t="str" cm="1">
        <f t="array" ref="O1463">_xlfn.IFS(orders[[#This Row],[Customer Gender]]="M","Male", orders[[#This Row],[Customer Gender]]="F","Female", orders[[#This Row],[Customer Gender]]="O","Other", TRUE,"Unknown")</f>
        <v>Male</v>
      </c>
    </row>
    <row r="1464" spans="1:15">
      <c r="A1464" s="1" t="s">
        <v>1563</v>
      </c>
      <c r="B1464" s="1" t="s">
        <v>26</v>
      </c>
      <c r="C1464" s="1">
        <v>1</v>
      </c>
      <c r="D1464" s="1">
        <v>92.6</v>
      </c>
      <c r="E1464" s="11">
        <v>92.6</v>
      </c>
      <c r="F1464" s="3">
        <v>45712</v>
      </c>
      <c r="G1464" s="3">
        <v>45715</v>
      </c>
      <c r="H1464" s="1" t="s">
        <v>27</v>
      </c>
      <c r="I1464" s="1" t="s">
        <v>18</v>
      </c>
      <c r="J1464" s="1">
        <v>5</v>
      </c>
      <c r="K1464" s="1" t="s">
        <v>19</v>
      </c>
      <c r="L1464" s="1" t="s">
        <v>338</v>
      </c>
      <c r="M1464" s="1">
        <f>orders[[#This Row],[Ship Date]]-orders[[#This Row],[Order Date]]</f>
        <v>3</v>
      </c>
      <c r="N1464" s="1">
        <f>WEEKNUM(orders[[#This Row],[Order Date]])</f>
        <v>9</v>
      </c>
      <c r="O1464" s="1" t="str" cm="1">
        <f t="array" ref="O1464">_xlfn.IFS(orders[[#This Row],[Customer Gender]]="M","Male", orders[[#This Row],[Customer Gender]]="F","Female", orders[[#This Row],[Customer Gender]]="O","Other", TRUE,"Unknown")</f>
        <v>Female</v>
      </c>
    </row>
    <row r="1465" spans="1:15">
      <c r="A1465" s="1" t="s">
        <v>1564</v>
      </c>
      <c r="B1465" s="1" t="s">
        <v>46</v>
      </c>
      <c r="C1465" s="1">
        <v>2</v>
      </c>
      <c r="D1465" s="1">
        <v>31.1</v>
      </c>
      <c r="E1465" s="11">
        <v>62.2</v>
      </c>
      <c r="F1465" s="3">
        <v>45712</v>
      </c>
      <c r="G1465" s="3">
        <v>45717</v>
      </c>
      <c r="H1465" s="1" t="s">
        <v>17</v>
      </c>
      <c r="I1465" s="1" t="s">
        <v>35</v>
      </c>
      <c r="J1465" s="1">
        <v>1</v>
      </c>
      <c r="K1465" s="1" t="s">
        <v>19</v>
      </c>
      <c r="L1465" s="1" t="s">
        <v>158</v>
      </c>
      <c r="M1465" s="1">
        <f>orders[[#This Row],[Ship Date]]-orders[[#This Row],[Order Date]]</f>
        <v>5</v>
      </c>
      <c r="N1465" s="1">
        <f>WEEKNUM(orders[[#This Row],[Order Date]])</f>
        <v>9</v>
      </c>
      <c r="O1465" s="1" t="str" cm="1">
        <f t="array" ref="O1465">_xlfn.IFS(orders[[#This Row],[Customer Gender]]="M","Male", orders[[#This Row],[Customer Gender]]="F","Female", orders[[#This Row],[Customer Gender]]="O","Other", TRUE,"Unknown")</f>
        <v>Unknown</v>
      </c>
    </row>
    <row r="1466" spans="1:15">
      <c r="A1466" s="1" t="s">
        <v>1565</v>
      </c>
      <c r="B1466" s="1" t="s">
        <v>37</v>
      </c>
      <c r="C1466" s="1">
        <v>3</v>
      </c>
      <c r="D1466" s="1">
        <v>56.4</v>
      </c>
      <c r="E1466" s="11">
        <v>169.2</v>
      </c>
      <c r="F1466" s="3">
        <v>45712</v>
      </c>
      <c r="G1466" s="3">
        <v>45713</v>
      </c>
      <c r="H1466" s="1" t="s">
        <v>17</v>
      </c>
      <c r="I1466" s="1" t="s">
        <v>35</v>
      </c>
      <c r="J1466" s="1">
        <v>4</v>
      </c>
      <c r="K1466" s="1" t="s">
        <v>19</v>
      </c>
      <c r="L1466" s="1" t="s">
        <v>55</v>
      </c>
      <c r="M1466" s="1">
        <f>orders[[#This Row],[Ship Date]]-orders[[#This Row],[Order Date]]</f>
        <v>1</v>
      </c>
      <c r="N1466" s="1">
        <f>WEEKNUM(orders[[#This Row],[Order Date]])</f>
        <v>9</v>
      </c>
      <c r="O1466" s="1" t="str" cm="1">
        <f t="array" ref="O1466">_xlfn.IFS(orders[[#This Row],[Customer Gender]]="M","Male", orders[[#This Row],[Customer Gender]]="F","Female", orders[[#This Row],[Customer Gender]]="O","Other", TRUE,"Unknown")</f>
        <v>Unknown</v>
      </c>
    </row>
    <row r="1467" spans="1:15">
      <c r="A1467" s="1" t="s">
        <v>1566</v>
      </c>
      <c r="B1467" s="1" t="s">
        <v>46</v>
      </c>
      <c r="C1467" s="1">
        <v>1</v>
      </c>
      <c r="D1467" s="1">
        <v>41.9</v>
      </c>
      <c r="E1467" s="11">
        <v>41.9</v>
      </c>
      <c r="F1467" s="3">
        <v>45712</v>
      </c>
      <c r="G1467" s="3">
        <v>45712</v>
      </c>
      <c r="H1467" s="1" t="s">
        <v>23</v>
      </c>
      <c r="I1467" s="1" t="s">
        <v>35</v>
      </c>
      <c r="J1467" s="1">
        <v>4</v>
      </c>
      <c r="K1467" s="1" t="s">
        <v>19</v>
      </c>
      <c r="L1467" s="1" t="s">
        <v>55</v>
      </c>
      <c r="M1467" s="1">
        <f>orders[[#This Row],[Ship Date]]-orders[[#This Row],[Order Date]]</f>
        <v>0</v>
      </c>
      <c r="N1467" s="1">
        <f>WEEKNUM(orders[[#This Row],[Order Date]])</f>
        <v>9</v>
      </c>
      <c r="O1467" s="1" t="str" cm="1">
        <f t="array" ref="O1467">_xlfn.IFS(orders[[#This Row],[Customer Gender]]="M","Male", orders[[#This Row],[Customer Gender]]="F","Female", orders[[#This Row],[Customer Gender]]="O","Other", TRUE,"Unknown")</f>
        <v>Male</v>
      </c>
    </row>
    <row r="1468" spans="1:15">
      <c r="A1468" s="1" t="s">
        <v>1567</v>
      </c>
      <c r="B1468" s="1" t="s">
        <v>54</v>
      </c>
      <c r="C1468" s="1">
        <v>7</v>
      </c>
      <c r="D1468" s="1">
        <v>45.9</v>
      </c>
      <c r="E1468" s="11">
        <v>321.3</v>
      </c>
      <c r="F1468" s="3">
        <v>45712</v>
      </c>
      <c r="G1468" s="3">
        <v>45713</v>
      </c>
      <c r="H1468" s="1" t="s">
        <v>23</v>
      </c>
      <c r="I1468" s="1" t="s">
        <v>51</v>
      </c>
      <c r="J1468" s="1">
        <v>5</v>
      </c>
      <c r="K1468" s="1" t="s">
        <v>19</v>
      </c>
      <c r="L1468" s="1" t="s">
        <v>62</v>
      </c>
      <c r="M1468" s="1">
        <f>orders[[#This Row],[Ship Date]]-orders[[#This Row],[Order Date]]</f>
        <v>1</v>
      </c>
      <c r="N1468" s="1">
        <f>WEEKNUM(orders[[#This Row],[Order Date]])</f>
        <v>9</v>
      </c>
      <c r="O1468" s="1" t="str" cm="1">
        <f t="array" ref="O1468">_xlfn.IFS(orders[[#This Row],[Customer Gender]]="M","Male", orders[[#This Row],[Customer Gender]]="F","Female", orders[[#This Row],[Customer Gender]]="O","Other", TRUE,"Unknown")</f>
        <v>Male</v>
      </c>
    </row>
    <row r="1469" spans="1:15">
      <c r="A1469" s="1" t="s">
        <v>1568</v>
      </c>
      <c r="B1469" s="1" t="s">
        <v>81</v>
      </c>
      <c r="C1469" s="1">
        <v>9</v>
      </c>
      <c r="D1469" s="1">
        <v>24.4</v>
      </c>
      <c r="E1469" s="11">
        <v>219.6</v>
      </c>
      <c r="F1469" s="3">
        <v>45712</v>
      </c>
      <c r="G1469" s="3">
        <v>45716</v>
      </c>
      <c r="H1469" s="1" t="s">
        <v>23</v>
      </c>
      <c r="I1469" s="1" t="s">
        <v>51</v>
      </c>
      <c r="J1469" s="1">
        <v>5</v>
      </c>
      <c r="K1469" s="1" t="s">
        <v>19</v>
      </c>
      <c r="L1469" s="1" t="s">
        <v>62</v>
      </c>
      <c r="M1469" s="1">
        <f>orders[[#This Row],[Ship Date]]-orders[[#This Row],[Order Date]]</f>
        <v>4</v>
      </c>
      <c r="N1469" s="1">
        <f>WEEKNUM(orders[[#This Row],[Order Date]])</f>
        <v>9</v>
      </c>
      <c r="O1469" s="1" t="str" cm="1">
        <f t="array" ref="O1469">_xlfn.IFS(orders[[#This Row],[Customer Gender]]="M","Male", orders[[#This Row],[Customer Gender]]="F","Female", orders[[#This Row],[Customer Gender]]="O","Other", TRUE,"Unknown")</f>
        <v>Male</v>
      </c>
    </row>
    <row r="1470" spans="1:15">
      <c r="A1470" s="1" t="s">
        <v>1569</v>
      </c>
      <c r="B1470" s="1" t="s">
        <v>44</v>
      </c>
      <c r="C1470" s="1">
        <v>1</v>
      </c>
      <c r="D1470" s="1">
        <v>18.2</v>
      </c>
      <c r="E1470" s="11">
        <v>18.2</v>
      </c>
      <c r="F1470" s="3">
        <v>45712</v>
      </c>
      <c r="G1470" s="3">
        <v>45713</v>
      </c>
      <c r="H1470" s="1" t="s">
        <v>27</v>
      </c>
      <c r="I1470" s="1" t="s">
        <v>40</v>
      </c>
      <c r="J1470" s="1">
        <v>5</v>
      </c>
      <c r="K1470" s="1" t="s">
        <v>19</v>
      </c>
      <c r="L1470" s="1" t="s">
        <v>62</v>
      </c>
      <c r="M1470" s="1">
        <f>orders[[#This Row],[Ship Date]]-orders[[#This Row],[Order Date]]</f>
        <v>1</v>
      </c>
      <c r="N1470" s="1">
        <f>WEEKNUM(orders[[#This Row],[Order Date]])</f>
        <v>9</v>
      </c>
      <c r="O1470" s="1" t="str" cm="1">
        <f t="array" ref="O1470">_xlfn.IFS(orders[[#This Row],[Customer Gender]]="M","Male", orders[[#This Row],[Customer Gender]]="F","Female", orders[[#This Row],[Customer Gender]]="O","Other", TRUE,"Unknown")</f>
        <v>Female</v>
      </c>
    </row>
    <row r="1471" spans="1:15">
      <c r="A1471" s="1" t="s">
        <v>1570</v>
      </c>
      <c r="B1471" s="1" t="s">
        <v>44</v>
      </c>
      <c r="C1471" s="1">
        <v>4</v>
      </c>
      <c r="D1471" s="1">
        <v>51.2</v>
      </c>
      <c r="E1471" s="11">
        <v>204.8</v>
      </c>
      <c r="F1471" s="3">
        <v>45712</v>
      </c>
      <c r="G1471" s="3">
        <v>45713</v>
      </c>
      <c r="H1471" s="1" t="s">
        <v>27</v>
      </c>
      <c r="I1471" s="1" t="s">
        <v>18</v>
      </c>
      <c r="J1471" s="1">
        <v>4</v>
      </c>
      <c r="K1471" s="1" t="s">
        <v>19</v>
      </c>
      <c r="L1471" s="1" t="s">
        <v>62</v>
      </c>
      <c r="M1471" s="1">
        <f>orders[[#This Row],[Ship Date]]-orders[[#This Row],[Order Date]]</f>
        <v>1</v>
      </c>
      <c r="N1471" s="1">
        <f>WEEKNUM(orders[[#This Row],[Order Date]])</f>
        <v>9</v>
      </c>
      <c r="O1471" s="1" t="str" cm="1">
        <f t="array" ref="O1471">_xlfn.IFS(orders[[#This Row],[Customer Gender]]="M","Male", orders[[#This Row],[Customer Gender]]="F","Female", orders[[#This Row],[Customer Gender]]="O","Other", TRUE,"Unknown")</f>
        <v>Female</v>
      </c>
    </row>
    <row r="1472" spans="1:15">
      <c r="A1472" s="1" t="s">
        <v>1571</v>
      </c>
      <c r="B1472" s="1" t="s">
        <v>39</v>
      </c>
      <c r="C1472" s="1">
        <v>1</v>
      </c>
      <c r="D1472" s="1">
        <v>59.7</v>
      </c>
      <c r="E1472" s="11">
        <v>59.7</v>
      </c>
      <c r="F1472" s="3">
        <v>45712</v>
      </c>
      <c r="G1472" s="3">
        <v>45715</v>
      </c>
      <c r="H1472" s="1" t="s">
        <v>23</v>
      </c>
      <c r="I1472" s="1" t="s">
        <v>18</v>
      </c>
      <c r="J1472" s="1">
        <v>5</v>
      </c>
      <c r="K1472" s="1" t="s">
        <v>19</v>
      </c>
      <c r="L1472" s="1" t="s">
        <v>62</v>
      </c>
      <c r="M1472" s="1">
        <f>orders[[#This Row],[Ship Date]]-orders[[#This Row],[Order Date]]</f>
        <v>3</v>
      </c>
      <c r="N1472" s="1">
        <f>WEEKNUM(orders[[#This Row],[Order Date]])</f>
        <v>9</v>
      </c>
      <c r="O1472" s="1" t="str" cm="1">
        <f t="array" ref="O1472">_xlfn.IFS(orders[[#This Row],[Customer Gender]]="M","Male", orders[[#This Row],[Customer Gender]]="F","Female", orders[[#This Row],[Customer Gender]]="O","Other", TRUE,"Unknown")</f>
        <v>Male</v>
      </c>
    </row>
    <row r="1473" spans="1:15">
      <c r="A1473" s="1" t="s">
        <v>1572</v>
      </c>
      <c r="B1473" s="1" t="s">
        <v>32</v>
      </c>
      <c r="C1473" s="1">
        <v>2</v>
      </c>
      <c r="D1473" s="1">
        <v>33.6</v>
      </c>
      <c r="E1473" s="11">
        <v>67.2</v>
      </c>
      <c r="F1473" s="3">
        <v>45712</v>
      </c>
      <c r="G1473" s="3">
        <v>45714</v>
      </c>
      <c r="H1473" s="1" t="s">
        <v>27</v>
      </c>
      <c r="I1473" s="1" t="s">
        <v>18</v>
      </c>
      <c r="J1473" s="1">
        <v>4</v>
      </c>
      <c r="K1473" s="1" t="s">
        <v>19</v>
      </c>
      <c r="L1473" s="1" t="s">
        <v>103</v>
      </c>
      <c r="M1473" s="1">
        <f>orders[[#This Row],[Ship Date]]-orders[[#This Row],[Order Date]]</f>
        <v>2</v>
      </c>
      <c r="N1473" s="1">
        <f>WEEKNUM(orders[[#This Row],[Order Date]])</f>
        <v>9</v>
      </c>
      <c r="O1473" s="1" t="str" cm="1">
        <f t="array" ref="O1473">_xlfn.IFS(orders[[#This Row],[Customer Gender]]="M","Male", orders[[#This Row],[Customer Gender]]="F","Female", orders[[#This Row],[Customer Gender]]="O","Other", TRUE,"Unknown")</f>
        <v>Female</v>
      </c>
    </row>
    <row r="1474" spans="1:15">
      <c r="A1474" s="1" t="s">
        <v>1573</v>
      </c>
      <c r="B1474" s="1" t="s">
        <v>69</v>
      </c>
      <c r="C1474" s="1">
        <v>1</v>
      </c>
      <c r="D1474" s="1">
        <v>90.4</v>
      </c>
      <c r="E1474" s="11">
        <v>90.4</v>
      </c>
      <c r="F1474" s="3">
        <v>45712</v>
      </c>
      <c r="G1474" s="3">
        <v>45716</v>
      </c>
      <c r="H1474" s="1" t="s">
        <v>23</v>
      </c>
      <c r="I1474" s="1" t="s">
        <v>35</v>
      </c>
      <c r="J1474" s="1">
        <v>5</v>
      </c>
      <c r="K1474" s="1" t="s">
        <v>19</v>
      </c>
      <c r="L1474" s="1" t="s">
        <v>74</v>
      </c>
      <c r="M1474" s="1">
        <f>orders[[#This Row],[Ship Date]]-orders[[#This Row],[Order Date]]</f>
        <v>4</v>
      </c>
      <c r="N1474" s="1">
        <f>WEEKNUM(orders[[#This Row],[Order Date]])</f>
        <v>9</v>
      </c>
      <c r="O1474" s="1" t="str" cm="1">
        <f t="array" ref="O1474">_xlfn.IFS(orders[[#This Row],[Customer Gender]]="M","Male", orders[[#This Row],[Customer Gender]]="F","Female", orders[[#This Row],[Customer Gender]]="O","Other", TRUE,"Unknown")</f>
        <v>Male</v>
      </c>
    </row>
    <row r="1475" spans="1:15">
      <c r="A1475" s="1" t="s">
        <v>1574</v>
      </c>
      <c r="B1475" s="1" t="s">
        <v>67</v>
      </c>
      <c r="C1475" s="1">
        <v>3</v>
      </c>
      <c r="D1475" s="1">
        <v>70.3</v>
      </c>
      <c r="E1475" s="11">
        <v>210.89999999999998</v>
      </c>
      <c r="F1475" s="3">
        <v>45712</v>
      </c>
      <c r="G1475" s="3">
        <v>45712</v>
      </c>
      <c r="H1475" s="1" t="s">
        <v>23</v>
      </c>
      <c r="I1475" s="1" t="s">
        <v>35</v>
      </c>
      <c r="J1475" s="1">
        <v>5</v>
      </c>
      <c r="K1475" s="1" t="s">
        <v>19</v>
      </c>
      <c r="L1475" s="1" t="s">
        <v>77</v>
      </c>
      <c r="M1475" s="1">
        <f>orders[[#This Row],[Ship Date]]-orders[[#This Row],[Order Date]]</f>
        <v>0</v>
      </c>
      <c r="N1475" s="1">
        <f>WEEKNUM(orders[[#This Row],[Order Date]])</f>
        <v>9</v>
      </c>
      <c r="O1475" s="1" t="str" cm="1">
        <f t="array" ref="O1475">_xlfn.IFS(orders[[#This Row],[Customer Gender]]="M","Male", orders[[#This Row],[Customer Gender]]="F","Female", orders[[#This Row],[Customer Gender]]="O","Other", TRUE,"Unknown")</f>
        <v>Male</v>
      </c>
    </row>
    <row r="1476" spans="1:15">
      <c r="A1476" s="1" t="s">
        <v>1575</v>
      </c>
      <c r="B1476" s="1" t="s">
        <v>32</v>
      </c>
      <c r="C1476" s="1">
        <v>2</v>
      </c>
      <c r="D1476" s="1">
        <v>20.5</v>
      </c>
      <c r="E1476" s="11">
        <v>41</v>
      </c>
      <c r="F1476" s="3">
        <v>45712</v>
      </c>
      <c r="G1476" s="3">
        <v>45715</v>
      </c>
      <c r="H1476" s="1" t="s">
        <v>27</v>
      </c>
      <c r="I1476" s="1" t="s">
        <v>18</v>
      </c>
      <c r="J1476" s="1">
        <v>3</v>
      </c>
      <c r="K1476" s="1" t="s">
        <v>19</v>
      </c>
      <c r="L1476" s="1" t="s">
        <v>77</v>
      </c>
      <c r="M1476" s="1">
        <f>orders[[#This Row],[Ship Date]]-orders[[#This Row],[Order Date]]</f>
        <v>3</v>
      </c>
      <c r="N1476" s="1">
        <f>WEEKNUM(orders[[#This Row],[Order Date]])</f>
        <v>9</v>
      </c>
      <c r="O1476" s="1" t="str" cm="1">
        <f t="array" ref="O1476">_xlfn.IFS(orders[[#This Row],[Customer Gender]]="M","Male", orders[[#This Row],[Customer Gender]]="F","Female", orders[[#This Row],[Customer Gender]]="O","Other", TRUE,"Unknown")</f>
        <v>Female</v>
      </c>
    </row>
    <row r="1477" spans="1:15">
      <c r="A1477" s="1" t="s">
        <v>1576</v>
      </c>
      <c r="B1477" s="1" t="s">
        <v>37</v>
      </c>
      <c r="C1477" s="1">
        <v>11</v>
      </c>
      <c r="D1477" s="1">
        <v>37.6</v>
      </c>
      <c r="E1477" s="11">
        <v>413.6</v>
      </c>
      <c r="F1477" s="3">
        <v>45712</v>
      </c>
      <c r="G1477" s="3">
        <v>45713</v>
      </c>
      <c r="H1477" s="1" t="s">
        <v>23</v>
      </c>
      <c r="I1477" s="1" t="s">
        <v>18</v>
      </c>
      <c r="J1477" s="1">
        <v>4</v>
      </c>
      <c r="K1477" s="1" t="s">
        <v>19</v>
      </c>
      <c r="L1477" s="1" t="s">
        <v>377</v>
      </c>
      <c r="M1477" s="1">
        <f>orders[[#This Row],[Ship Date]]-orders[[#This Row],[Order Date]]</f>
        <v>1</v>
      </c>
      <c r="N1477" s="1">
        <f>WEEKNUM(orders[[#This Row],[Order Date]])</f>
        <v>9</v>
      </c>
      <c r="O1477" s="1" t="str" cm="1">
        <f t="array" ref="O1477">_xlfn.IFS(orders[[#This Row],[Customer Gender]]="M","Male", orders[[#This Row],[Customer Gender]]="F","Female", orders[[#This Row],[Customer Gender]]="O","Other", TRUE,"Unknown")</f>
        <v>Male</v>
      </c>
    </row>
    <row r="1478" spans="1:15">
      <c r="A1478" s="1" t="s">
        <v>1577</v>
      </c>
      <c r="B1478" s="1" t="s">
        <v>37</v>
      </c>
      <c r="C1478" s="1">
        <v>4</v>
      </c>
      <c r="D1478" s="1">
        <v>61.5</v>
      </c>
      <c r="E1478" s="11">
        <v>246</v>
      </c>
      <c r="F1478" s="3">
        <v>45712</v>
      </c>
      <c r="G1478" s="3">
        <v>45719</v>
      </c>
      <c r="H1478" s="1" t="s">
        <v>27</v>
      </c>
      <c r="I1478" s="1" t="s">
        <v>35</v>
      </c>
      <c r="J1478" s="1">
        <v>2</v>
      </c>
      <c r="K1478" s="1" t="s">
        <v>19</v>
      </c>
      <c r="L1478" s="1" t="s">
        <v>82</v>
      </c>
      <c r="M1478" s="1">
        <f>orders[[#This Row],[Ship Date]]-orders[[#This Row],[Order Date]]</f>
        <v>7</v>
      </c>
      <c r="N1478" s="1">
        <f>WEEKNUM(orders[[#This Row],[Order Date]])</f>
        <v>9</v>
      </c>
      <c r="O1478" s="1" t="str" cm="1">
        <f t="array" ref="O1478">_xlfn.IFS(orders[[#This Row],[Customer Gender]]="M","Male", orders[[#This Row],[Customer Gender]]="F","Female", orders[[#This Row],[Customer Gender]]="O","Other", TRUE,"Unknown")</f>
        <v>Female</v>
      </c>
    </row>
    <row r="1479" spans="1:15">
      <c r="A1479" s="1" t="s">
        <v>1578</v>
      </c>
      <c r="B1479" s="1" t="s">
        <v>46</v>
      </c>
      <c r="C1479" s="1">
        <v>1</v>
      </c>
      <c r="D1479" s="1">
        <v>33.5</v>
      </c>
      <c r="E1479" s="11">
        <v>33.5</v>
      </c>
      <c r="F1479" s="3">
        <v>45713</v>
      </c>
      <c r="G1479" s="3">
        <v>45717</v>
      </c>
      <c r="H1479" s="1" t="s">
        <v>23</v>
      </c>
      <c r="I1479" s="1" t="s">
        <v>70</v>
      </c>
      <c r="J1479" s="1">
        <v>3</v>
      </c>
      <c r="K1479" s="1" t="s">
        <v>19</v>
      </c>
      <c r="L1479" s="1" t="s">
        <v>115</v>
      </c>
      <c r="M1479" s="1">
        <f>orders[[#This Row],[Ship Date]]-orders[[#This Row],[Order Date]]</f>
        <v>4</v>
      </c>
      <c r="N1479" s="1">
        <f>WEEKNUM(orders[[#This Row],[Order Date]])</f>
        <v>9</v>
      </c>
      <c r="O1479" s="1" t="str" cm="1">
        <f t="array" ref="O1479">_xlfn.IFS(orders[[#This Row],[Customer Gender]]="M","Male", orders[[#This Row],[Customer Gender]]="F","Female", orders[[#This Row],[Customer Gender]]="O","Other", TRUE,"Unknown")</f>
        <v>Male</v>
      </c>
    </row>
    <row r="1480" spans="1:15">
      <c r="A1480" s="1" t="s">
        <v>1579</v>
      </c>
      <c r="B1480" s="1" t="s">
        <v>32</v>
      </c>
      <c r="C1480" s="1">
        <v>3</v>
      </c>
      <c r="D1480" s="1">
        <v>29.3</v>
      </c>
      <c r="E1480" s="11">
        <v>87.9</v>
      </c>
      <c r="F1480" s="3">
        <v>45713</v>
      </c>
      <c r="G1480" s="3">
        <v>45715</v>
      </c>
      <c r="H1480" s="1" t="s">
        <v>27</v>
      </c>
      <c r="I1480" s="1" t="s">
        <v>35</v>
      </c>
      <c r="J1480" s="1">
        <v>5</v>
      </c>
      <c r="K1480" s="1" t="s">
        <v>19</v>
      </c>
      <c r="L1480" s="1" t="s">
        <v>24</v>
      </c>
      <c r="M1480" s="1">
        <f>orders[[#This Row],[Ship Date]]-orders[[#This Row],[Order Date]]</f>
        <v>2</v>
      </c>
      <c r="N1480" s="1">
        <f>WEEKNUM(orders[[#This Row],[Order Date]])</f>
        <v>9</v>
      </c>
      <c r="O1480" s="1" t="str" cm="1">
        <f t="array" ref="O1480">_xlfn.IFS(orders[[#This Row],[Customer Gender]]="M","Male", orders[[#This Row],[Customer Gender]]="F","Female", orders[[#This Row],[Customer Gender]]="O","Other", TRUE,"Unknown")</f>
        <v>Female</v>
      </c>
    </row>
    <row r="1481" spans="1:15">
      <c r="A1481" s="1" t="s">
        <v>1580</v>
      </c>
      <c r="B1481" s="1" t="s">
        <v>26</v>
      </c>
      <c r="C1481" s="1">
        <v>2</v>
      </c>
      <c r="D1481" s="1">
        <v>125.9</v>
      </c>
      <c r="E1481" s="11">
        <v>251.8</v>
      </c>
      <c r="F1481" s="3">
        <v>45713</v>
      </c>
      <c r="G1481" s="3">
        <v>45718</v>
      </c>
      <c r="H1481" s="1" t="s">
        <v>27</v>
      </c>
      <c r="I1481" s="1" t="s">
        <v>70</v>
      </c>
      <c r="J1481" s="1">
        <v>3</v>
      </c>
      <c r="K1481" s="1" t="s">
        <v>19</v>
      </c>
      <c r="L1481" s="1" t="s">
        <v>24</v>
      </c>
      <c r="M1481" s="1">
        <f>orders[[#This Row],[Ship Date]]-orders[[#This Row],[Order Date]]</f>
        <v>5</v>
      </c>
      <c r="N1481" s="1">
        <f>WEEKNUM(orders[[#This Row],[Order Date]])</f>
        <v>9</v>
      </c>
      <c r="O1481" s="1" t="str" cm="1">
        <f t="array" ref="O1481">_xlfn.IFS(orders[[#This Row],[Customer Gender]]="M","Male", orders[[#This Row],[Customer Gender]]="F","Female", orders[[#This Row],[Customer Gender]]="O","Other", TRUE,"Unknown")</f>
        <v>Female</v>
      </c>
    </row>
    <row r="1482" spans="1:15">
      <c r="A1482" s="1" t="s">
        <v>1581</v>
      </c>
      <c r="B1482" s="1" t="s">
        <v>37</v>
      </c>
      <c r="C1482" s="1">
        <v>5</v>
      </c>
      <c r="D1482" s="1">
        <v>29.3</v>
      </c>
      <c r="E1482" s="11">
        <v>146.5</v>
      </c>
      <c r="F1482" s="3">
        <v>45713</v>
      </c>
      <c r="G1482" s="3">
        <v>45713</v>
      </c>
      <c r="H1482" s="1" t="s">
        <v>23</v>
      </c>
      <c r="I1482" s="1" t="s">
        <v>40</v>
      </c>
      <c r="J1482" s="1">
        <v>4</v>
      </c>
      <c r="K1482" s="1" t="s">
        <v>19</v>
      </c>
      <c r="L1482" s="1" t="s">
        <v>587</v>
      </c>
      <c r="M1482" s="1">
        <f>orders[[#This Row],[Ship Date]]-orders[[#This Row],[Order Date]]</f>
        <v>0</v>
      </c>
      <c r="N1482" s="1">
        <f>WEEKNUM(orders[[#This Row],[Order Date]])</f>
        <v>9</v>
      </c>
      <c r="O1482" s="1" t="str" cm="1">
        <f t="array" ref="O1482">_xlfn.IFS(orders[[#This Row],[Customer Gender]]="M","Male", orders[[#This Row],[Customer Gender]]="F","Female", orders[[#This Row],[Customer Gender]]="O","Other", TRUE,"Unknown")</f>
        <v>Male</v>
      </c>
    </row>
    <row r="1483" spans="1:15">
      <c r="A1483" s="1" t="s">
        <v>1582</v>
      </c>
      <c r="B1483" s="1" t="s">
        <v>46</v>
      </c>
      <c r="C1483" s="1">
        <v>1</v>
      </c>
      <c r="D1483" s="1">
        <v>37.799999999999997</v>
      </c>
      <c r="E1483" s="11">
        <v>37.799999999999997</v>
      </c>
      <c r="F1483" s="3">
        <v>45713</v>
      </c>
      <c r="G1483" s="3">
        <v>45716</v>
      </c>
      <c r="H1483" s="1" t="s">
        <v>27</v>
      </c>
      <c r="I1483" s="1" t="s">
        <v>18</v>
      </c>
      <c r="J1483" s="1">
        <v>5</v>
      </c>
      <c r="K1483" s="1" t="s">
        <v>19</v>
      </c>
      <c r="L1483" s="1" t="s">
        <v>33</v>
      </c>
      <c r="M1483" s="1">
        <f>orders[[#This Row],[Ship Date]]-orders[[#This Row],[Order Date]]</f>
        <v>3</v>
      </c>
      <c r="N1483" s="1">
        <f>WEEKNUM(orders[[#This Row],[Order Date]])</f>
        <v>9</v>
      </c>
      <c r="O1483" s="1" t="str" cm="1">
        <f t="array" ref="O1483">_xlfn.IFS(orders[[#This Row],[Customer Gender]]="M","Male", orders[[#This Row],[Customer Gender]]="F","Female", orders[[#This Row],[Customer Gender]]="O","Other", TRUE,"Unknown")</f>
        <v>Female</v>
      </c>
    </row>
    <row r="1484" spans="1:15">
      <c r="A1484" s="1" t="s">
        <v>1583</v>
      </c>
      <c r="B1484" s="1" t="s">
        <v>16</v>
      </c>
      <c r="C1484" s="1">
        <v>4</v>
      </c>
      <c r="D1484" s="1">
        <v>31.7</v>
      </c>
      <c r="E1484" s="11">
        <v>126.8</v>
      </c>
      <c r="F1484" s="3">
        <v>45713</v>
      </c>
      <c r="G1484" s="3">
        <v>45714</v>
      </c>
      <c r="H1484" s="1" t="s">
        <v>23</v>
      </c>
      <c r="I1484" s="1" t="s">
        <v>40</v>
      </c>
      <c r="J1484" s="1">
        <v>5</v>
      </c>
      <c r="K1484" s="1" t="s">
        <v>19</v>
      </c>
      <c r="L1484" s="1" t="s">
        <v>33</v>
      </c>
      <c r="M1484" s="1">
        <f>orders[[#This Row],[Ship Date]]-orders[[#This Row],[Order Date]]</f>
        <v>1</v>
      </c>
      <c r="N1484" s="1">
        <f>WEEKNUM(orders[[#This Row],[Order Date]])</f>
        <v>9</v>
      </c>
      <c r="O1484" s="1" t="str" cm="1">
        <f t="array" ref="O1484">_xlfn.IFS(orders[[#This Row],[Customer Gender]]="M","Male", orders[[#This Row],[Customer Gender]]="F","Female", orders[[#This Row],[Customer Gender]]="O","Other", TRUE,"Unknown")</f>
        <v>Male</v>
      </c>
    </row>
    <row r="1485" spans="1:15">
      <c r="A1485" s="1" t="s">
        <v>1584</v>
      </c>
      <c r="B1485" s="1" t="s">
        <v>44</v>
      </c>
      <c r="C1485" s="1">
        <v>5</v>
      </c>
      <c r="D1485" s="1">
        <v>26.3</v>
      </c>
      <c r="E1485" s="11">
        <v>131.5</v>
      </c>
      <c r="F1485" s="3">
        <v>45713</v>
      </c>
      <c r="G1485" s="3">
        <v>45714</v>
      </c>
      <c r="H1485" s="1" t="s">
        <v>27</v>
      </c>
      <c r="I1485" s="1" t="s">
        <v>51</v>
      </c>
      <c r="J1485" s="1">
        <v>5</v>
      </c>
      <c r="K1485" s="1" t="s">
        <v>19</v>
      </c>
      <c r="L1485" s="1" t="s">
        <v>33</v>
      </c>
      <c r="M1485" s="1">
        <f>orders[[#This Row],[Ship Date]]-orders[[#This Row],[Order Date]]</f>
        <v>1</v>
      </c>
      <c r="N1485" s="1">
        <f>WEEKNUM(orders[[#This Row],[Order Date]])</f>
        <v>9</v>
      </c>
      <c r="O1485" s="1" t="str" cm="1">
        <f t="array" ref="O1485">_xlfn.IFS(orders[[#This Row],[Customer Gender]]="M","Male", orders[[#This Row],[Customer Gender]]="F","Female", orders[[#This Row],[Customer Gender]]="O","Other", TRUE,"Unknown")</f>
        <v>Female</v>
      </c>
    </row>
    <row r="1486" spans="1:15">
      <c r="A1486" s="1" t="s">
        <v>1585</v>
      </c>
      <c r="B1486" s="1" t="s">
        <v>44</v>
      </c>
      <c r="C1486" s="1">
        <v>3</v>
      </c>
      <c r="D1486" s="1">
        <v>23.1</v>
      </c>
      <c r="E1486" s="11">
        <v>69.300000000000011</v>
      </c>
      <c r="F1486" s="3">
        <v>45713</v>
      </c>
      <c r="G1486" s="3">
        <v>45714</v>
      </c>
      <c r="H1486" s="1" t="s">
        <v>89</v>
      </c>
      <c r="I1486" s="1" t="s">
        <v>40</v>
      </c>
      <c r="J1486" s="1">
        <v>3</v>
      </c>
      <c r="K1486" s="1" t="s">
        <v>19</v>
      </c>
      <c r="L1486" s="1" t="s">
        <v>33</v>
      </c>
      <c r="M1486" s="1">
        <f>orders[[#This Row],[Ship Date]]-orders[[#This Row],[Order Date]]</f>
        <v>1</v>
      </c>
      <c r="N1486" s="1">
        <f>WEEKNUM(orders[[#This Row],[Order Date]])</f>
        <v>9</v>
      </c>
      <c r="O1486" s="1" t="str" cm="1">
        <f t="array" ref="O1486">_xlfn.IFS(orders[[#This Row],[Customer Gender]]="M","Male", orders[[#This Row],[Customer Gender]]="F","Female", orders[[#This Row],[Customer Gender]]="O","Other", TRUE,"Unknown")</f>
        <v>Other</v>
      </c>
    </row>
    <row r="1487" spans="1:15">
      <c r="A1487" s="1" t="s">
        <v>1586</v>
      </c>
      <c r="B1487" s="1" t="s">
        <v>32</v>
      </c>
      <c r="C1487" s="1">
        <v>1</v>
      </c>
      <c r="D1487" s="1">
        <v>22.3</v>
      </c>
      <c r="E1487" s="11">
        <v>22.3</v>
      </c>
      <c r="F1487" s="3">
        <v>45713</v>
      </c>
      <c r="G1487" s="3">
        <v>45715</v>
      </c>
      <c r="H1487" s="1" t="s">
        <v>27</v>
      </c>
      <c r="I1487" s="1" t="s">
        <v>40</v>
      </c>
      <c r="J1487" s="1">
        <v>4</v>
      </c>
      <c r="K1487" s="1" t="s">
        <v>19</v>
      </c>
      <c r="L1487" s="1" t="s">
        <v>33</v>
      </c>
      <c r="M1487" s="1">
        <f>orders[[#This Row],[Ship Date]]-orders[[#This Row],[Order Date]]</f>
        <v>2</v>
      </c>
      <c r="N1487" s="1">
        <f>WEEKNUM(orders[[#This Row],[Order Date]])</f>
        <v>9</v>
      </c>
      <c r="O1487" s="1" t="str" cm="1">
        <f t="array" ref="O1487">_xlfn.IFS(orders[[#This Row],[Customer Gender]]="M","Male", orders[[#This Row],[Customer Gender]]="F","Female", orders[[#This Row],[Customer Gender]]="O","Other", TRUE,"Unknown")</f>
        <v>Female</v>
      </c>
    </row>
    <row r="1488" spans="1:15">
      <c r="A1488" s="1" t="s">
        <v>1587</v>
      </c>
      <c r="B1488" s="1" t="s">
        <v>69</v>
      </c>
      <c r="C1488" s="1">
        <v>2</v>
      </c>
      <c r="D1488" s="1">
        <v>99.5</v>
      </c>
      <c r="E1488" s="11">
        <v>199</v>
      </c>
      <c r="F1488" s="3">
        <v>45713</v>
      </c>
      <c r="G1488" s="3">
        <v>45715</v>
      </c>
      <c r="H1488" s="1" t="s">
        <v>27</v>
      </c>
      <c r="I1488" s="1" t="s">
        <v>40</v>
      </c>
      <c r="J1488" s="1">
        <v>4</v>
      </c>
      <c r="K1488" s="1" t="s">
        <v>19</v>
      </c>
      <c r="L1488" s="1" t="s">
        <v>33</v>
      </c>
      <c r="M1488" s="1">
        <f>orders[[#This Row],[Ship Date]]-orders[[#This Row],[Order Date]]</f>
        <v>2</v>
      </c>
      <c r="N1488" s="1">
        <f>WEEKNUM(orders[[#This Row],[Order Date]])</f>
        <v>9</v>
      </c>
      <c r="O1488" s="1" t="str" cm="1">
        <f t="array" ref="O1488">_xlfn.IFS(orders[[#This Row],[Customer Gender]]="M","Male", orders[[#This Row],[Customer Gender]]="F","Female", orders[[#This Row],[Customer Gender]]="O","Other", TRUE,"Unknown")</f>
        <v>Female</v>
      </c>
    </row>
    <row r="1489" spans="1:15">
      <c r="A1489" s="1" t="s">
        <v>1588</v>
      </c>
      <c r="B1489" s="1" t="s">
        <v>69</v>
      </c>
      <c r="C1489" s="1">
        <v>4</v>
      </c>
      <c r="D1489" s="1">
        <v>47.4</v>
      </c>
      <c r="E1489" s="11">
        <v>189.6</v>
      </c>
      <c r="F1489" s="3">
        <v>45713</v>
      </c>
      <c r="G1489" s="3">
        <v>45716</v>
      </c>
      <c r="H1489" s="1" t="s">
        <v>27</v>
      </c>
      <c r="I1489" s="1" t="s">
        <v>35</v>
      </c>
      <c r="J1489" s="1">
        <v>4</v>
      </c>
      <c r="K1489" s="1" t="s">
        <v>19</v>
      </c>
      <c r="L1489" s="1" t="s">
        <v>33</v>
      </c>
      <c r="M1489" s="1">
        <f>orders[[#This Row],[Ship Date]]-orders[[#This Row],[Order Date]]</f>
        <v>3</v>
      </c>
      <c r="N1489" s="1">
        <f>WEEKNUM(orders[[#This Row],[Order Date]])</f>
        <v>9</v>
      </c>
      <c r="O1489" s="1" t="str" cm="1">
        <f t="array" ref="O1489">_xlfn.IFS(orders[[#This Row],[Customer Gender]]="M","Male", orders[[#This Row],[Customer Gender]]="F","Female", orders[[#This Row],[Customer Gender]]="O","Other", TRUE,"Unknown")</f>
        <v>Female</v>
      </c>
    </row>
    <row r="1490" spans="1:15">
      <c r="A1490" s="1" t="s">
        <v>1589</v>
      </c>
      <c r="B1490" s="1" t="s">
        <v>16</v>
      </c>
      <c r="C1490" s="1">
        <v>11</v>
      </c>
      <c r="D1490" s="1">
        <v>37.5</v>
      </c>
      <c r="E1490" s="11">
        <v>412.5</v>
      </c>
      <c r="F1490" s="3">
        <v>45713</v>
      </c>
      <c r="G1490" s="3">
        <v>45715</v>
      </c>
      <c r="H1490" s="1" t="s">
        <v>27</v>
      </c>
      <c r="I1490" s="1" t="s">
        <v>18</v>
      </c>
      <c r="J1490" s="1">
        <v>1</v>
      </c>
      <c r="K1490" s="1" t="s">
        <v>19</v>
      </c>
      <c r="L1490" s="1" t="s">
        <v>33</v>
      </c>
      <c r="M1490" s="1">
        <f>orders[[#This Row],[Ship Date]]-orders[[#This Row],[Order Date]]</f>
        <v>2</v>
      </c>
      <c r="N1490" s="1">
        <f>WEEKNUM(orders[[#This Row],[Order Date]])</f>
        <v>9</v>
      </c>
      <c r="O1490" s="1" t="str" cm="1">
        <f t="array" ref="O1490">_xlfn.IFS(orders[[#This Row],[Customer Gender]]="M","Male", orders[[#This Row],[Customer Gender]]="F","Female", orders[[#This Row],[Customer Gender]]="O","Other", TRUE,"Unknown")</f>
        <v>Female</v>
      </c>
    </row>
    <row r="1491" spans="1:15">
      <c r="A1491" s="1" t="s">
        <v>1590</v>
      </c>
      <c r="B1491" s="1" t="s">
        <v>54</v>
      </c>
      <c r="C1491" s="1">
        <v>1</v>
      </c>
      <c r="D1491" s="1">
        <v>45.1</v>
      </c>
      <c r="E1491" s="11">
        <v>45.1</v>
      </c>
      <c r="F1491" s="3">
        <v>45713</v>
      </c>
      <c r="G1491" s="3">
        <v>45718</v>
      </c>
      <c r="H1491" s="1" t="s">
        <v>23</v>
      </c>
      <c r="I1491" s="1" t="s">
        <v>51</v>
      </c>
      <c r="J1491" s="1">
        <v>5</v>
      </c>
      <c r="K1491" s="1" t="s">
        <v>19</v>
      </c>
      <c r="L1491" s="1" t="s">
        <v>186</v>
      </c>
      <c r="M1491" s="1">
        <f>orders[[#This Row],[Ship Date]]-orders[[#This Row],[Order Date]]</f>
        <v>5</v>
      </c>
      <c r="N1491" s="1">
        <f>WEEKNUM(orders[[#This Row],[Order Date]])</f>
        <v>9</v>
      </c>
      <c r="O1491" s="1" t="str" cm="1">
        <f t="array" ref="O1491">_xlfn.IFS(orders[[#This Row],[Customer Gender]]="M","Male", orders[[#This Row],[Customer Gender]]="F","Female", orders[[#This Row],[Customer Gender]]="O","Other", TRUE,"Unknown")</f>
        <v>Male</v>
      </c>
    </row>
    <row r="1492" spans="1:15">
      <c r="A1492" s="1" t="s">
        <v>1591</v>
      </c>
      <c r="B1492" s="1" t="s">
        <v>37</v>
      </c>
      <c r="C1492" s="1">
        <v>10</v>
      </c>
      <c r="D1492" s="1">
        <v>34.4</v>
      </c>
      <c r="E1492" s="11">
        <v>344</v>
      </c>
      <c r="F1492" s="3">
        <v>45713</v>
      </c>
      <c r="G1492" s="3">
        <v>45716</v>
      </c>
      <c r="H1492" s="1" t="s">
        <v>23</v>
      </c>
      <c r="I1492" s="1" t="s">
        <v>40</v>
      </c>
      <c r="J1492" s="1">
        <v>4</v>
      </c>
      <c r="K1492" s="1" t="s">
        <v>19</v>
      </c>
      <c r="L1492" s="1" t="s">
        <v>98</v>
      </c>
      <c r="M1492" s="1">
        <f>orders[[#This Row],[Ship Date]]-orders[[#This Row],[Order Date]]</f>
        <v>3</v>
      </c>
      <c r="N1492" s="1">
        <f>WEEKNUM(orders[[#This Row],[Order Date]])</f>
        <v>9</v>
      </c>
      <c r="O1492" s="1" t="str" cm="1">
        <f t="array" ref="O1492">_xlfn.IFS(orders[[#This Row],[Customer Gender]]="M","Male", orders[[#This Row],[Customer Gender]]="F","Female", orders[[#This Row],[Customer Gender]]="O","Other", TRUE,"Unknown")</f>
        <v>Male</v>
      </c>
    </row>
    <row r="1493" spans="1:15">
      <c r="A1493" s="1" t="s">
        <v>1592</v>
      </c>
      <c r="B1493" s="1" t="s">
        <v>32</v>
      </c>
      <c r="C1493" s="1">
        <v>2</v>
      </c>
      <c r="D1493" s="1">
        <v>38</v>
      </c>
      <c r="E1493" s="11">
        <v>76</v>
      </c>
      <c r="F1493" s="3">
        <v>45713</v>
      </c>
      <c r="G1493" s="3">
        <v>45715</v>
      </c>
      <c r="H1493" s="1" t="s">
        <v>27</v>
      </c>
      <c r="I1493" s="1" t="s">
        <v>35</v>
      </c>
      <c r="J1493" s="1">
        <v>4</v>
      </c>
      <c r="K1493" s="1" t="s">
        <v>19</v>
      </c>
      <c r="L1493" s="1" t="s">
        <v>52</v>
      </c>
      <c r="M1493" s="1">
        <f>orders[[#This Row],[Ship Date]]-orders[[#This Row],[Order Date]]</f>
        <v>2</v>
      </c>
      <c r="N1493" s="1">
        <f>WEEKNUM(orders[[#This Row],[Order Date]])</f>
        <v>9</v>
      </c>
      <c r="O1493" s="1" t="str" cm="1">
        <f t="array" ref="O1493">_xlfn.IFS(orders[[#This Row],[Customer Gender]]="M","Male", orders[[#This Row],[Customer Gender]]="F","Female", orders[[#This Row],[Customer Gender]]="O","Other", TRUE,"Unknown")</f>
        <v>Female</v>
      </c>
    </row>
    <row r="1494" spans="1:15">
      <c r="A1494" s="1" t="s">
        <v>1593</v>
      </c>
      <c r="B1494" s="1" t="s">
        <v>30</v>
      </c>
      <c r="C1494" s="1">
        <v>14</v>
      </c>
      <c r="D1494" s="1">
        <v>32.4</v>
      </c>
      <c r="E1494" s="11">
        <v>453.59999999999997</v>
      </c>
      <c r="F1494" s="3">
        <v>45713</v>
      </c>
      <c r="G1494" s="3">
        <v>45716</v>
      </c>
      <c r="H1494" s="1" t="s">
        <v>23</v>
      </c>
      <c r="I1494" s="1" t="s">
        <v>70</v>
      </c>
      <c r="J1494" s="1">
        <v>4</v>
      </c>
      <c r="K1494" s="1" t="s">
        <v>19</v>
      </c>
      <c r="L1494" s="1" t="s">
        <v>55</v>
      </c>
      <c r="M1494" s="1">
        <f>orders[[#This Row],[Ship Date]]-orders[[#This Row],[Order Date]]</f>
        <v>3</v>
      </c>
      <c r="N1494" s="1">
        <f>WEEKNUM(orders[[#This Row],[Order Date]])</f>
        <v>9</v>
      </c>
      <c r="O1494" s="1" t="str" cm="1">
        <f t="array" ref="O1494">_xlfn.IFS(orders[[#This Row],[Customer Gender]]="M","Male", orders[[#This Row],[Customer Gender]]="F","Female", orders[[#This Row],[Customer Gender]]="O","Other", TRUE,"Unknown")</f>
        <v>Male</v>
      </c>
    </row>
    <row r="1495" spans="1:15">
      <c r="A1495" s="1" t="s">
        <v>1594</v>
      </c>
      <c r="B1495" s="1" t="s">
        <v>39</v>
      </c>
      <c r="C1495" s="1">
        <v>3</v>
      </c>
      <c r="D1495" s="1">
        <v>40.9</v>
      </c>
      <c r="E1495" s="11">
        <v>122.69999999999999</v>
      </c>
      <c r="F1495" s="3">
        <v>45713</v>
      </c>
      <c r="G1495" s="3">
        <v>45713</v>
      </c>
      <c r="H1495" s="1" t="s">
        <v>17</v>
      </c>
      <c r="I1495" s="1" t="s">
        <v>35</v>
      </c>
      <c r="J1495" s="1">
        <v>4</v>
      </c>
      <c r="K1495" s="1" t="s">
        <v>19</v>
      </c>
      <c r="L1495" s="1" t="s">
        <v>62</v>
      </c>
      <c r="M1495" s="1">
        <f>orders[[#This Row],[Ship Date]]-orders[[#This Row],[Order Date]]</f>
        <v>0</v>
      </c>
      <c r="N1495" s="1">
        <f>WEEKNUM(orders[[#This Row],[Order Date]])</f>
        <v>9</v>
      </c>
      <c r="O1495" s="1" t="str" cm="1">
        <f t="array" ref="O1495">_xlfn.IFS(orders[[#This Row],[Customer Gender]]="M","Male", orders[[#This Row],[Customer Gender]]="F","Female", orders[[#This Row],[Customer Gender]]="O","Other", TRUE,"Unknown")</f>
        <v>Unknown</v>
      </c>
    </row>
    <row r="1496" spans="1:15">
      <c r="A1496" s="1" t="s">
        <v>1595</v>
      </c>
      <c r="B1496" s="1" t="s">
        <v>42</v>
      </c>
      <c r="C1496" s="1">
        <v>7</v>
      </c>
      <c r="D1496" s="1">
        <v>76.2</v>
      </c>
      <c r="E1496" s="11">
        <v>533.4</v>
      </c>
      <c r="F1496" s="3">
        <v>45713</v>
      </c>
      <c r="G1496" s="3">
        <v>45715</v>
      </c>
      <c r="H1496" s="1" t="s">
        <v>27</v>
      </c>
      <c r="I1496" s="1" t="s">
        <v>40</v>
      </c>
      <c r="J1496" s="1">
        <v>3</v>
      </c>
      <c r="K1496" s="1" t="s">
        <v>19</v>
      </c>
      <c r="L1496" s="1" t="s">
        <v>62</v>
      </c>
      <c r="M1496" s="1">
        <f>orders[[#This Row],[Ship Date]]-orders[[#This Row],[Order Date]]</f>
        <v>2</v>
      </c>
      <c r="N1496" s="1">
        <f>WEEKNUM(orders[[#This Row],[Order Date]])</f>
        <v>9</v>
      </c>
      <c r="O1496" s="1" t="str" cm="1">
        <f t="array" ref="O1496">_xlfn.IFS(orders[[#This Row],[Customer Gender]]="M","Male", orders[[#This Row],[Customer Gender]]="F","Female", orders[[#This Row],[Customer Gender]]="O","Other", TRUE,"Unknown")</f>
        <v>Female</v>
      </c>
    </row>
    <row r="1497" spans="1:15">
      <c r="A1497" s="1" t="s">
        <v>1596</v>
      </c>
      <c r="B1497" s="1" t="s">
        <v>26</v>
      </c>
      <c r="C1497" s="1">
        <v>1</v>
      </c>
      <c r="D1497" s="1">
        <v>85.6</v>
      </c>
      <c r="E1497" s="11">
        <v>85.6</v>
      </c>
      <c r="F1497" s="3">
        <v>45713</v>
      </c>
      <c r="G1497" s="3">
        <v>45715</v>
      </c>
      <c r="H1497" s="1" t="s">
        <v>23</v>
      </c>
      <c r="I1497" s="1" t="s">
        <v>40</v>
      </c>
      <c r="J1497" s="1">
        <v>4</v>
      </c>
      <c r="K1497" s="1" t="s">
        <v>19</v>
      </c>
      <c r="L1497" s="1" t="s">
        <v>62</v>
      </c>
      <c r="M1497" s="1">
        <f>orders[[#This Row],[Ship Date]]-orders[[#This Row],[Order Date]]</f>
        <v>2</v>
      </c>
      <c r="N1497" s="1">
        <f>WEEKNUM(orders[[#This Row],[Order Date]])</f>
        <v>9</v>
      </c>
      <c r="O1497" s="1" t="str" cm="1">
        <f t="array" ref="O1497">_xlfn.IFS(orders[[#This Row],[Customer Gender]]="M","Male", orders[[#This Row],[Customer Gender]]="F","Female", orders[[#This Row],[Customer Gender]]="O","Other", TRUE,"Unknown")</f>
        <v>Male</v>
      </c>
    </row>
    <row r="1498" spans="1:15">
      <c r="A1498" s="1" t="s">
        <v>1597</v>
      </c>
      <c r="B1498" s="1" t="s">
        <v>32</v>
      </c>
      <c r="C1498" s="1">
        <v>4</v>
      </c>
      <c r="D1498" s="1">
        <v>25</v>
      </c>
      <c r="E1498" s="11">
        <v>100</v>
      </c>
      <c r="F1498" s="3">
        <v>45713</v>
      </c>
      <c r="G1498" s="3">
        <v>45715</v>
      </c>
      <c r="H1498" s="1" t="s">
        <v>27</v>
      </c>
      <c r="I1498" s="1" t="s">
        <v>40</v>
      </c>
      <c r="J1498" s="1">
        <v>5</v>
      </c>
      <c r="K1498" s="1" t="s">
        <v>19</v>
      </c>
      <c r="L1498" s="1" t="s">
        <v>62</v>
      </c>
      <c r="M1498" s="1">
        <f>orders[[#This Row],[Ship Date]]-orders[[#This Row],[Order Date]]</f>
        <v>2</v>
      </c>
      <c r="N1498" s="1">
        <f>WEEKNUM(orders[[#This Row],[Order Date]])</f>
        <v>9</v>
      </c>
      <c r="O1498" s="1" t="str" cm="1">
        <f t="array" ref="O1498">_xlfn.IFS(orders[[#This Row],[Customer Gender]]="M","Male", orders[[#This Row],[Customer Gender]]="F","Female", orders[[#This Row],[Customer Gender]]="O","Other", TRUE,"Unknown")</f>
        <v>Female</v>
      </c>
    </row>
    <row r="1499" spans="1:15">
      <c r="A1499" s="1" t="s">
        <v>1598</v>
      </c>
      <c r="B1499" s="1" t="s">
        <v>26</v>
      </c>
      <c r="C1499" s="1">
        <v>5</v>
      </c>
      <c r="D1499" s="1">
        <v>150.69999999999999</v>
      </c>
      <c r="E1499" s="11">
        <v>753.5</v>
      </c>
      <c r="F1499" s="3">
        <v>45713</v>
      </c>
      <c r="G1499" s="3">
        <v>45714</v>
      </c>
      <c r="H1499" s="1" t="s">
        <v>17</v>
      </c>
      <c r="I1499" s="1" t="s">
        <v>18</v>
      </c>
      <c r="J1499" s="1">
        <v>5</v>
      </c>
      <c r="K1499" s="1" t="s">
        <v>19</v>
      </c>
      <c r="L1499" s="1" t="s">
        <v>62</v>
      </c>
      <c r="M1499" s="1">
        <f>orders[[#This Row],[Ship Date]]-orders[[#This Row],[Order Date]]</f>
        <v>1</v>
      </c>
      <c r="N1499" s="1">
        <f>WEEKNUM(orders[[#This Row],[Order Date]])</f>
        <v>9</v>
      </c>
      <c r="O1499" s="1" t="str" cm="1">
        <f t="array" ref="O1499">_xlfn.IFS(orders[[#This Row],[Customer Gender]]="M","Male", orders[[#This Row],[Customer Gender]]="F","Female", orders[[#This Row],[Customer Gender]]="O","Other", TRUE,"Unknown")</f>
        <v>Unknown</v>
      </c>
    </row>
    <row r="1500" spans="1:15">
      <c r="A1500" s="1" t="s">
        <v>1599</v>
      </c>
      <c r="B1500" s="1" t="s">
        <v>44</v>
      </c>
      <c r="C1500" s="1">
        <v>1</v>
      </c>
      <c r="D1500" s="1">
        <v>19.600000000000001</v>
      </c>
      <c r="E1500" s="11">
        <v>19.600000000000001</v>
      </c>
      <c r="F1500" s="3">
        <v>45713</v>
      </c>
      <c r="G1500" s="3">
        <v>45714</v>
      </c>
      <c r="H1500" s="1" t="s">
        <v>23</v>
      </c>
      <c r="I1500" s="1" t="s">
        <v>35</v>
      </c>
      <c r="J1500" s="1">
        <v>2</v>
      </c>
      <c r="K1500" s="1" t="s">
        <v>19</v>
      </c>
      <c r="L1500" s="1" t="s">
        <v>62</v>
      </c>
      <c r="M1500" s="1">
        <f>orders[[#This Row],[Ship Date]]-orders[[#This Row],[Order Date]]</f>
        <v>1</v>
      </c>
      <c r="N1500" s="1">
        <f>WEEKNUM(orders[[#This Row],[Order Date]])</f>
        <v>9</v>
      </c>
      <c r="O1500" s="1" t="str" cm="1">
        <f t="array" ref="O1500">_xlfn.IFS(orders[[#This Row],[Customer Gender]]="M","Male", orders[[#This Row],[Customer Gender]]="F","Female", orders[[#This Row],[Customer Gender]]="O","Other", TRUE,"Unknown")</f>
        <v>Male</v>
      </c>
    </row>
    <row r="1501" spans="1:15">
      <c r="A1501" s="1" t="s">
        <v>1600</v>
      </c>
      <c r="B1501" s="1" t="s">
        <v>76</v>
      </c>
      <c r="C1501" s="1">
        <v>2</v>
      </c>
      <c r="D1501" s="1">
        <v>37.5</v>
      </c>
      <c r="E1501" s="11">
        <v>75</v>
      </c>
      <c r="F1501" s="3">
        <v>45713</v>
      </c>
      <c r="G1501" s="3">
        <v>45716</v>
      </c>
      <c r="H1501" s="1" t="s">
        <v>27</v>
      </c>
      <c r="I1501" s="1" t="s">
        <v>35</v>
      </c>
      <c r="J1501" s="1">
        <v>5</v>
      </c>
      <c r="K1501" s="1" t="s">
        <v>19</v>
      </c>
      <c r="L1501" s="1" t="s">
        <v>103</v>
      </c>
      <c r="M1501" s="1">
        <f>orders[[#This Row],[Ship Date]]-orders[[#This Row],[Order Date]]</f>
        <v>3</v>
      </c>
      <c r="N1501" s="1">
        <f>WEEKNUM(orders[[#This Row],[Order Date]])</f>
        <v>9</v>
      </c>
      <c r="O1501" s="1" t="str" cm="1">
        <f t="array" ref="O1501">_xlfn.IFS(orders[[#This Row],[Customer Gender]]="M","Male", orders[[#This Row],[Customer Gender]]="F","Female", orders[[#This Row],[Customer Gender]]="O","Other", TRUE,"Unknown")</f>
        <v>Female</v>
      </c>
    </row>
    <row r="1502" spans="1:15">
      <c r="A1502" s="1" t="s">
        <v>1601</v>
      </c>
      <c r="B1502" s="1" t="s">
        <v>46</v>
      </c>
      <c r="C1502" s="1">
        <v>3</v>
      </c>
      <c r="D1502" s="1">
        <v>51.9</v>
      </c>
      <c r="E1502" s="11">
        <v>155.69999999999999</v>
      </c>
      <c r="F1502" s="3">
        <v>45713</v>
      </c>
      <c r="G1502" s="3">
        <v>45719</v>
      </c>
      <c r="H1502" s="1" t="s">
        <v>27</v>
      </c>
      <c r="I1502" s="1" t="s">
        <v>18</v>
      </c>
      <c r="J1502" s="1">
        <v>2</v>
      </c>
      <c r="K1502" s="1" t="s">
        <v>19</v>
      </c>
      <c r="L1502" s="1" t="s">
        <v>77</v>
      </c>
      <c r="M1502" s="1">
        <f>orders[[#This Row],[Ship Date]]-orders[[#This Row],[Order Date]]</f>
        <v>6</v>
      </c>
      <c r="N1502" s="1">
        <f>WEEKNUM(orders[[#This Row],[Order Date]])</f>
        <v>9</v>
      </c>
      <c r="O1502" s="1" t="str" cm="1">
        <f t="array" ref="O1502">_xlfn.IFS(orders[[#This Row],[Customer Gender]]="M","Male", orders[[#This Row],[Customer Gender]]="F","Female", orders[[#This Row],[Customer Gender]]="O","Other", TRUE,"Unknown")</f>
        <v>Female</v>
      </c>
    </row>
    <row r="1503" spans="1:15">
      <c r="A1503" s="1" t="s">
        <v>1602</v>
      </c>
      <c r="B1503" s="1" t="s">
        <v>22</v>
      </c>
      <c r="C1503" s="1">
        <v>2</v>
      </c>
      <c r="D1503" s="1">
        <v>30.9</v>
      </c>
      <c r="E1503" s="11">
        <v>61.8</v>
      </c>
      <c r="F1503" s="3">
        <v>45713</v>
      </c>
      <c r="G1503" s="3">
        <v>45715</v>
      </c>
      <c r="H1503" s="1" t="s">
        <v>27</v>
      </c>
      <c r="I1503" s="1" t="s">
        <v>35</v>
      </c>
      <c r="J1503" s="1">
        <v>4</v>
      </c>
      <c r="K1503" s="1" t="s">
        <v>19</v>
      </c>
      <c r="L1503" s="1" t="s">
        <v>108</v>
      </c>
      <c r="M1503" s="1">
        <f>orders[[#This Row],[Ship Date]]-orders[[#This Row],[Order Date]]</f>
        <v>2</v>
      </c>
      <c r="N1503" s="1">
        <f>WEEKNUM(orders[[#This Row],[Order Date]])</f>
        <v>9</v>
      </c>
      <c r="O1503" s="1" t="str" cm="1">
        <f t="array" ref="O1503">_xlfn.IFS(orders[[#This Row],[Customer Gender]]="M","Male", orders[[#This Row],[Customer Gender]]="F","Female", orders[[#This Row],[Customer Gender]]="O","Other", TRUE,"Unknown")</f>
        <v>Female</v>
      </c>
    </row>
    <row r="1504" spans="1:15">
      <c r="A1504" s="1" t="s">
        <v>1603</v>
      </c>
      <c r="B1504" s="1" t="s">
        <v>32</v>
      </c>
      <c r="C1504" s="1">
        <v>3</v>
      </c>
      <c r="D1504" s="1">
        <v>21.2</v>
      </c>
      <c r="E1504" s="11">
        <v>63.599999999999994</v>
      </c>
      <c r="F1504" s="3">
        <v>45713</v>
      </c>
      <c r="G1504" s="3">
        <v>45716</v>
      </c>
      <c r="H1504" s="1" t="s">
        <v>27</v>
      </c>
      <c r="I1504" s="1" t="s">
        <v>35</v>
      </c>
      <c r="J1504" s="1">
        <v>4</v>
      </c>
      <c r="K1504" s="1" t="s">
        <v>19</v>
      </c>
      <c r="L1504" s="1" t="s">
        <v>110</v>
      </c>
      <c r="M1504" s="1">
        <f>orders[[#This Row],[Ship Date]]-orders[[#This Row],[Order Date]]</f>
        <v>3</v>
      </c>
      <c r="N1504" s="1">
        <f>WEEKNUM(orders[[#This Row],[Order Date]])</f>
        <v>9</v>
      </c>
      <c r="O1504" s="1" t="str" cm="1">
        <f t="array" ref="O1504">_xlfn.IFS(orders[[#This Row],[Customer Gender]]="M","Male", orders[[#This Row],[Customer Gender]]="F","Female", orders[[#This Row],[Customer Gender]]="O","Other", TRUE,"Unknown")</f>
        <v>Female</v>
      </c>
    </row>
    <row r="1505" spans="1:15">
      <c r="A1505" s="1" t="s">
        <v>1604</v>
      </c>
      <c r="B1505" s="1" t="s">
        <v>76</v>
      </c>
      <c r="C1505" s="1">
        <v>17</v>
      </c>
      <c r="D1505" s="1">
        <v>17.5</v>
      </c>
      <c r="E1505" s="11">
        <v>297.5</v>
      </c>
      <c r="F1505" s="3">
        <v>45713</v>
      </c>
      <c r="G1505" s="3">
        <v>45714</v>
      </c>
      <c r="H1505" s="1" t="s">
        <v>23</v>
      </c>
      <c r="I1505" s="1" t="s">
        <v>35</v>
      </c>
      <c r="J1505" s="1">
        <v>3</v>
      </c>
      <c r="K1505" s="1" t="s">
        <v>19</v>
      </c>
      <c r="L1505" s="1" t="s">
        <v>82</v>
      </c>
      <c r="M1505" s="1">
        <f>orders[[#This Row],[Ship Date]]-orders[[#This Row],[Order Date]]</f>
        <v>1</v>
      </c>
      <c r="N1505" s="1">
        <f>WEEKNUM(orders[[#This Row],[Order Date]])</f>
        <v>9</v>
      </c>
      <c r="O1505" s="1" t="str" cm="1">
        <f t="array" ref="O1505">_xlfn.IFS(orders[[#This Row],[Customer Gender]]="M","Male", orders[[#This Row],[Customer Gender]]="F","Female", orders[[#This Row],[Customer Gender]]="O","Other", TRUE,"Unknown")</f>
        <v>Male</v>
      </c>
    </row>
    <row r="1506" spans="1:15">
      <c r="A1506" s="1" t="s">
        <v>1605</v>
      </c>
      <c r="B1506" s="1" t="s">
        <v>69</v>
      </c>
      <c r="C1506" s="1">
        <v>2</v>
      </c>
      <c r="D1506" s="1">
        <v>53.8</v>
      </c>
      <c r="E1506" s="11">
        <v>107.6</v>
      </c>
      <c r="F1506" s="3">
        <v>45713</v>
      </c>
      <c r="G1506" s="3">
        <v>45718</v>
      </c>
      <c r="H1506" s="1" t="s">
        <v>27</v>
      </c>
      <c r="I1506" s="1" t="s">
        <v>18</v>
      </c>
      <c r="J1506" s="1">
        <v>5</v>
      </c>
      <c r="K1506" s="1" t="s">
        <v>19</v>
      </c>
      <c r="L1506" s="1" t="s">
        <v>115</v>
      </c>
      <c r="M1506" s="1">
        <f>orders[[#This Row],[Ship Date]]-orders[[#This Row],[Order Date]]</f>
        <v>5</v>
      </c>
      <c r="N1506" s="1">
        <f>WEEKNUM(orders[[#This Row],[Order Date]])</f>
        <v>9</v>
      </c>
      <c r="O1506" s="1" t="str" cm="1">
        <f t="array" ref="O1506">_xlfn.IFS(orders[[#This Row],[Customer Gender]]="M","Male", orders[[#This Row],[Customer Gender]]="F","Female", orders[[#This Row],[Customer Gender]]="O","Other", TRUE,"Unknown")</f>
        <v>Female</v>
      </c>
    </row>
    <row r="1507" spans="1:15">
      <c r="A1507" s="1" t="s">
        <v>1606</v>
      </c>
      <c r="B1507" s="1" t="s">
        <v>171</v>
      </c>
      <c r="C1507" s="1">
        <v>2</v>
      </c>
      <c r="D1507" s="1">
        <v>17</v>
      </c>
      <c r="E1507" s="11">
        <v>34</v>
      </c>
      <c r="F1507" s="3">
        <v>45713</v>
      </c>
      <c r="G1507" s="3">
        <v>45714</v>
      </c>
      <c r="H1507" s="1" t="s">
        <v>23</v>
      </c>
      <c r="I1507" s="1" t="s">
        <v>51</v>
      </c>
      <c r="J1507" s="1">
        <v>4</v>
      </c>
      <c r="K1507" s="1" t="s">
        <v>19</v>
      </c>
      <c r="L1507" s="1" t="s">
        <v>115</v>
      </c>
      <c r="M1507" s="1">
        <f>orders[[#This Row],[Ship Date]]-orders[[#This Row],[Order Date]]</f>
        <v>1</v>
      </c>
      <c r="N1507" s="1">
        <f>WEEKNUM(orders[[#This Row],[Order Date]])</f>
        <v>9</v>
      </c>
      <c r="O1507" s="1" t="str" cm="1">
        <f t="array" ref="O1507">_xlfn.IFS(orders[[#This Row],[Customer Gender]]="M","Male", orders[[#This Row],[Customer Gender]]="F","Female", orders[[#This Row],[Customer Gender]]="O","Other", TRUE,"Unknown")</f>
        <v>Male</v>
      </c>
    </row>
    <row r="1508" spans="1:15">
      <c r="A1508" s="1" t="s">
        <v>1607</v>
      </c>
      <c r="B1508" s="1" t="s">
        <v>39</v>
      </c>
      <c r="C1508" s="1">
        <v>1</v>
      </c>
      <c r="D1508" s="1">
        <v>103.2</v>
      </c>
      <c r="E1508" s="11">
        <v>103.2</v>
      </c>
      <c r="F1508" s="3">
        <v>45713</v>
      </c>
      <c r="G1508" s="3">
        <v>45721</v>
      </c>
      <c r="H1508" s="1" t="s">
        <v>23</v>
      </c>
      <c r="I1508" s="1" t="s">
        <v>40</v>
      </c>
      <c r="J1508" s="1">
        <v>3</v>
      </c>
      <c r="K1508" s="1" t="s">
        <v>19</v>
      </c>
      <c r="L1508" s="1" t="s">
        <v>24</v>
      </c>
      <c r="M1508" s="1">
        <f>orders[[#This Row],[Ship Date]]-orders[[#This Row],[Order Date]]</f>
        <v>8</v>
      </c>
      <c r="N1508" s="1">
        <f>WEEKNUM(orders[[#This Row],[Order Date]])</f>
        <v>9</v>
      </c>
      <c r="O1508" s="1" t="str" cm="1">
        <f t="array" ref="O1508">_xlfn.IFS(orders[[#This Row],[Customer Gender]]="M","Male", orders[[#This Row],[Customer Gender]]="F","Female", orders[[#This Row],[Customer Gender]]="O","Other", TRUE,"Unknown")</f>
        <v>Male</v>
      </c>
    </row>
    <row r="1509" spans="1:15">
      <c r="A1509" s="1" t="s">
        <v>1608</v>
      </c>
      <c r="B1509" s="1" t="s">
        <v>39</v>
      </c>
      <c r="C1509" s="1">
        <v>4</v>
      </c>
      <c r="D1509" s="1">
        <v>70.3</v>
      </c>
      <c r="E1509" s="11">
        <v>281.2</v>
      </c>
      <c r="F1509" s="3">
        <v>45713</v>
      </c>
      <c r="G1509" s="3">
        <v>45714</v>
      </c>
      <c r="H1509" s="1" t="s">
        <v>23</v>
      </c>
      <c r="I1509" s="1" t="s">
        <v>18</v>
      </c>
      <c r="J1509" s="1">
        <v>4</v>
      </c>
      <c r="K1509" s="1" t="s">
        <v>19</v>
      </c>
      <c r="L1509" s="1" t="s">
        <v>33</v>
      </c>
      <c r="M1509" s="1">
        <f>orders[[#This Row],[Ship Date]]-orders[[#This Row],[Order Date]]</f>
        <v>1</v>
      </c>
      <c r="N1509" s="1">
        <f>WEEKNUM(orders[[#This Row],[Order Date]])</f>
        <v>9</v>
      </c>
      <c r="O1509" s="1" t="str" cm="1">
        <f t="array" ref="O1509">_xlfn.IFS(orders[[#This Row],[Customer Gender]]="M","Male", orders[[#This Row],[Customer Gender]]="F","Female", orders[[#This Row],[Customer Gender]]="O","Other", TRUE,"Unknown")</f>
        <v>Male</v>
      </c>
    </row>
    <row r="1510" spans="1:15">
      <c r="A1510" s="1" t="s">
        <v>1609</v>
      </c>
      <c r="B1510" s="1" t="s">
        <v>26</v>
      </c>
      <c r="C1510" s="1">
        <v>2</v>
      </c>
      <c r="D1510" s="1">
        <v>73.8</v>
      </c>
      <c r="E1510" s="11">
        <v>147.6</v>
      </c>
      <c r="F1510" s="3">
        <v>45713</v>
      </c>
      <c r="G1510" s="3">
        <v>45713</v>
      </c>
      <c r="H1510" s="1" t="s">
        <v>23</v>
      </c>
      <c r="I1510" s="1" t="s">
        <v>51</v>
      </c>
      <c r="J1510" s="1">
        <v>5</v>
      </c>
      <c r="K1510" s="1" t="s">
        <v>19</v>
      </c>
      <c r="L1510" s="1" t="s">
        <v>33</v>
      </c>
      <c r="M1510" s="1">
        <f>orders[[#This Row],[Ship Date]]-orders[[#This Row],[Order Date]]</f>
        <v>0</v>
      </c>
      <c r="N1510" s="1">
        <f>WEEKNUM(orders[[#This Row],[Order Date]])</f>
        <v>9</v>
      </c>
      <c r="O1510" s="1" t="str" cm="1">
        <f t="array" ref="O1510">_xlfn.IFS(orders[[#This Row],[Customer Gender]]="M","Male", orders[[#This Row],[Customer Gender]]="F","Female", orders[[#This Row],[Customer Gender]]="O","Other", TRUE,"Unknown")</f>
        <v>Male</v>
      </c>
    </row>
    <row r="1511" spans="1:15">
      <c r="A1511" s="1" t="s">
        <v>1610</v>
      </c>
      <c r="B1511" s="1" t="s">
        <v>22</v>
      </c>
      <c r="C1511" s="1">
        <v>12</v>
      </c>
      <c r="D1511" s="1">
        <v>67.7</v>
      </c>
      <c r="E1511" s="11">
        <v>812.40000000000009</v>
      </c>
      <c r="F1511" s="3">
        <v>45713</v>
      </c>
      <c r="G1511" s="3">
        <v>45717</v>
      </c>
      <c r="H1511" s="1" t="s">
        <v>23</v>
      </c>
      <c r="I1511" s="1" t="s">
        <v>35</v>
      </c>
      <c r="J1511" s="1">
        <v>3</v>
      </c>
      <c r="K1511" s="1" t="s">
        <v>19</v>
      </c>
      <c r="L1511" s="1" t="s">
        <v>33</v>
      </c>
      <c r="M1511" s="1">
        <f>orders[[#This Row],[Ship Date]]-orders[[#This Row],[Order Date]]</f>
        <v>4</v>
      </c>
      <c r="N1511" s="1">
        <f>WEEKNUM(orders[[#This Row],[Order Date]])</f>
        <v>9</v>
      </c>
      <c r="O1511" s="1" t="str" cm="1">
        <f t="array" ref="O1511">_xlfn.IFS(orders[[#This Row],[Customer Gender]]="M","Male", orders[[#This Row],[Customer Gender]]="F","Female", orders[[#This Row],[Customer Gender]]="O","Other", TRUE,"Unknown")</f>
        <v>Male</v>
      </c>
    </row>
    <row r="1512" spans="1:15">
      <c r="A1512" s="1" t="s">
        <v>1611</v>
      </c>
      <c r="B1512" s="1" t="s">
        <v>76</v>
      </c>
      <c r="C1512" s="1">
        <v>7</v>
      </c>
      <c r="D1512" s="1">
        <v>43.8</v>
      </c>
      <c r="E1512" s="11">
        <v>306.59999999999997</v>
      </c>
      <c r="F1512" s="3">
        <v>45713</v>
      </c>
      <c r="G1512" s="3">
        <v>45715</v>
      </c>
      <c r="H1512" s="1" t="s">
        <v>23</v>
      </c>
      <c r="I1512" s="1" t="s">
        <v>35</v>
      </c>
      <c r="J1512" s="1">
        <v>4</v>
      </c>
      <c r="K1512" s="1" t="s">
        <v>19</v>
      </c>
      <c r="L1512" s="1" t="s">
        <v>33</v>
      </c>
      <c r="M1512" s="1">
        <f>orders[[#This Row],[Ship Date]]-orders[[#This Row],[Order Date]]</f>
        <v>2</v>
      </c>
      <c r="N1512" s="1">
        <f>WEEKNUM(orders[[#This Row],[Order Date]])</f>
        <v>9</v>
      </c>
      <c r="O1512" s="1" t="str" cm="1">
        <f t="array" ref="O1512">_xlfn.IFS(orders[[#This Row],[Customer Gender]]="M","Male", orders[[#This Row],[Customer Gender]]="F","Female", orders[[#This Row],[Customer Gender]]="O","Other", TRUE,"Unknown")</f>
        <v>Male</v>
      </c>
    </row>
    <row r="1513" spans="1:15">
      <c r="A1513" s="1" t="s">
        <v>1612</v>
      </c>
      <c r="B1513" s="1" t="s">
        <v>135</v>
      </c>
      <c r="C1513" s="1">
        <v>6</v>
      </c>
      <c r="D1513" s="1">
        <v>71.900000000000006</v>
      </c>
      <c r="E1513" s="11">
        <v>431.40000000000003</v>
      </c>
      <c r="F1513" s="3">
        <v>45713</v>
      </c>
      <c r="G1513" s="3">
        <v>45714</v>
      </c>
      <c r="H1513" s="1" t="s">
        <v>27</v>
      </c>
      <c r="I1513" s="1" t="s">
        <v>40</v>
      </c>
      <c r="J1513" s="1">
        <v>4</v>
      </c>
      <c r="K1513" s="1" t="s">
        <v>19</v>
      </c>
      <c r="L1513" s="1" t="s">
        <v>33</v>
      </c>
      <c r="M1513" s="1">
        <f>orders[[#This Row],[Ship Date]]-orders[[#This Row],[Order Date]]</f>
        <v>1</v>
      </c>
      <c r="N1513" s="1">
        <f>WEEKNUM(orders[[#This Row],[Order Date]])</f>
        <v>9</v>
      </c>
      <c r="O1513" s="1" t="str" cm="1">
        <f t="array" ref="O1513">_xlfn.IFS(orders[[#This Row],[Customer Gender]]="M","Male", orders[[#This Row],[Customer Gender]]="F","Female", orders[[#This Row],[Customer Gender]]="O","Other", TRUE,"Unknown")</f>
        <v>Female</v>
      </c>
    </row>
    <row r="1514" spans="1:15">
      <c r="A1514" s="1" t="s">
        <v>1613</v>
      </c>
      <c r="B1514" s="1" t="s">
        <v>44</v>
      </c>
      <c r="C1514" s="1">
        <v>2</v>
      </c>
      <c r="D1514" s="1">
        <v>26.3</v>
      </c>
      <c r="E1514" s="11">
        <v>52.6</v>
      </c>
      <c r="F1514" s="3">
        <v>45714</v>
      </c>
      <c r="G1514" s="3">
        <v>45716</v>
      </c>
      <c r="H1514" s="1" t="s">
        <v>27</v>
      </c>
      <c r="I1514" s="1" t="s">
        <v>18</v>
      </c>
      <c r="J1514" s="1">
        <v>3</v>
      </c>
      <c r="K1514" s="1" t="s">
        <v>19</v>
      </c>
      <c r="L1514" s="1" t="s">
        <v>33</v>
      </c>
      <c r="M1514" s="1">
        <f>orders[[#This Row],[Ship Date]]-orders[[#This Row],[Order Date]]</f>
        <v>2</v>
      </c>
      <c r="N1514" s="1">
        <f>WEEKNUM(orders[[#This Row],[Order Date]])</f>
        <v>9</v>
      </c>
      <c r="O1514" s="1" t="str" cm="1">
        <f t="array" ref="O1514">_xlfn.IFS(orders[[#This Row],[Customer Gender]]="M","Male", orders[[#This Row],[Customer Gender]]="F","Female", orders[[#This Row],[Customer Gender]]="O","Other", TRUE,"Unknown")</f>
        <v>Female</v>
      </c>
    </row>
    <row r="1515" spans="1:15">
      <c r="A1515" s="1" t="s">
        <v>1614</v>
      </c>
      <c r="B1515" s="1" t="s">
        <v>39</v>
      </c>
      <c r="C1515" s="1">
        <v>4</v>
      </c>
      <c r="D1515" s="1">
        <v>52.6</v>
      </c>
      <c r="E1515" s="11">
        <v>210.4</v>
      </c>
      <c r="F1515" s="3">
        <v>45714</v>
      </c>
      <c r="G1515" s="3">
        <v>45716</v>
      </c>
      <c r="H1515" s="1" t="s">
        <v>27</v>
      </c>
      <c r="I1515" s="1" t="s">
        <v>40</v>
      </c>
      <c r="J1515" s="1">
        <v>3</v>
      </c>
      <c r="K1515" s="1" t="s">
        <v>19</v>
      </c>
      <c r="L1515" s="1" t="s">
        <v>33</v>
      </c>
      <c r="M1515" s="1">
        <f>orders[[#This Row],[Ship Date]]-orders[[#This Row],[Order Date]]</f>
        <v>2</v>
      </c>
      <c r="N1515" s="1">
        <f>WEEKNUM(orders[[#This Row],[Order Date]])</f>
        <v>9</v>
      </c>
      <c r="O1515" s="1" t="str" cm="1">
        <f t="array" ref="O1515">_xlfn.IFS(orders[[#This Row],[Customer Gender]]="M","Male", orders[[#This Row],[Customer Gender]]="F","Female", orders[[#This Row],[Customer Gender]]="O","Other", TRUE,"Unknown")</f>
        <v>Female</v>
      </c>
    </row>
    <row r="1516" spans="1:15">
      <c r="A1516" s="1" t="s">
        <v>1615</v>
      </c>
      <c r="B1516" s="1" t="s">
        <v>54</v>
      </c>
      <c r="C1516" s="1">
        <v>1</v>
      </c>
      <c r="D1516" s="1">
        <v>32.700000000000003</v>
      </c>
      <c r="E1516" s="11">
        <v>32.700000000000003</v>
      </c>
      <c r="F1516" s="3">
        <v>45714</v>
      </c>
      <c r="G1516" s="3">
        <v>45721</v>
      </c>
      <c r="H1516" s="1" t="s">
        <v>27</v>
      </c>
      <c r="I1516" s="1" t="s">
        <v>18</v>
      </c>
      <c r="J1516" s="1">
        <v>5</v>
      </c>
      <c r="K1516" s="1" t="s">
        <v>19</v>
      </c>
      <c r="L1516" s="1" t="s">
        <v>33</v>
      </c>
      <c r="M1516" s="1">
        <f>orders[[#This Row],[Ship Date]]-orders[[#This Row],[Order Date]]</f>
        <v>7</v>
      </c>
      <c r="N1516" s="1">
        <f>WEEKNUM(orders[[#This Row],[Order Date]])</f>
        <v>9</v>
      </c>
      <c r="O1516" s="1" t="str" cm="1">
        <f t="array" ref="O1516">_xlfn.IFS(orders[[#This Row],[Customer Gender]]="M","Male", orders[[#This Row],[Customer Gender]]="F","Female", orders[[#This Row],[Customer Gender]]="O","Other", TRUE,"Unknown")</f>
        <v>Female</v>
      </c>
    </row>
    <row r="1517" spans="1:15">
      <c r="A1517" s="1" t="s">
        <v>1616</v>
      </c>
      <c r="B1517" s="1" t="s">
        <v>37</v>
      </c>
      <c r="C1517" s="1">
        <v>4</v>
      </c>
      <c r="D1517" s="1">
        <v>38.9</v>
      </c>
      <c r="E1517" s="11">
        <v>155.6</v>
      </c>
      <c r="F1517" s="3">
        <v>45714</v>
      </c>
      <c r="G1517" s="3">
        <v>45715</v>
      </c>
      <c r="H1517" s="1" t="s">
        <v>27</v>
      </c>
      <c r="I1517" s="1" t="s">
        <v>18</v>
      </c>
      <c r="J1517" s="1">
        <v>4</v>
      </c>
      <c r="K1517" s="1" t="s">
        <v>19</v>
      </c>
      <c r="L1517" s="1" t="s">
        <v>33</v>
      </c>
      <c r="M1517" s="1">
        <f>orders[[#This Row],[Ship Date]]-orders[[#This Row],[Order Date]]</f>
        <v>1</v>
      </c>
      <c r="N1517" s="1">
        <f>WEEKNUM(orders[[#This Row],[Order Date]])</f>
        <v>9</v>
      </c>
      <c r="O1517" s="1" t="str" cm="1">
        <f t="array" ref="O1517">_xlfn.IFS(orders[[#This Row],[Customer Gender]]="M","Male", orders[[#This Row],[Customer Gender]]="F","Female", orders[[#This Row],[Customer Gender]]="O","Other", TRUE,"Unknown")</f>
        <v>Female</v>
      </c>
    </row>
    <row r="1518" spans="1:15">
      <c r="A1518" s="1" t="s">
        <v>1617</v>
      </c>
      <c r="B1518" s="1" t="s">
        <v>46</v>
      </c>
      <c r="C1518" s="1">
        <v>5</v>
      </c>
      <c r="D1518" s="1">
        <v>35</v>
      </c>
      <c r="E1518" s="11">
        <v>175</v>
      </c>
      <c r="F1518" s="3">
        <v>45714</v>
      </c>
      <c r="G1518" s="3">
        <v>45716</v>
      </c>
      <c r="H1518" s="1" t="s">
        <v>23</v>
      </c>
      <c r="I1518" s="1" t="s">
        <v>18</v>
      </c>
      <c r="J1518" s="1">
        <v>4</v>
      </c>
      <c r="K1518" s="1" t="s">
        <v>19</v>
      </c>
      <c r="L1518" s="1" t="s">
        <v>33</v>
      </c>
      <c r="M1518" s="1">
        <f>orders[[#This Row],[Ship Date]]-orders[[#This Row],[Order Date]]</f>
        <v>2</v>
      </c>
      <c r="N1518" s="1">
        <f>WEEKNUM(orders[[#This Row],[Order Date]])</f>
        <v>9</v>
      </c>
      <c r="O1518" s="1" t="str" cm="1">
        <f t="array" ref="O1518">_xlfn.IFS(orders[[#This Row],[Customer Gender]]="M","Male", orders[[#This Row],[Customer Gender]]="F","Female", orders[[#This Row],[Customer Gender]]="O","Other", TRUE,"Unknown")</f>
        <v>Male</v>
      </c>
    </row>
    <row r="1519" spans="1:15">
      <c r="A1519" s="1" t="s">
        <v>1618</v>
      </c>
      <c r="B1519" s="1" t="s">
        <v>26</v>
      </c>
      <c r="C1519" s="1">
        <v>2</v>
      </c>
      <c r="D1519" s="1">
        <v>121</v>
      </c>
      <c r="E1519" s="11">
        <v>242</v>
      </c>
      <c r="F1519" s="3">
        <v>45714</v>
      </c>
      <c r="G1519" s="3">
        <v>45715</v>
      </c>
      <c r="H1519" s="1" t="s">
        <v>27</v>
      </c>
      <c r="I1519" s="1" t="s">
        <v>35</v>
      </c>
      <c r="J1519" s="1">
        <v>3</v>
      </c>
      <c r="K1519" s="1" t="s">
        <v>19</v>
      </c>
      <c r="L1519" s="1" t="s">
        <v>33</v>
      </c>
      <c r="M1519" s="1">
        <f>orders[[#This Row],[Ship Date]]-orders[[#This Row],[Order Date]]</f>
        <v>1</v>
      </c>
      <c r="N1519" s="1">
        <f>WEEKNUM(orders[[#This Row],[Order Date]])</f>
        <v>9</v>
      </c>
      <c r="O1519" s="1" t="str" cm="1">
        <f t="array" ref="O1519">_xlfn.IFS(orders[[#This Row],[Customer Gender]]="M","Male", orders[[#This Row],[Customer Gender]]="F","Female", orders[[#This Row],[Customer Gender]]="O","Other", TRUE,"Unknown")</f>
        <v>Female</v>
      </c>
    </row>
    <row r="1520" spans="1:15">
      <c r="A1520" s="1" t="s">
        <v>1619</v>
      </c>
      <c r="B1520" s="1" t="s">
        <v>39</v>
      </c>
      <c r="C1520" s="1">
        <v>3</v>
      </c>
      <c r="D1520" s="1">
        <v>65.099999999999994</v>
      </c>
      <c r="E1520" s="11">
        <v>195.29999999999998</v>
      </c>
      <c r="F1520" s="3">
        <v>45714</v>
      </c>
      <c r="G1520" s="3">
        <v>45718</v>
      </c>
      <c r="H1520" s="1" t="s">
        <v>23</v>
      </c>
      <c r="I1520" s="1" t="s">
        <v>40</v>
      </c>
      <c r="J1520" s="1">
        <v>4</v>
      </c>
      <c r="K1520" s="1" t="s">
        <v>19</v>
      </c>
      <c r="L1520" s="1" t="s">
        <v>342</v>
      </c>
      <c r="M1520" s="1">
        <f>orders[[#This Row],[Ship Date]]-orders[[#This Row],[Order Date]]</f>
        <v>4</v>
      </c>
      <c r="N1520" s="1">
        <f>WEEKNUM(orders[[#This Row],[Order Date]])</f>
        <v>9</v>
      </c>
      <c r="O1520" s="1" t="str" cm="1">
        <f t="array" ref="O1520">_xlfn.IFS(orders[[#This Row],[Customer Gender]]="M","Male", orders[[#This Row],[Customer Gender]]="F","Female", orders[[#This Row],[Customer Gender]]="O","Other", TRUE,"Unknown")</f>
        <v>Male</v>
      </c>
    </row>
    <row r="1521" spans="1:15">
      <c r="A1521" s="1" t="s">
        <v>1620</v>
      </c>
      <c r="B1521" s="1" t="s">
        <v>22</v>
      </c>
      <c r="C1521" s="1">
        <v>21</v>
      </c>
      <c r="D1521" s="1">
        <v>63.8</v>
      </c>
      <c r="E1521" s="11">
        <v>1339.8</v>
      </c>
      <c r="F1521" s="3">
        <v>45714</v>
      </c>
      <c r="G1521" s="3">
        <v>45716</v>
      </c>
      <c r="H1521" s="1" t="s">
        <v>27</v>
      </c>
      <c r="I1521" s="1" t="s">
        <v>18</v>
      </c>
      <c r="J1521" s="1">
        <v>4</v>
      </c>
      <c r="K1521" s="1" t="s">
        <v>19</v>
      </c>
      <c r="L1521" s="1" t="s">
        <v>62</v>
      </c>
      <c r="M1521" s="1">
        <f>orders[[#This Row],[Ship Date]]-orders[[#This Row],[Order Date]]</f>
        <v>2</v>
      </c>
      <c r="N1521" s="1">
        <f>WEEKNUM(orders[[#This Row],[Order Date]])</f>
        <v>9</v>
      </c>
      <c r="O1521" s="1" t="str" cm="1">
        <f t="array" ref="O1521">_xlfn.IFS(orders[[#This Row],[Customer Gender]]="M","Male", orders[[#This Row],[Customer Gender]]="F","Female", orders[[#This Row],[Customer Gender]]="O","Other", TRUE,"Unknown")</f>
        <v>Female</v>
      </c>
    </row>
    <row r="1522" spans="1:15">
      <c r="A1522" s="1" t="s">
        <v>1621</v>
      </c>
      <c r="B1522" s="1" t="s">
        <v>42</v>
      </c>
      <c r="C1522" s="1">
        <v>1</v>
      </c>
      <c r="D1522" s="1">
        <v>77.7</v>
      </c>
      <c r="E1522" s="11">
        <v>77.7</v>
      </c>
      <c r="F1522" s="3">
        <v>45714</v>
      </c>
      <c r="G1522" s="3">
        <v>45716</v>
      </c>
      <c r="H1522" s="1" t="s">
        <v>23</v>
      </c>
      <c r="I1522" s="1" t="s">
        <v>18</v>
      </c>
      <c r="J1522" s="1">
        <v>4</v>
      </c>
      <c r="K1522" s="1" t="s">
        <v>19</v>
      </c>
      <c r="L1522" s="1" t="s">
        <v>62</v>
      </c>
      <c r="M1522" s="1">
        <f>orders[[#This Row],[Ship Date]]-orders[[#This Row],[Order Date]]</f>
        <v>2</v>
      </c>
      <c r="N1522" s="1">
        <f>WEEKNUM(orders[[#This Row],[Order Date]])</f>
        <v>9</v>
      </c>
      <c r="O1522" s="1" t="str" cm="1">
        <f t="array" ref="O1522">_xlfn.IFS(orders[[#This Row],[Customer Gender]]="M","Male", orders[[#This Row],[Customer Gender]]="F","Female", orders[[#This Row],[Customer Gender]]="O","Other", TRUE,"Unknown")</f>
        <v>Male</v>
      </c>
    </row>
    <row r="1523" spans="1:15">
      <c r="A1523" s="1" t="s">
        <v>1622</v>
      </c>
      <c r="B1523" s="1" t="s">
        <v>37</v>
      </c>
      <c r="C1523" s="1">
        <v>4</v>
      </c>
      <c r="D1523" s="1">
        <v>60.3</v>
      </c>
      <c r="E1523" s="11">
        <v>241.2</v>
      </c>
      <c r="F1523" s="3">
        <v>45714</v>
      </c>
      <c r="G1523" s="3">
        <v>45714</v>
      </c>
      <c r="H1523" s="1" t="s">
        <v>23</v>
      </c>
      <c r="I1523" s="1" t="s">
        <v>18</v>
      </c>
      <c r="J1523" s="1">
        <v>5</v>
      </c>
      <c r="K1523" s="1" t="s">
        <v>19</v>
      </c>
      <c r="L1523" s="1" t="s">
        <v>62</v>
      </c>
      <c r="M1523" s="1">
        <f>orders[[#This Row],[Ship Date]]-orders[[#This Row],[Order Date]]</f>
        <v>0</v>
      </c>
      <c r="N1523" s="1">
        <f>WEEKNUM(orders[[#This Row],[Order Date]])</f>
        <v>9</v>
      </c>
      <c r="O1523" s="1" t="str" cm="1">
        <f t="array" ref="O1523">_xlfn.IFS(orders[[#This Row],[Customer Gender]]="M","Male", orders[[#This Row],[Customer Gender]]="F","Female", orders[[#This Row],[Customer Gender]]="O","Other", TRUE,"Unknown")</f>
        <v>Male</v>
      </c>
    </row>
    <row r="1524" spans="1:15">
      <c r="A1524" s="1" t="s">
        <v>1623</v>
      </c>
      <c r="B1524" s="1" t="s">
        <v>37</v>
      </c>
      <c r="C1524" s="1">
        <v>2</v>
      </c>
      <c r="D1524" s="1">
        <v>124.1</v>
      </c>
      <c r="E1524" s="11">
        <v>248.2</v>
      </c>
      <c r="F1524" s="3">
        <v>45714</v>
      </c>
      <c r="G1524" s="3">
        <v>45717</v>
      </c>
      <c r="H1524" s="1" t="s">
        <v>27</v>
      </c>
      <c r="I1524" s="1" t="s">
        <v>18</v>
      </c>
      <c r="J1524" s="1">
        <v>5</v>
      </c>
      <c r="K1524" s="1" t="s">
        <v>19</v>
      </c>
      <c r="L1524" s="1" t="s">
        <v>62</v>
      </c>
      <c r="M1524" s="1">
        <f>orders[[#This Row],[Ship Date]]-orders[[#This Row],[Order Date]]</f>
        <v>3</v>
      </c>
      <c r="N1524" s="1">
        <f>WEEKNUM(orders[[#This Row],[Order Date]])</f>
        <v>9</v>
      </c>
      <c r="O1524" s="1" t="str" cm="1">
        <f t="array" ref="O1524">_xlfn.IFS(orders[[#This Row],[Customer Gender]]="M","Male", orders[[#This Row],[Customer Gender]]="F","Female", orders[[#This Row],[Customer Gender]]="O","Other", TRUE,"Unknown")</f>
        <v>Female</v>
      </c>
    </row>
    <row r="1525" spans="1:15">
      <c r="A1525" s="1" t="s">
        <v>1624</v>
      </c>
      <c r="B1525" s="1" t="s">
        <v>128</v>
      </c>
      <c r="C1525" s="1">
        <v>7</v>
      </c>
      <c r="D1525" s="1">
        <v>66</v>
      </c>
      <c r="E1525" s="11">
        <v>462</v>
      </c>
      <c r="F1525" s="3">
        <v>45714</v>
      </c>
      <c r="G1525" s="3">
        <v>45714</v>
      </c>
      <c r="H1525" s="1" t="s">
        <v>17</v>
      </c>
      <c r="I1525" s="1" t="s">
        <v>51</v>
      </c>
      <c r="J1525" s="1">
        <v>4</v>
      </c>
      <c r="K1525" s="1" t="s">
        <v>19</v>
      </c>
      <c r="L1525" s="1" t="s">
        <v>103</v>
      </c>
      <c r="M1525" s="1">
        <f>orders[[#This Row],[Ship Date]]-orders[[#This Row],[Order Date]]</f>
        <v>0</v>
      </c>
      <c r="N1525" s="1">
        <f>WEEKNUM(orders[[#This Row],[Order Date]])</f>
        <v>9</v>
      </c>
      <c r="O1525" s="1" t="str" cm="1">
        <f t="array" ref="O1525">_xlfn.IFS(orders[[#This Row],[Customer Gender]]="M","Male", orders[[#This Row],[Customer Gender]]="F","Female", orders[[#This Row],[Customer Gender]]="O","Other", TRUE,"Unknown")</f>
        <v>Unknown</v>
      </c>
    </row>
    <row r="1526" spans="1:15">
      <c r="A1526" s="1" t="s">
        <v>1625</v>
      </c>
      <c r="B1526" s="1" t="s">
        <v>26</v>
      </c>
      <c r="C1526" s="1">
        <v>63</v>
      </c>
      <c r="D1526" s="1">
        <v>118.2</v>
      </c>
      <c r="E1526" s="11">
        <v>7446.6</v>
      </c>
      <c r="F1526" s="3">
        <v>45714</v>
      </c>
      <c r="G1526" s="3">
        <v>45719</v>
      </c>
      <c r="H1526" s="1" t="s">
        <v>17</v>
      </c>
      <c r="I1526" s="1" t="s">
        <v>18</v>
      </c>
      <c r="J1526" s="1">
        <v>4</v>
      </c>
      <c r="K1526" s="1" t="s">
        <v>19</v>
      </c>
      <c r="L1526" s="1" t="s">
        <v>103</v>
      </c>
      <c r="M1526" s="1">
        <f>orders[[#This Row],[Ship Date]]-orders[[#This Row],[Order Date]]</f>
        <v>5</v>
      </c>
      <c r="N1526" s="1">
        <f>WEEKNUM(orders[[#This Row],[Order Date]])</f>
        <v>9</v>
      </c>
      <c r="O1526" s="1" t="str" cm="1">
        <f t="array" ref="O1526">_xlfn.IFS(orders[[#This Row],[Customer Gender]]="M","Male", orders[[#This Row],[Customer Gender]]="F","Female", orders[[#This Row],[Customer Gender]]="O","Other", TRUE,"Unknown")</f>
        <v>Unknown</v>
      </c>
    </row>
    <row r="1527" spans="1:15">
      <c r="A1527" s="1" t="s">
        <v>1626</v>
      </c>
      <c r="B1527" s="1" t="s">
        <v>37</v>
      </c>
      <c r="C1527" s="1">
        <v>5</v>
      </c>
      <c r="D1527" s="1">
        <v>64.3</v>
      </c>
      <c r="E1527" s="11">
        <v>321.5</v>
      </c>
      <c r="F1527" s="3">
        <v>45714</v>
      </c>
      <c r="G1527" s="3">
        <v>45715</v>
      </c>
      <c r="H1527" s="1" t="s">
        <v>23</v>
      </c>
      <c r="I1527" s="1" t="s">
        <v>70</v>
      </c>
      <c r="J1527" s="1">
        <v>2</v>
      </c>
      <c r="K1527" s="1" t="s">
        <v>19</v>
      </c>
      <c r="L1527" s="1" t="s">
        <v>201</v>
      </c>
      <c r="M1527" s="1">
        <f>orders[[#This Row],[Ship Date]]-orders[[#This Row],[Order Date]]</f>
        <v>1</v>
      </c>
      <c r="N1527" s="1">
        <f>WEEKNUM(orders[[#This Row],[Order Date]])</f>
        <v>9</v>
      </c>
      <c r="O1527" s="1" t="str" cm="1">
        <f t="array" ref="O1527">_xlfn.IFS(orders[[#This Row],[Customer Gender]]="M","Male", orders[[#This Row],[Customer Gender]]="F","Female", orders[[#This Row],[Customer Gender]]="O","Other", TRUE,"Unknown")</f>
        <v>Male</v>
      </c>
    </row>
    <row r="1528" spans="1:15">
      <c r="A1528" s="1" t="s">
        <v>1627</v>
      </c>
      <c r="B1528" s="1" t="s">
        <v>22</v>
      </c>
      <c r="C1528" s="1">
        <v>2</v>
      </c>
      <c r="D1528" s="1">
        <v>54.8</v>
      </c>
      <c r="E1528" s="11">
        <v>109.6</v>
      </c>
      <c r="F1528" s="3">
        <v>45714</v>
      </c>
      <c r="G1528" s="3">
        <v>45714</v>
      </c>
      <c r="H1528" s="1" t="s">
        <v>23</v>
      </c>
      <c r="I1528" s="1" t="s">
        <v>18</v>
      </c>
      <c r="J1528" s="1">
        <v>3</v>
      </c>
      <c r="K1528" s="1" t="s">
        <v>19</v>
      </c>
      <c r="L1528" s="1" t="s">
        <v>201</v>
      </c>
      <c r="M1528" s="1">
        <f>orders[[#This Row],[Ship Date]]-orders[[#This Row],[Order Date]]</f>
        <v>0</v>
      </c>
      <c r="N1528" s="1">
        <f>WEEKNUM(orders[[#This Row],[Order Date]])</f>
        <v>9</v>
      </c>
      <c r="O1528" s="1" t="str" cm="1">
        <f t="array" ref="O1528">_xlfn.IFS(orders[[#This Row],[Customer Gender]]="M","Male", orders[[#This Row],[Customer Gender]]="F","Female", orders[[#This Row],[Customer Gender]]="O","Other", TRUE,"Unknown")</f>
        <v>Male</v>
      </c>
    </row>
    <row r="1529" spans="1:15">
      <c r="A1529" s="1" t="s">
        <v>1628</v>
      </c>
      <c r="B1529" s="1" t="s">
        <v>42</v>
      </c>
      <c r="C1529" s="1">
        <v>2</v>
      </c>
      <c r="D1529" s="1">
        <v>78.599999999999994</v>
      </c>
      <c r="E1529" s="11">
        <v>157.19999999999999</v>
      </c>
      <c r="F1529" s="3">
        <v>45714</v>
      </c>
      <c r="G1529" s="3">
        <v>45715</v>
      </c>
      <c r="H1529" s="1" t="s">
        <v>23</v>
      </c>
      <c r="I1529" s="1" t="s">
        <v>18</v>
      </c>
      <c r="J1529" s="1">
        <v>5</v>
      </c>
      <c r="K1529" s="1" t="s">
        <v>19</v>
      </c>
      <c r="L1529" s="1" t="s">
        <v>72</v>
      </c>
      <c r="M1529" s="1">
        <f>orders[[#This Row],[Ship Date]]-orders[[#This Row],[Order Date]]</f>
        <v>1</v>
      </c>
      <c r="N1529" s="1">
        <f>WEEKNUM(orders[[#This Row],[Order Date]])</f>
        <v>9</v>
      </c>
      <c r="O1529" s="1" t="str" cm="1">
        <f t="array" ref="O1529">_xlfn.IFS(orders[[#This Row],[Customer Gender]]="M","Male", orders[[#This Row],[Customer Gender]]="F","Female", orders[[#This Row],[Customer Gender]]="O","Other", TRUE,"Unknown")</f>
        <v>Male</v>
      </c>
    </row>
    <row r="1530" spans="1:15">
      <c r="A1530" s="1" t="s">
        <v>1629</v>
      </c>
      <c r="B1530" s="1" t="s">
        <v>26</v>
      </c>
      <c r="C1530" s="1">
        <v>5</v>
      </c>
      <c r="D1530" s="1">
        <v>158.5</v>
      </c>
      <c r="E1530" s="11">
        <v>792.5</v>
      </c>
      <c r="F1530" s="3">
        <v>45714</v>
      </c>
      <c r="G1530" s="3">
        <v>45716</v>
      </c>
      <c r="H1530" s="1" t="s">
        <v>17</v>
      </c>
      <c r="I1530" s="1" t="s">
        <v>40</v>
      </c>
      <c r="J1530" s="1">
        <v>5</v>
      </c>
      <c r="K1530" s="1" t="s">
        <v>19</v>
      </c>
      <c r="L1530" s="1" t="s">
        <v>72</v>
      </c>
      <c r="M1530" s="1">
        <f>orders[[#This Row],[Ship Date]]-orders[[#This Row],[Order Date]]</f>
        <v>2</v>
      </c>
      <c r="N1530" s="1">
        <f>WEEKNUM(orders[[#This Row],[Order Date]])</f>
        <v>9</v>
      </c>
      <c r="O1530" s="1" t="str" cm="1">
        <f t="array" ref="O1530">_xlfn.IFS(orders[[#This Row],[Customer Gender]]="M","Male", orders[[#This Row],[Customer Gender]]="F","Female", orders[[#This Row],[Customer Gender]]="O","Other", TRUE,"Unknown")</f>
        <v>Unknown</v>
      </c>
    </row>
    <row r="1531" spans="1:15">
      <c r="A1531" s="1" t="s">
        <v>1630</v>
      </c>
      <c r="B1531" s="1" t="s">
        <v>32</v>
      </c>
      <c r="C1531" s="1">
        <v>10</v>
      </c>
      <c r="D1531" s="1">
        <v>23.5</v>
      </c>
      <c r="E1531" s="11">
        <v>235</v>
      </c>
      <c r="F1531" s="3">
        <v>45714</v>
      </c>
      <c r="G1531" s="3">
        <v>45717</v>
      </c>
      <c r="H1531" s="1" t="s">
        <v>23</v>
      </c>
      <c r="I1531" s="1" t="s">
        <v>18</v>
      </c>
      <c r="J1531" s="1">
        <v>2</v>
      </c>
      <c r="K1531" s="1" t="s">
        <v>19</v>
      </c>
      <c r="L1531" s="1" t="s">
        <v>74</v>
      </c>
      <c r="M1531" s="1">
        <f>orders[[#This Row],[Ship Date]]-orders[[#This Row],[Order Date]]</f>
        <v>3</v>
      </c>
      <c r="N1531" s="1">
        <f>WEEKNUM(orders[[#This Row],[Order Date]])</f>
        <v>9</v>
      </c>
      <c r="O1531" s="1" t="str" cm="1">
        <f t="array" ref="O1531">_xlfn.IFS(orders[[#This Row],[Customer Gender]]="M","Male", orders[[#This Row],[Customer Gender]]="F","Female", orders[[#This Row],[Customer Gender]]="O","Other", TRUE,"Unknown")</f>
        <v>Male</v>
      </c>
    </row>
    <row r="1532" spans="1:15">
      <c r="A1532" s="1" t="s">
        <v>1631</v>
      </c>
      <c r="B1532" s="1" t="s">
        <v>37</v>
      </c>
      <c r="C1532" s="1">
        <v>2</v>
      </c>
      <c r="D1532" s="1">
        <v>32.1</v>
      </c>
      <c r="E1532" s="11">
        <v>64.2</v>
      </c>
      <c r="F1532" s="3">
        <v>45714</v>
      </c>
      <c r="G1532" s="3">
        <v>45716</v>
      </c>
      <c r="H1532" s="1" t="s">
        <v>17</v>
      </c>
      <c r="I1532" s="1" t="s">
        <v>51</v>
      </c>
      <c r="J1532" s="1">
        <v>4</v>
      </c>
      <c r="K1532" s="1" t="s">
        <v>19</v>
      </c>
      <c r="L1532" s="1" t="s">
        <v>74</v>
      </c>
      <c r="M1532" s="1">
        <f>orders[[#This Row],[Ship Date]]-orders[[#This Row],[Order Date]]</f>
        <v>2</v>
      </c>
      <c r="N1532" s="1">
        <f>WEEKNUM(orders[[#This Row],[Order Date]])</f>
        <v>9</v>
      </c>
      <c r="O1532" s="1" t="str" cm="1">
        <f t="array" ref="O1532">_xlfn.IFS(orders[[#This Row],[Customer Gender]]="M","Male", orders[[#This Row],[Customer Gender]]="F","Female", orders[[#This Row],[Customer Gender]]="O","Other", TRUE,"Unknown")</f>
        <v>Unknown</v>
      </c>
    </row>
    <row r="1533" spans="1:15">
      <c r="A1533" s="1" t="s">
        <v>1632</v>
      </c>
      <c r="B1533" s="1" t="s">
        <v>135</v>
      </c>
      <c r="C1533" s="1">
        <v>4</v>
      </c>
      <c r="D1533" s="1">
        <v>71.900000000000006</v>
      </c>
      <c r="E1533" s="11">
        <v>287.60000000000002</v>
      </c>
      <c r="F1533" s="3">
        <v>45714</v>
      </c>
      <c r="G1533" s="3">
        <v>45714</v>
      </c>
      <c r="H1533" s="1" t="s">
        <v>23</v>
      </c>
      <c r="I1533" s="1" t="s">
        <v>40</v>
      </c>
      <c r="J1533" s="1">
        <v>4</v>
      </c>
      <c r="K1533" s="1" t="s">
        <v>19</v>
      </c>
      <c r="L1533" s="1" t="s">
        <v>110</v>
      </c>
      <c r="M1533" s="1">
        <f>orders[[#This Row],[Ship Date]]-orders[[#This Row],[Order Date]]</f>
        <v>0</v>
      </c>
      <c r="N1533" s="1">
        <f>WEEKNUM(orders[[#This Row],[Order Date]])</f>
        <v>9</v>
      </c>
      <c r="O1533" s="1" t="str" cm="1">
        <f t="array" ref="O1533">_xlfn.IFS(orders[[#This Row],[Customer Gender]]="M","Male", orders[[#This Row],[Customer Gender]]="F","Female", orders[[#This Row],[Customer Gender]]="O","Other", TRUE,"Unknown")</f>
        <v>Male</v>
      </c>
    </row>
    <row r="1534" spans="1:15">
      <c r="A1534" s="1" t="s">
        <v>1633</v>
      </c>
      <c r="B1534" s="1" t="s">
        <v>32</v>
      </c>
      <c r="C1534" s="1">
        <v>6</v>
      </c>
      <c r="D1534" s="1">
        <v>22.3</v>
      </c>
      <c r="E1534" s="11">
        <v>133.80000000000001</v>
      </c>
      <c r="F1534" s="3">
        <v>45714</v>
      </c>
      <c r="G1534" s="3">
        <v>45715</v>
      </c>
      <c r="H1534" s="1" t="s">
        <v>17</v>
      </c>
      <c r="I1534" s="1" t="s">
        <v>51</v>
      </c>
      <c r="J1534" s="1">
        <v>5</v>
      </c>
      <c r="K1534" s="1" t="s">
        <v>19</v>
      </c>
      <c r="L1534" s="1" t="s">
        <v>82</v>
      </c>
      <c r="M1534" s="1">
        <f>orders[[#This Row],[Ship Date]]-orders[[#This Row],[Order Date]]</f>
        <v>1</v>
      </c>
      <c r="N1534" s="1">
        <f>WEEKNUM(orders[[#This Row],[Order Date]])</f>
        <v>9</v>
      </c>
      <c r="O1534" s="1" t="str" cm="1">
        <f t="array" ref="O1534">_xlfn.IFS(orders[[#This Row],[Customer Gender]]="M","Male", orders[[#This Row],[Customer Gender]]="F","Female", orders[[#This Row],[Customer Gender]]="O","Other", TRUE,"Unknown")</f>
        <v>Unknown</v>
      </c>
    </row>
    <row r="1535" spans="1:15">
      <c r="A1535" s="1" t="s">
        <v>1634</v>
      </c>
      <c r="B1535" s="1" t="s">
        <v>67</v>
      </c>
      <c r="C1535" s="1">
        <v>2</v>
      </c>
      <c r="D1535" s="1">
        <v>29.5</v>
      </c>
      <c r="E1535" s="11">
        <v>59</v>
      </c>
      <c r="F1535" s="3">
        <v>45714</v>
      </c>
      <c r="G1535" s="3">
        <v>45715</v>
      </c>
      <c r="H1535" s="1" t="s">
        <v>27</v>
      </c>
      <c r="I1535" s="1" t="s">
        <v>18</v>
      </c>
      <c r="J1535" s="1">
        <v>5</v>
      </c>
      <c r="K1535" s="1" t="s">
        <v>19</v>
      </c>
      <c r="L1535" s="1" t="s">
        <v>82</v>
      </c>
      <c r="M1535" s="1">
        <f>orders[[#This Row],[Ship Date]]-orders[[#This Row],[Order Date]]</f>
        <v>1</v>
      </c>
      <c r="N1535" s="1">
        <f>WEEKNUM(orders[[#This Row],[Order Date]])</f>
        <v>9</v>
      </c>
      <c r="O1535" s="1" t="str" cm="1">
        <f t="array" ref="O1535">_xlfn.IFS(orders[[#This Row],[Customer Gender]]="M","Male", orders[[#This Row],[Customer Gender]]="F","Female", orders[[#This Row],[Customer Gender]]="O","Other", TRUE,"Unknown")</f>
        <v>Female</v>
      </c>
    </row>
    <row r="1536" spans="1:15">
      <c r="A1536" s="1" t="s">
        <v>1635</v>
      </c>
      <c r="B1536" s="1" t="s">
        <v>39</v>
      </c>
      <c r="C1536" s="1">
        <v>4</v>
      </c>
      <c r="D1536" s="1">
        <v>41.9</v>
      </c>
      <c r="E1536" s="11">
        <v>167.6</v>
      </c>
      <c r="F1536" s="3">
        <v>45714</v>
      </c>
      <c r="G1536" s="3">
        <v>45718</v>
      </c>
      <c r="H1536" s="1" t="s">
        <v>27</v>
      </c>
      <c r="I1536" s="1" t="s">
        <v>18</v>
      </c>
      <c r="J1536" s="1">
        <v>3</v>
      </c>
      <c r="K1536" s="1" t="s">
        <v>19</v>
      </c>
      <c r="L1536" s="1" t="s">
        <v>115</v>
      </c>
      <c r="M1536" s="1">
        <f>orders[[#This Row],[Ship Date]]-orders[[#This Row],[Order Date]]</f>
        <v>4</v>
      </c>
      <c r="N1536" s="1">
        <f>WEEKNUM(orders[[#This Row],[Order Date]])</f>
        <v>9</v>
      </c>
      <c r="O1536" s="1" t="str" cm="1">
        <f t="array" ref="O1536">_xlfn.IFS(orders[[#This Row],[Customer Gender]]="M","Male", orders[[#This Row],[Customer Gender]]="F","Female", orders[[#This Row],[Customer Gender]]="O","Other", TRUE,"Unknown")</f>
        <v>Female</v>
      </c>
    </row>
    <row r="1537" spans="1:15">
      <c r="A1537" s="1" t="s">
        <v>1636</v>
      </c>
      <c r="B1537" s="1" t="s">
        <v>39</v>
      </c>
      <c r="C1537" s="1">
        <v>3</v>
      </c>
      <c r="D1537" s="1">
        <v>107.8</v>
      </c>
      <c r="E1537" s="11">
        <v>323.39999999999998</v>
      </c>
      <c r="F1537" s="3">
        <v>45714</v>
      </c>
      <c r="G1537" s="3">
        <v>45715</v>
      </c>
      <c r="H1537" s="1" t="s">
        <v>23</v>
      </c>
      <c r="I1537" s="1" t="s">
        <v>35</v>
      </c>
      <c r="J1537" s="1">
        <v>5</v>
      </c>
      <c r="K1537" s="1" t="s">
        <v>19</v>
      </c>
      <c r="L1537" s="1" t="s">
        <v>641</v>
      </c>
      <c r="M1537" s="1">
        <f>orders[[#This Row],[Ship Date]]-orders[[#This Row],[Order Date]]</f>
        <v>1</v>
      </c>
      <c r="N1537" s="1">
        <f>WEEKNUM(orders[[#This Row],[Order Date]])</f>
        <v>9</v>
      </c>
      <c r="O1537" s="1" t="str" cm="1">
        <f t="array" ref="O1537">_xlfn.IFS(orders[[#This Row],[Customer Gender]]="M","Male", orders[[#This Row],[Customer Gender]]="F","Female", orders[[#This Row],[Customer Gender]]="O","Other", TRUE,"Unknown")</f>
        <v>Male</v>
      </c>
    </row>
    <row r="1538" spans="1:15">
      <c r="A1538" s="1" t="s">
        <v>1637</v>
      </c>
      <c r="B1538" s="1" t="s">
        <v>32</v>
      </c>
      <c r="C1538" s="1">
        <v>5</v>
      </c>
      <c r="D1538" s="1">
        <v>18.100000000000001</v>
      </c>
      <c r="E1538" s="11">
        <v>90.5</v>
      </c>
      <c r="F1538" s="3">
        <v>45714</v>
      </c>
      <c r="G1538" s="3">
        <v>45717</v>
      </c>
      <c r="H1538" s="1" t="s">
        <v>23</v>
      </c>
      <c r="I1538" s="1" t="s">
        <v>18</v>
      </c>
      <c r="J1538" s="1">
        <v>5</v>
      </c>
      <c r="K1538" s="1" t="s">
        <v>19</v>
      </c>
      <c r="L1538" s="1" t="s">
        <v>28</v>
      </c>
      <c r="M1538" s="1">
        <f>orders[[#This Row],[Ship Date]]-orders[[#This Row],[Order Date]]</f>
        <v>3</v>
      </c>
      <c r="N1538" s="1">
        <f>WEEKNUM(orders[[#This Row],[Order Date]])</f>
        <v>9</v>
      </c>
      <c r="O1538" s="1" t="str" cm="1">
        <f t="array" ref="O1538">_xlfn.IFS(orders[[#This Row],[Customer Gender]]="M","Male", orders[[#This Row],[Customer Gender]]="F","Female", orders[[#This Row],[Customer Gender]]="O","Other", TRUE,"Unknown")</f>
        <v>Male</v>
      </c>
    </row>
    <row r="1539" spans="1:15">
      <c r="A1539" s="1" t="s">
        <v>1638</v>
      </c>
      <c r="B1539" s="1" t="s">
        <v>69</v>
      </c>
      <c r="C1539" s="1">
        <v>9</v>
      </c>
      <c r="D1539" s="1">
        <v>79.8</v>
      </c>
      <c r="E1539" s="11">
        <v>718.19999999999993</v>
      </c>
      <c r="F1539" s="3">
        <v>45714</v>
      </c>
      <c r="G1539" s="3">
        <v>45715</v>
      </c>
      <c r="H1539" s="1" t="s">
        <v>27</v>
      </c>
      <c r="I1539" s="1" t="s">
        <v>35</v>
      </c>
      <c r="J1539" s="1">
        <v>3</v>
      </c>
      <c r="K1539" s="1" t="s">
        <v>19</v>
      </c>
      <c r="L1539" s="1" t="s">
        <v>147</v>
      </c>
      <c r="M1539" s="1">
        <f>orders[[#This Row],[Ship Date]]-orders[[#This Row],[Order Date]]</f>
        <v>1</v>
      </c>
      <c r="N1539" s="1">
        <f>WEEKNUM(orders[[#This Row],[Order Date]])</f>
        <v>9</v>
      </c>
      <c r="O1539" s="1" t="str" cm="1">
        <f t="array" ref="O1539">_xlfn.IFS(orders[[#This Row],[Customer Gender]]="M","Male", orders[[#This Row],[Customer Gender]]="F","Female", orders[[#This Row],[Customer Gender]]="O","Other", TRUE,"Unknown")</f>
        <v>Female</v>
      </c>
    </row>
    <row r="1540" spans="1:15">
      <c r="A1540" s="1" t="s">
        <v>1639</v>
      </c>
      <c r="B1540" s="1" t="s">
        <v>16</v>
      </c>
      <c r="C1540" s="1">
        <v>3</v>
      </c>
      <c r="D1540" s="1">
        <v>22.3</v>
      </c>
      <c r="E1540" s="11">
        <v>66.900000000000006</v>
      </c>
      <c r="F1540" s="3">
        <v>45714</v>
      </c>
      <c r="G1540" s="3">
        <v>45717</v>
      </c>
      <c r="H1540" s="1" t="s">
        <v>27</v>
      </c>
      <c r="I1540" s="1" t="s">
        <v>18</v>
      </c>
      <c r="J1540" s="1">
        <v>5</v>
      </c>
      <c r="K1540" s="1" t="s">
        <v>19</v>
      </c>
      <c r="L1540" s="1" t="s">
        <v>147</v>
      </c>
      <c r="M1540" s="1">
        <f>orders[[#This Row],[Ship Date]]-orders[[#This Row],[Order Date]]</f>
        <v>3</v>
      </c>
      <c r="N1540" s="1">
        <f>WEEKNUM(orders[[#This Row],[Order Date]])</f>
        <v>9</v>
      </c>
      <c r="O1540" s="1" t="str" cm="1">
        <f t="array" ref="O1540">_xlfn.IFS(orders[[#This Row],[Customer Gender]]="M","Male", orders[[#This Row],[Customer Gender]]="F","Female", orders[[#This Row],[Customer Gender]]="O","Other", TRUE,"Unknown")</f>
        <v>Female</v>
      </c>
    </row>
    <row r="1541" spans="1:15">
      <c r="A1541" s="1" t="s">
        <v>1640</v>
      </c>
      <c r="B1541" s="1" t="s">
        <v>44</v>
      </c>
      <c r="C1541" s="1">
        <v>1</v>
      </c>
      <c r="D1541" s="1">
        <v>22.9</v>
      </c>
      <c r="E1541" s="11">
        <v>22.9</v>
      </c>
      <c r="F1541" s="3">
        <v>45714</v>
      </c>
      <c r="G1541" s="3">
        <v>45714</v>
      </c>
      <c r="H1541" s="1" t="s">
        <v>27</v>
      </c>
      <c r="I1541" s="1" t="s">
        <v>35</v>
      </c>
      <c r="J1541" s="1">
        <v>4</v>
      </c>
      <c r="K1541" s="1" t="s">
        <v>19</v>
      </c>
      <c r="L1541" s="1" t="s">
        <v>147</v>
      </c>
      <c r="M1541" s="1">
        <f>orders[[#This Row],[Ship Date]]-orders[[#This Row],[Order Date]]</f>
        <v>0</v>
      </c>
      <c r="N1541" s="1">
        <f>WEEKNUM(orders[[#This Row],[Order Date]])</f>
        <v>9</v>
      </c>
      <c r="O1541" s="1" t="str" cm="1">
        <f t="array" ref="O1541">_xlfn.IFS(orders[[#This Row],[Customer Gender]]="M","Male", orders[[#This Row],[Customer Gender]]="F","Female", orders[[#This Row],[Customer Gender]]="O","Other", TRUE,"Unknown")</f>
        <v>Female</v>
      </c>
    </row>
    <row r="1542" spans="1:15">
      <c r="A1542" s="1" t="s">
        <v>1641</v>
      </c>
      <c r="B1542" s="1" t="s">
        <v>16</v>
      </c>
      <c r="C1542" s="1">
        <v>3</v>
      </c>
      <c r="D1542" s="1">
        <v>16.2</v>
      </c>
      <c r="E1542" s="11">
        <v>48.599999999999994</v>
      </c>
      <c r="F1542" s="3">
        <v>45715</v>
      </c>
      <c r="G1542" s="3">
        <v>45715</v>
      </c>
      <c r="H1542" s="1" t="s">
        <v>23</v>
      </c>
      <c r="I1542" s="1" t="s">
        <v>70</v>
      </c>
      <c r="J1542" s="1">
        <v>5</v>
      </c>
      <c r="K1542" s="1" t="s">
        <v>19</v>
      </c>
      <c r="L1542" s="1" t="s">
        <v>33</v>
      </c>
      <c r="M1542" s="1">
        <f>orders[[#This Row],[Ship Date]]-orders[[#This Row],[Order Date]]</f>
        <v>0</v>
      </c>
      <c r="N1542" s="1">
        <f>WEEKNUM(orders[[#This Row],[Order Date]])</f>
        <v>9</v>
      </c>
      <c r="O1542" s="1" t="str" cm="1">
        <f t="array" ref="O1542">_xlfn.IFS(orders[[#This Row],[Customer Gender]]="M","Male", orders[[#This Row],[Customer Gender]]="F","Female", orders[[#This Row],[Customer Gender]]="O","Other", TRUE,"Unknown")</f>
        <v>Male</v>
      </c>
    </row>
    <row r="1543" spans="1:15">
      <c r="A1543" s="1" t="s">
        <v>1642</v>
      </c>
      <c r="B1543" s="1" t="s">
        <v>54</v>
      </c>
      <c r="C1543" s="1">
        <v>4</v>
      </c>
      <c r="D1543" s="1">
        <v>59.5</v>
      </c>
      <c r="E1543" s="11">
        <v>238</v>
      </c>
      <c r="F1543" s="3">
        <v>45715</v>
      </c>
      <c r="G1543" s="3">
        <v>45716</v>
      </c>
      <c r="H1543" s="1" t="s">
        <v>23</v>
      </c>
      <c r="I1543" s="1" t="s">
        <v>35</v>
      </c>
      <c r="J1543" s="1">
        <v>5</v>
      </c>
      <c r="K1543" s="1" t="s">
        <v>19</v>
      </c>
      <c r="L1543" s="1" t="s">
        <v>33</v>
      </c>
      <c r="M1543" s="1">
        <f>orders[[#This Row],[Ship Date]]-orders[[#This Row],[Order Date]]</f>
        <v>1</v>
      </c>
      <c r="N1543" s="1">
        <f>WEEKNUM(orders[[#This Row],[Order Date]])</f>
        <v>9</v>
      </c>
      <c r="O1543" s="1" t="str" cm="1">
        <f t="array" ref="O1543">_xlfn.IFS(orders[[#This Row],[Customer Gender]]="M","Male", orders[[#This Row],[Customer Gender]]="F","Female", orders[[#This Row],[Customer Gender]]="O","Other", TRUE,"Unknown")</f>
        <v>Male</v>
      </c>
    </row>
    <row r="1544" spans="1:15">
      <c r="A1544" s="1" t="s">
        <v>1643</v>
      </c>
      <c r="B1544" s="1" t="s">
        <v>146</v>
      </c>
      <c r="C1544" s="1">
        <v>5</v>
      </c>
      <c r="D1544" s="1">
        <v>26.2</v>
      </c>
      <c r="E1544" s="11">
        <v>131</v>
      </c>
      <c r="F1544" s="3">
        <v>45715</v>
      </c>
      <c r="G1544" s="3">
        <v>45718</v>
      </c>
      <c r="H1544" s="1" t="s">
        <v>23</v>
      </c>
      <c r="I1544" s="1" t="s">
        <v>51</v>
      </c>
      <c r="J1544" s="1">
        <v>2</v>
      </c>
      <c r="K1544" s="1" t="s">
        <v>19</v>
      </c>
      <c r="L1544" s="1" t="s">
        <v>33</v>
      </c>
      <c r="M1544" s="1">
        <f>orders[[#This Row],[Ship Date]]-orders[[#This Row],[Order Date]]</f>
        <v>3</v>
      </c>
      <c r="N1544" s="1">
        <f>WEEKNUM(orders[[#This Row],[Order Date]])</f>
        <v>9</v>
      </c>
      <c r="O1544" s="1" t="str" cm="1">
        <f t="array" ref="O1544">_xlfn.IFS(orders[[#This Row],[Customer Gender]]="M","Male", orders[[#This Row],[Customer Gender]]="F","Female", orders[[#This Row],[Customer Gender]]="O","Other", TRUE,"Unknown")</f>
        <v>Male</v>
      </c>
    </row>
    <row r="1545" spans="1:15">
      <c r="A1545" s="1" t="s">
        <v>1644</v>
      </c>
      <c r="B1545" s="1" t="s">
        <v>30</v>
      </c>
      <c r="C1545" s="1">
        <v>1</v>
      </c>
      <c r="D1545" s="1">
        <v>44.2</v>
      </c>
      <c r="E1545" s="11">
        <v>44.2</v>
      </c>
      <c r="F1545" s="3">
        <v>45715</v>
      </c>
      <c r="G1545" s="3">
        <v>45718</v>
      </c>
      <c r="H1545" s="1" t="s">
        <v>27</v>
      </c>
      <c r="I1545" s="1" t="s">
        <v>35</v>
      </c>
      <c r="J1545" s="1">
        <v>4</v>
      </c>
      <c r="K1545" s="1" t="s">
        <v>19</v>
      </c>
      <c r="L1545" s="1" t="s">
        <v>33</v>
      </c>
      <c r="M1545" s="1">
        <f>orders[[#This Row],[Ship Date]]-orders[[#This Row],[Order Date]]</f>
        <v>3</v>
      </c>
      <c r="N1545" s="1">
        <f>WEEKNUM(orders[[#This Row],[Order Date]])</f>
        <v>9</v>
      </c>
      <c r="O1545" s="1" t="str" cm="1">
        <f t="array" ref="O1545">_xlfn.IFS(orders[[#This Row],[Customer Gender]]="M","Male", orders[[#This Row],[Customer Gender]]="F","Female", orders[[#This Row],[Customer Gender]]="O","Other", TRUE,"Unknown")</f>
        <v>Female</v>
      </c>
    </row>
    <row r="1546" spans="1:15">
      <c r="A1546" s="1" t="s">
        <v>1645</v>
      </c>
      <c r="B1546" s="1" t="s">
        <v>46</v>
      </c>
      <c r="C1546" s="1">
        <v>2</v>
      </c>
      <c r="D1546" s="1">
        <v>59.2</v>
      </c>
      <c r="E1546" s="11">
        <v>118.4</v>
      </c>
      <c r="F1546" s="3">
        <v>45715</v>
      </c>
      <c r="G1546" s="3">
        <v>45715</v>
      </c>
      <c r="H1546" s="1" t="s">
        <v>27</v>
      </c>
      <c r="I1546" s="1" t="s">
        <v>35</v>
      </c>
      <c r="J1546" s="1">
        <v>2</v>
      </c>
      <c r="K1546" s="1" t="s">
        <v>19</v>
      </c>
      <c r="L1546" s="1" t="s">
        <v>33</v>
      </c>
      <c r="M1546" s="1">
        <f>orders[[#This Row],[Ship Date]]-orders[[#This Row],[Order Date]]</f>
        <v>0</v>
      </c>
      <c r="N1546" s="1">
        <f>WEEKNUM(orders[[#This Row],[Order Date]])</f>
        <v>9</v>
      </c>
      <c r="O1546" s="1" t="str" cm="1">
        <f t="array" ref="O1546">_xlfn.IFS(orders[[#This Row],[Customer Gender]]="M","Male", orders[[#This Row],[Customer Gender]]="F","Female", orders[[#This Row],[Customer Gender]]="O","Other", TRUE,"Unknown")</f>
        <v>Female</v>
      </c>
    </row>
    <row r="1547" spans="1:15">
      <c r="A1547" s="1" t="s">
        <v>1646</v>
      </c>
      <c r="B1547" s="1" t="s">
        <v>123</v>
      </c>
      <c r="C1547" s="1">
        <v>4</v>
      </c>
      <c r="D1547" s="1">
        <v>41.5</v>
      </c>
      <c r="E1547" s="11">
        <v>166</v>
      </c>
      <c r="F1547" s="3">
        <v>45715</v>
      </c>
      <c r="G1547" s="3">
        <v>45717</v>
      </c>
      <c r="H1547" s="1" t="s">
        <v>27</v>
      </c>
      <c r="I1547" s="1" t="s">
        <v>18</v>
      </c>
      <c r="J1547" s="1">
        <v>4</v>
      </c>
      <c r="K1547" s="1" t="s">
        <v>19</v>
      </c>
      <c r="L1547" s="1" t="s">
        <v>98</v>
      </c>
      <c r="M1547" s="1">
        <f>orders[[#This Row],[Ship Date]]-orders[[#This Row],[Order Date]]</f>
        <v>2</v>
      </c>
      <c r="N1547" s="1">
        <f>WEEKNUM(orders[[#This Row],[Order Date]])</f>
        <v>9</v>
      </c>
      <c r="O1547" s="1" t="str" cm="1">
        <f t="array" ref="O1547">_xlfn.IFS(orders[[#This Row],[Customer Gender]]="M","Male", orders[[#This Row],[Customer Gender]]="F","Female", orders[[#This Row],[Customer Gender]]="O","Other", TRUE,"Unknown")</f>
        <v>Female</v>
      </c>
    </row>
    <row r="1548" spans="1:15">
      <c r="A1548" s="1" t="s">
        <v>1647</v>
      </c>
      <c r="B1548" s="1" t="s">
        <v>39</v>
      </c>
      <c r="C1548" s="1">
        <v>12</v>
      </c>
      <c r="D1548" s="1">
        <v>67.099999999999994</v>
      </c>
      <c r="E1548" s="11">
        <v>805.19999999999993</v>
      </c>
      <c r="F1548" s="3">
        <v>45715</v>
      </c>
      <c r="G1548" s="3">
        <v>45729</v>
      </c>
      <c r="H1548" s="1" t="s">
        <v>27</v>
      </c>
      <c r="I1548" s="1" t="s">
        <v>18</v>
      </c>
      <c r="J1548" s="1">
        <v>5</v>
      </c>
      <c r="K1548" s="1" t="s">
        <v>19</v>
      </c>
      <c r="L1548" s="1" t="s">
        <v>158</v>
      </c>
      <c r="M1548" s="1">
        <f>orders[[#This Row],[Ship Date]]-orders[[#This Row],[Order Date]]</f>
        <v>14</v>
      </c>
      <c r="N1548" s="1">
        <f>WEEKNUM(orders[[#This Row],[Order Date]])</f>
        <v>9</v>
      </c>
      <c r="O1548" s="1" t="str" cm="1">
        <f t="array" ref="O1548">_xlfn.IFS(orders[[#This Row],[Customer Gender]]="M","Male", orders[[#This Row],[Customer Gender]]="F","Female", orders[[#This Row],[Customer Gender]]="O","Other", TRUE,"Unknown")</f>
        <v>Female</v>
      </c>
    </row>
    <row r="1549" spans="1:15">
      <c r="A1549" s="1" t="s">
        <v>1648</v>
      </c>
      <c r="B1549" s="1" t="s">
        <v>44</v>
      </c>
      <c r="C1549" s="1">
        <v>2</v>
      </c>
      <c r="D1549" s="1">
        <v>28.7</v>
      </c>
      <c r="E1549" s="11">
        <v>57.4</v>
      </c>
      <c r="F1549" s="3">
        <v>45715</v>
      </c>
      <c r="G1549" s="3">
        <v>45719</v>
      </c>
      <c r="H1549" s="1" t="s">
        <v>27</v>
      </c>
      <c r="I1549" s="1" t="s">
        <v>35</v>
      </c>
      <c r="J1549" s="1">
        <v>4</v>
      </c>
      <c r="K1549" s="1" t="s">
        <v>19</v>
      </c>
      <c r="L1549" s="1" t="s">
        <v>55</v>
      </c>
      <c r="M1549" s="1">
        <f>orders[[#This Row],[Ship Date]]-orders[[#This Row],[Order Date]]</f>
        <v>4</v>
      </c>
      <c r="N1549" s="1">
        <f>WEEKNUM(orders[[#This Row],[Order Date]])</f>
        <v>9</v>
      </c>
      <c r="O1549" s="1" t="str" cm="1">
        <f t="array" ref="O1549">_xlfn.IFS(orders[[#This Row],[Customer Gender]]="M","Male", orders[[#This Row],[Customer Gender]]="F","Female", orders[[#This Row],[Customer Gender]]="O","Other", TRUE,"Unknown")</f>
        <v>Female</v>
      </c>
    </row>
    <row r="1550" spans="1:15">
      <c r="A1550" s="1" t="s">
        <v>1649</v>
      </c>
      <c r="B1550" s="1" t="s">
        <v>26</v>
      </c>
      <c r="C1550" s="1">
        <v>4</v>
      </c>
      <c r="D1550" s="1">
        <v>132.1</v>
      </c>
      <c r="E1550" s="11">
        <v>528.4</v>
      </c>
      <c r="F1550" s="3">
        <v>45715</v>
      </c>
      <c r="G1550" s="3">
        <v>45716</v>
      </c>
      <c r="H1550" s="1" t="s">
        <v>27</v>
      </c>
      <c r="I1550" s="1" t="s">
        <v>18</v>
      </c>
      <c r="J1550" s="1">
        <v>3</v>
      </c>
      <c r="K1550" s="1" t="s">
        <v>19</v>
      </c>
      <c r="L1550" s="1" t="s">
        <v>55</v>
      </c>
      <c r="M1550" s="1">
        <f>orders[[#This Row],[Ship Date]]-orders[[#This Row],[Order Date]]</f>
        <v>1</v>
      </c>
      <c r="N1550" s="1">
        <f>WEEKNUM(orders[[#This Row],[Order Date]])</f>
        <v>9</v>
      </c>
      <c r="O1550" s="1" t="str" cm="1">
        <f t="array" ref="O1550">_xlfn.IFS(orders[[#This Row],[Customer Gender]]="M","Male", orders[[#This Row],[Customer Gender]]="F","Female", orders[[#This Row],[Customer Gender]]="O","Other", TRUE,"Unknown")</f>
        <v>Female</v>
      </c>
    </row>
    <row r="1551" spans="1:15">
      <c r="A1551" s="1" t="s">
        <v>1650</v>
      </c>
      <c r="B1551" s="1" t="s">
        <v>146</v>
      </c>
      <c r="C1551" s="1">
        <v>2</v>
      </c>
      <c r="D1551" s="1">
        <v>47</v>
      </c>
      <c r="E1551" s="11">
        <v>94</v>
      </c>
      <c r="F1551" s="3">
        <v>45715</v>
      </c>
      <c r="G1551" s="3">
        <v>45717</v>
      </c>
      <c r="H1551" s="1" t="s">
        <v>23</v>
      </c>
      <c r="I1551" s="1" t="s">
        <v>70</v>
      </c>
      <c r="J1551" s="1">
        <v>4</v>
      </c>
      <c r="K1551" s="1" t="s">
        <v>19</v>
      </c>
      <c r="L1551" s="1" t="s">
        <v>62</v>
      </c>
      <c r="M1551" s="1">
        <f>orders[[#This Row],[Ship Date]]-orders[[#This Row],[Order Date]]</f>
        <v>2</v>
      </c>
      <c r="N1551" s="1">
        <f>WEEKNUM(orders[[#This Row],[Order Date]])</f>
        <v>9</v>
      </c>
      <c r="O1551" s="1" t="str" cm="1">
        <f t="array" ref="O1551">_xlfn.IFS(orders[[#This Row],[Customer Gender]]="M","Male", orders[[#This Row],[Customer Gender]]="F","Female", orders[[#This Row],[Customer Gender]]="O","Other", TRUE,"Unknown")</f>
        <v>Male</v>
      </c>
    </row>
    <row r="1552" spans="1:15">
      <c r="A1552" s="1" t="s">
        <v>1651</v>
      </c>
      <c r="B1552" s="1" t="s">
        <v>44</v>
      </c>
      <c r="C1552" s="1">
        <v>2</v>
      </c>
      <c r="D1552" s="1">
        <v>41.6</v>
      </c>
      <c r="E1552" s="11">
        <v>83.2</v>
      </c>
      <c r="F1552" s="3">
        <v>45715</v>
      </c>
      <c r="G1552" s="3">
        <v>45719</v>
      </c>
      <c r="H1552" s="1" t="s">
        <v>23</v>
      </c>
      <c r="I1552" s="1" t="s">
        <v>35</v>
      </c>
      <c r="J1552" s="1">
        <v>5</v>
      </c>
      <c r="K1552" s="1" t="s">
        <v>19</v>
      </c>
      <c r="L1552" s="1" t="s">
        <v>62</v>
      </c>
      <c r="M1552" s="1">
        <f>orders[[#This Row],[Ship Date]]-orders[[#This Row],[Order Date]]</f>
        <v>4</v>
      </c>
      <c r="N1552" s="1">
        <f>WEEKNUM(orders[[#This Row],[Order Date]])</f>
        <v>9</v>
      </c>
      <c r="O1552" s="1" t="str" cm="1">
        <f t="array" ref="O1552">_xlfn.IFS(orders[[#This Row],[Customer Gender]]="M","Male", orders[[#This Row],[Customer Gender]]="F","Female", orders[[#This Row],[Customer Gender]]="O","Other", TRUE,"Unknown")</f>
        <v>Male</v>
      </c>
    </row>
    <row r="1553" spans="1:15">
      <c r="A1553" s="1" t="s">
        <v>1652</v>
      </c>
      <c r="B1553" s="1" t="s">
        <v>44</v>
      </c>
      <c r="C1553" s="1">
        <v>38</v>
      </c>
      <c r="D1553" s="1">
        <v>17.3</v>
      </c>
      <c r="E1553" s="11">
        <v>657.4</v>
      </c>
      <c r="F1553" s="3">
        <v>45715</v>
      </c>
      <c r="G1553" s="3">
        <v>45717</v>
      </c>
      <c r="H1553" s="1" t="s">
        <v>23</v>
      </c>
      <c r="I1553" s="1" t="s">
        <v>40</v>
      </c>
      <c r="J1553" s="1">
        <v>5</v>
      </c>
      <c r="K1553" s="1" t="s">
        <v>19</v>
      </c>
      <c r="L1553" s="1" t="s">
        <v>62</v>
      </c>
      <c r="M1553" s="1">
        <f>orders[[#This Row],[Ship Date]]-orders[[#This Row],[Order Date]]</f>
        <v>2</v>
      </c>
      <c r="N1553" s="1">
        <f>WEEKNUM(orders[[#This Row],[Order Date]])</f>
        <v>9</v>
      </c>
      <c r="O1553" s="1" t="str" cm="1">
        <f t="array" ref="O1553">_xlfn.IFS(orders[[#This Row],[Customer Gender]]="M","Male", orders[[#This Row],[Customer Gender]]="F","Female", orders[[#This Row],[Customer Gender]]="O","Other", TRUE,"Unknown")</f>
        <v>Male</v>
      </c>
    </row>
    <row r="1554" spans="1:15">
      <c r="A1554" s="1" t="s">
        <v>1653</v>
      </c>
      <c r="B1554" s="1" t="s">
        <v>76</v>
      </c>
      <c r="C1554" s="1">
        <v>3</v>
      </c>
      <c r="D1554" s="1">
        <v>41.8</v>
      </c>
      <c r="E1554" s="11">
        <v>125.39999999999999</v>
      </c>
      <c r="F1554" s="3">
        <v>45715</v>
      </c>
      <c r="G1554" s="3">
        <v>45718</v>
      </c>
      <c r="H1554" s="1" t="s">
        <v>23</v>
      </c>
      <c r="I1554" s="1" t="s">
        <v>18</v>
      </c>
      <c r="J1554" s="1">
        <v>5</v>
      </c>
      <c r="K1554" s="1" t="s">
        <v>19</v>
      </c>
      <c r="L1554" s="1" t="s">
        <v>62</v>
      </c>
      <c r="M1554" s="1">
        <f>orders[[#This Row],[Ship Date]]-orders[[#This Row],[Order Date]]</f>
        <v>3</v>
      </c>
      <c r="N1554" s="1">
        <f>WEEKNUM(orders[[#This Row],[Order Date]])</f>
        <v>9</v>
      </c>
      <c r="O1554" s="1" t="str" cm="1">
        <f t="array" ref="O1554">_xlfn.IFS(orders[[#This Row],[Customer Gender]]="M","Male", orders[[#This Row],[Customer Gender]]="F","Female", orders[[#This Row],[Customer Gender]]="O","Other", TRUE,"Unknown")</f>
        <v>Male</v>
      </c>
    </row>
    <row r="1555" spans="1:15">
      <c r="A1555" s="1" t="s">
        <v>1654</v>
      </c>
      <c r="B1555" s="1" t="s">
        <v>54</v>
      </c>
      <c r="C1555" s="1">
        <v>1</v>
      </c>
      <c r="D1555" s="1">
        <v>24</v>
      </c>
      <c r="E1555" s="11">
        <v>24</v>
      </c>
      <c r="F1555" s="3">
        <v>45715</v>
      </c>
      <c r="G1555" s="3">
        <v>45716</v>
      </c>
      <c r="H1555" s="1" t="s">
        <v>27</v>
      </c>
      <c r="I1555" s="1" t="s">
        <v>18</v>
      </c>
      <c r="J1555" s="1">
        <v>4</v>
      </c>
      <c r="K1555" s="1" t="s">
        <v>19</v>
      </c>
      <c r="L1555" s="1" t="s">
        <v>103</v>
      </c>
      <c r="M1555" s="1">
        <f>orders[[#This Row],[Ship Date]]-orders[[#This Row],[Order Date]]</f>
        <v>1</v>
      </c>
      <c r="N1555" s="1">
        <f>WEEKNUM(orders[[#This Row],[Order Date]])</f>
        <v>9</v>
      </c>
      <c r="O1555" s="1" t="str" cm="1">
        <f t="array" ref="O1555">_xlfn.IFS(orders[[#This Row],[Customer Gender]]="M","Male", orders[[#This Row],[Customer Gender]]="F","Female", orders[[#This Row],[Customer Gender]]="O","Other", TRUE,"Unknown")</f>
        <v>Female</v>
      </c>
    </row>
    <row r="1556" spans="1:15">
      <c r="A1556" s="1" t="s">
        <v>1655</v>
      </c>
      <c r="B1556" s="1" t="s">
        <v>81</v>
      </c>
      <c r="C1556" s="1">
        <v>9</v>
      </c>
      <c r="D1556" s="1">
        <v>18.5</v>
      </c>
      <c r="E1556" s="11">
        <v>166.5</v>
      </c>
      <c r="F1556" s="3">
        <v>45715</v>
      </c>
      <c r="G1556" s="3">
        <v>45717</v>
      </c>
      <c r="H1556" s="1" t="s">
        <v>27</v>
      </c>
      <c r="I1556" s="1" t="s">
        <v>18</v>
      </c>
      <c r="J1556" s="1">
        <v>4</v>
      </c>
      <c r="K1556" s="1" t="s">
        <v>19</v>
      </c>
      <c r="L1556" s="1" t="s">
        <v>72</v>
      </c>
      <c r="M1556" s="1">
        <f>orders[[#This Row],[Ship Date]]-orders[[#This Row],[Order Date]]</f>
        <v>2</v>
      </c>
      <c r="N1556" s="1">
        <f>WEEKNUM(orders[[#This Row],[Order Date]])</f>
        <v>9</v>
      </c>
      <c r="O1556" s="1" t="str" cm="1">
        <f t="array" ref="O1556">_xlfn.IFS(orders[[#This Row],[Customer Gender]]="M","Male", orders[[#This Row],[Customer Gender]]="F","Female", orders[[#This Row],[Customer Gender]]="O","Other", TRUE,"Unknown")</f>
        <v>Female</v>
      </c>
    </row>
    <row r="1557" spans="1:15">
      <c r="A1557" s="1" t="s">
        <v>1656</v>
      </c>
      <c r="B1557" s="1" t="s">
        <v>30</v>
      </c>
      <c r="C1557" s="1">
        <v>12</v>
      </c>
      <c r="D1557" s="1">
        <v>66.7</v>
      </c>
      <c r="E1557" s="11">
        <v>800.40000000000009</v>
      </c>
      <c r="F1557" s="3">
        <v>45715</v>
      </c>
      <c r="G1557" s="3">
        <v>45718</v>
      </c>
      <c r="H1557" s="1" t="s">
        <v>17</v>
      </c>
      <c r="I1557" s="1" t="s">
        <v>18</v>
      </c>
      <c r="J1557" s="1">
        <v>5</v>
      </c>
      <c r="K1557" s="1" t="s">
        <v>19</v>
      </c>
      <c r="L1557" s="1" t="s">
        <v>77</v>
      </c>
      <c r="M1557" s="1">
        <f>orders[[#This Row],[Ship Date]]-orders[[#This Row],[Order Date]]</f>
        <v>3</v>
      </c>
      <c r="N1557" s="1">
        <f>WEEKNUM(orders[[#This Row],[Order Date]])</f>
        <v>9</v>
      </c>
      <c r="O1557" s="1" t="str" cm="1">
        <f t="array" ref="O1557">_xlfn.IFS(orders[[#This Row],[Customer Gender]]="M","Male", orders[[#This Row],[Customer Gender]]="F","Female", orders[[#This Row],[Customer Gender]]="O","Other", TRUE,"Unknown")</f>
        <v>Unknown</v>
      </c>
    </row>
    <row r="1558" spans="1:15">
      <c r="A1558" s="1" t="s">
        <v>1657</v>
      </c>
      <c r="B1558" s="1" t="s">
        <v>22</v>
      </c>
      <c r="C1558" s="1">
        <v>4</v>
      </c>
      <c r="D1558" s="1">
        <v>33.1</v>
      </c>
      <c r="E1558" s="11">
        <v>132.4</v>
      </c>
      <c r="F1558" s="3">
        <v>45715</v>
      </c>
      <c r="G1558" s="3">
        <v>45720</v>
      </c>
      <c r="H1558" s="1" t="s">
        <v>23</v>
      </c>
      <c r="I1558" s="1" t="s">
        <v>51</v>
      </c>
      <c r="J1558" s="1">
        <v>4</v>
      </c>
      <c r="K1558" s="1" t="s">
        <v>19</v>
      </c>
      <c r="L1558" s="1" t="s">
        <v>77</v>
      </c>
      <c r="M1558" s="1">
        <f>orders[[#This Row],[Ship Date]]-orders[[#This Row],[Order Date]]</f>
        <v>5</v>
      </c>
      <c r="N1558" s="1">
        <f>WEEKNUM(orders[[#This Row],[Order Date]])</f>
        <v>9</v>
      </c>
      <c r="O1558" s="1" t="str" cm="1">
        <f t="array" ref="O1558">_xlfn.IFS(orders[[#This Row],[Customer Gender]]="M","Male", orders[[#This Row],[Customer Gender]]="F","Female", orders[[#This Row],[Customer Gender]]="O","Other", TRUE,"Unknown")</f>
        <v>Male</v>
      </c>
    </row>
    <row r="1559" spans="1:15">
      <c r="A1559" s="1" t="s">
        <v>1658</v>
      </c>
      <c r="B1559" s="1" t="s">
        <v>171</v>
      </c>
      <c r="C1559" s="1">
        <v>9</v>
      </c>
      <c r="D1559" s="1">
        <v>42.1</v>
      </c>
      <c r="E1559" s="11">
        <v>378.90000000000003</v>
      </c>
      <c r="F1559" s="3">
        <v>45715</v>
      </c>
      <c r="G1559" s="3">
        <v>45726</v>
      </c>
      <c r="H1559" s="1" t="s">
        <v>23</v>
      </c>
      <c r="I1559" s="1" t="s">
        <v>35</v>
      </c>
      <c r="J1559" s="1">
        <v>4</v>
      </c>
      <c r="K1559" s="1" t="s">
        <v>19</v>
      </c>
      <c r="L1559" s="1" t="s">
        <v>108</v>
      </c>
      <c r="M1559" s="1">
        <f>orders[[#This Row],[Ship Date]]-orders[[#This Row],[Order Date]]</f>
        <v>11</v>
      </c>
      <c r="N1559" s="1">
        <f>WEEKNUM(orders[[#This Row],[Order Date]])</f>
        <v>9</v>
      </c>
      <c r="O1559" s="1" t="str" cm="1">
        <f t="array" ref="O1559">_xlfn.IFS(orders[[#This Row],[Customer Gender]]="M","Male", orders[[#This Row],[Customer Gender]]="F","Female", orders[[#This Row],[Customer Gender]]="O","Other", TRUE,"Unknown")</f>
        <v>Male</v>
      </c>
    </row>
    <row r="1560" spans="1:15">
      <c r="A1560" s="1" t="s">
        <v>1659</v>
      </c>
      <c r="B1560" s="1" t="s">
        <v>146</v>
      </c>
      <c r="C1560" s="1">
        <v>7</v>
      </c>
      <c r="D1560" s="1">
        <v>58.7</v>
      </c>
      <c r="E1560" s="11">
        <v>410.90000000000003</v>
      </c>
      <c r="F1560" s="3">
        <v>45715</v>
      </c>
      <c r="G1560" s="3">
        <v>45715</v>
      </c>
      <c r="H1560" s="1" t="s">
        <v>89</v>
      </c>
      <c r="I1560" s="1" t="s">
        <v>51</v>
      </c>
      <c r="J1560" s="1">
        <v>4</v>
      </c>
      <c r="K1560" s="1" t="s">
        <v>19</v>
      </c>
      <c r="L1560" s="1" t="s">
        <v>292</v>
      </c>
      <c r="M1560" s="1">
        <f>orders[[#This Row],[Ship Date]]-orders[[#This Row],[Order Date]]</f>
        <v>0</v>
      </c>
      <c r="N1560" s="1">
        <f>WEEKNUM(orders[[#This Row],[Order Date]])</f>
        <v>9</v>
      </c>
      <c r="O1560" s="1" t="str" cm="1">
        <f t="array" ref="O1560">_xlfn.IFS(orders[[#This Row],[Customer Gender]]="M","Male", orders[[#This Row],[Customer Gender]]="F","Female", orders[[#This Row],[Customer Gender]]="O","Other", TRUE,"Unknown")</f>
        <v>Other</v>
      </c>
    </row>
    <row r="1561" spans="1:15">
      <c r="A1561" s="1" t="s">
        <v>1660</v>
      </c>
      <c r="B1561" s="1" t="s">
        <v>39</v>
      </c>
      <c r="C1561" s="1">
        <v>4</v>
      </c>
      <c r="D1561" s="1">
        <v>54</v>
      </c>
      <c r="E1561" s="11">
        <v>216</v>
      </c>
      <c r="F1561" s="3">
        <v>45715</v>
      </c>
      <c r="G1561" s="3">
        <v>45717</v>
      </c>
      <c r="H1561" s="1" t="s">
        <v>27</v>
      </c>
      <c r="I1561" s="1" t="s">
        <v>35</v>
      </c>
      <c r="J1561" s="1">
        <v>4</v>
      </c>
      <c r="K1561" s="1" t="s">
        <v>19</v>
      </c>
      <c r="L1561" s="1" t="s">
        <v>24</v>
      </c>
      <c r="M1561" s="1">
        <f>orders[[#This Row],[Ship Date]]-orders[[#This Row],[Order Date]]</f>
        <v>2</v>
      </c>
      <c r="N1561" s="1">
        <f>WEEKNUM(orders[[#This Row],[Order Date]])</f>
        <v>9</v>
      </c>
      <c r="O1561" s="1" t="str" cm="1">
        <f t="array" ref="O1561">_xlfn.IFS(orders[[#This Row],[Customer Gender]]="M","Male", orders[[#This Row],[Customer Gender]]="F","Female", orders[[#This Row],[Customer Gender]]="O","Other", TRUE,"Unknown")</f>
        <v>Female</v>
      </c>
    </row>
    <row r="1562" spans="1:15">
      <c r="A1562" s="1" t="s">
        <v>1661</v>
      </c>
      <c r="B1562" s="1" t="s">
        <v>44</v>
      </c>
      <c r="C1562" s="1">
        <v>1</v>
      </c>
      <c r="D1562" s="1">
        <v>52.1</v>
      </c>
      <c r="E1562" s="11">
        <v>52.1</v>
      </c>
      <c r="F1562" s="3">
        <v>45715</v>
      </c>
      <c r="G1562" s="3">
        <v>45716</v>
      </c>
      <c r="H1562" s="1" t="s">
        <v>27</v>
      </c>
      <c r="I1562" s="1" t="s">
        <v>40</v>
      </c>
      <c r="J1562" s="1">
        <v>5</v>
      </c>
      <c r="K1562" s="1" t="s">
        <v>19</v>
      </c>
      <c r="L1562" s="1" t="s">
        <v>28</v>
      </c>
      <c r="M1562" s="1">
        <f>orders[[#This Row],[Ship Date]]-orders[[#This Row],[Order Date]]</f>
        <v>1</v>
      </c>
      <c r="N1562" s="1">
        <f>WEEKNUM(orders[[#This Row],[Order Date]])</f>
        <v>9</v>
      </c>
      <c r="O1562" s="1" t="str" cm="1">
        <f t="array" ref="O1562">_xlfn.IFS(orders[[#This Row],[Customer Gender]]="M","Male", orders[[#This Row],[Customer Gender]]="F","Female", orders[[#This Row],[Customer Gender]]="O","Other", TRUE,"Unknown")</f>
        <v>Female</v>
      </c>
    </row>
    <row r="1563" spans="1:15">
      <c r="A1563" s="1" t="s">
        <v>1662</v>
      </c>
      <c r="B1563" s="1" t="s">
        <v>171</v>
      </c>
      <c r="C1563" s="1">
        <v>2</v>
      </c>
      <c r="D1563" s="1">
        <v>27</v>
      </c>
      <c r="E1563" s="11">
        <v>54</v>
      </c>
      <c r="F1563" s="3">
        <v>45715</v>
      </c>
      <c r="G1563" s="3">
        <v>45718</v>
      </c>
      <c r="H1563" s="1" t="s">
        <v>89</v>
      </c>
      <c r="I1563" s="1" t="s">
        <v>40</v>
      </c>
      <c r="J1563" s="1">
        <v>4</v>
      </c>
      <c r="K1563" s="1" t="s">
        <v>19</v>
      </c>
      <c r="L1563" s="1" t="s">
        <v>147</v>
      </c>
      <c r="M1563" s="1">
        <f>orders[[#This Row],[Ship Date]]-orders[[#This Row],[Order Date]]</f>
        <v>3</v>
      </c>
      <c r="N1563" s="1">
        <f>WEEKNUM(orders[[#This Row],[Order Date]])</f>
        <v>9</v>
      </c>
      <c r="O1563" s="1" t="str" cm="1">
        <f t="array" ref="O1563">_xlfn.IFS(orders[[#This Row],[Customer Gender]]="M","Male", orders[[#This Row],[Customer Gender]]="F","Female", orders[[#This Row],[Customer Gender]]="O","Other", TRUE,"Unknown")</f>
        <v>Other</v>
      </c>
    </row>
    <row r="1564" spans="1:15">
      <c r="A1564" s="1" t="s">
        <v>1663</v>
      </c>
      <c r="B1564" s="1" t="s">
        <v>69</v>
      </c>
      <c r="C1564" s="1">
        <v>10</v>
      </c>
      <c r="D1564" s="1">
        <v>31</v>
      </c>
      <c r="E1564" s="11">
        <v>310</v>
      </c>
      <c r="F1564" s="3">
        <v>45716</v>
      </c>
      <c r="G1564" s="3">
        <v>45717</v>
      </c>
      <c r="H1564" s="1" t="s">
        <v>27</v>
      </c>
      <c r="I1564" s="1" t="s">
        <v>51</v>
      </c>
      <c r="J1564" s="1">
        <v>5</v>
      </c>
      <c r="K1564" s="1" t="s">
        <v>19</v>
      </c>
      <c r="L1564" s="1" t="s">
        <v>147</v>
      </c>
      <c r="M1564" s="1">
        <f>orders[[#This Row],[Ship Date]]-orders[[#This Row],[Order Date]]</f>
        <v>1</v>
      </c>
      <c r="N1564" s="1">
        <f>WEEKNUM(orders[[#This Row],[Order Date]])</f>
        <v>9</v>
      </c>
      <c r="O1564" s="1" t="str" cm="1">
        <f t="array" ref="O1564">_xlfn.IFS(orders[[#This Row],[Customer Gender]]="M","Male", orders[[#This Row],[Customer Gender]]="F","Female", orders[[#This Row],[Customer Gender]]="O","Other", TRUE,"Unknown")</f>
        <v>Female</v>
      </c>
    </row>
    <row r="1565" spans="1:15">
      <c r="A1565" s="1" t="s">
        <v>1664</v>
      </c>
      <c r="B1565" s="1" t="s">
        <v>54</v>
      </c>
      <c r="C1565" s="1">
        <v>2</v>
      </c>
      <c r="D1565" s="1">
        <v>46.7</v>
      </c>
      <c r="E1565" s="11">
        <v>93.4</v>
      </c>
      <c r="F1565" s="3">
        <v>45716</v>
      </c>
      <c r="G1565" s="3">
        <v>45716</v>
      </c>
      <c r="H1565" s="1" t="s">
        <v>27</v>
      </c>
      <c r="I1565" s="1" t="s">
        <v>18</v>
      </c>
      <c r="J1565" s="1">
        <v>4</v>
      </c>
      <c r="K1565" s="1" t="s">
        <v>19</v>
      </c>
      <c r="L1565" s="1" t="s">
        <v>334</v>
      </c>
      <c r="M1565" s="1">
        <f>orders[[#This Row],[Ship Date]]-orders[[#This Row],[Order Date]]</f>
        <v>0</v>
      </c>
      <c r="N1565" s="1">
        <f>WEEKNUM(orders[[#This Row],[Order Date]])</f>
        <v>9</v>
      </c>
      <c r="O1565" s="1" t="str" cm="1">
        <f t="array" ref="O1565">_xlfn.IFS(orders[[#This Row],[Customer Gender]]="M","Male", orders[[#This Row],[Customer Gender]]="F","Female", orders[[#This Row],[Customer Gender]]="O","Other", TRUE,"Unknown")</f>
        <v>Female</v>
      </c>
    </row>
    <row r="1566" spans="1:15">
      <c r="A1566" s="1" t="s">
        <v>1665</v>
      </c>
      <c r="B1566" s="1" t="s">
        <v>39</v>
      </c>
      <c r="C1566" s="1">
        <v>1</v>
      </c>
      <c r="D1566" s="1">
        <v>144.69999999999999</v>
      </c>
      <c r="E1566" s="11">
        <v>144.69999999999999</v>
      </c>
      <c r="F1566" s="3">
        <v>45716</v>
      </c>
      <c r="G1566" s="3">
        <v>45719</v>
      </c>
      <c r="H1566" s="1" t="s">
        <v>23</v>
      </c>
      <c r="I1566" s="1" t="s">
        <v>18</v>
      </c>
      <c r="J1566" s="1">
        <v>5</v>
      </c>
      <c r="K1566" s="1" t="s">
        <v>19</v>
      </c>
      <c r="L1566" s="1" t="s">
        <v>33</v>
      </c>
      <c r="M1566" s="1">
        <f>orders[[#This Row],[Ship Date]]-orders[[#This Row],[Order Date]]</f>
        <v>3</v>
      </c>
      <c r="N1566" s="1">
        <f>WEEKNUM(orders[[#This Row],[Order Date]])</f>
        <v>9</v>
      </c>
      <c r="O1566" s="1" t="str" cm="1">
        <f t="array" ref="O1566">_xlfn.IFS(orders[[#This Row],[Customer Gender]]="M","Male", orders[[#This Row],[Customer Gender]]="F","Female", orders[[#This Row],[Customer Gender]]="O","Other", TRUE,"Unknown")</f>
        <v>Male</v>
      </c>
    </row>
    <row r="1567" spans="1:15">
      <c r="A1567" s="1" t="s">
        <v>1666</v>
      </c>
      <c r="B1567" s="1" t="s">
        <v>26</v>
      </c>
      <c r="C1567" s="1">
        <v>9</v>
      </c>
      <c r="D1567" s="1">
        <v>90.9</v>
      </c>
      <c r="E1567" s="11">
        <v>818.1</v>
      </c>
      <c r="F1567" s="3">
        <v>45716</v>
      </c>
      <c r="G1567" s="3">
        <v>45717</v>
      </c>
      <c r="H1567" s="1" t="s">
        <v>23</v>
      </c>
      <c r="I1567" s="1" t="s">
        <v>18</v>
      </c>
      <c r="J1567" s="1">
        <v>5</v>
      </c>
      <c r="K1567" s="1" t="s">
        <v>19</v>
      </c>
      <c r="L1567" s="1" t="s">
        <v>33</v>
      </c>
      <c r="M1567" s="1">
        <f>orders[[#This Row],[Ship Date]]-orders[[#This Row],[Order Date]]</f>
        <v>1</v>
      </c>
      <c r="N1567" s="1">
        <f>WEEKNUM(orders[[#This Row],[Order Date]])</f>
        <v>9</v>
      </c>
      <c r="O1567" s="1" t="str" cm="1">
        <f t="array" ref="O1567">_xlfn.IFS(orders[[#This Row],[Customer Gender]]="M","Male", orders[[#This Row],[Customer Gender]]="F","Female", orders[[#This Row],[Customer Gender]]="O","Other", TRUE,"Unknown")</f>
        <v>Male</v>
      </c>
    </row>
    <row r="1568" spans="1:15">
      <c r="A1568" s="1" t="s">
        <v>1667</v>
      </c>
      <c r="B1568" s="1" t="s">
        <v>22</v>
      </c>
      <c r="C1568" s="1">
        <v>2</v>
      </c>
      <c r="D1568" s="1">
        <v>75.8</v>
      </c>
      <c r="E1568" s="11">
        <v>151.6</v>
      </c>
      <c r="F1568" s="3">
        <v>45716</v>
      </c>
      <c r="G1568" s="3">
        <v>45717</v>
      </c>
      <c r="H1568" s="1" t="s">
        <v>27</v>
      </c>
      <c r="I1568" s="1" t="s">
        <v>40</v>
      </c>
      <c r="J1568" s="1">
        <v>3</v>
      </c>
      <c r="K1568" s="1" t="s">
        <v>19</v>
      </c>
      <c r="L1568" s="1" t="s">
        <v>33</v>
      </c>
      <c r="M1568" s="1">
        <f>orders[[#This Row],[Ship Date]]-orders[[#This Row],[Order Date]]</f>
        <v>1</v>
      </c>
      <c r="N1568" s="1">
        <f>WEEKNUM(orders[[#This Row],[Order Date]])</f>
        <v>9</v>
      </c>
      <c r="O1568" s="1" t="str" cm="1">
        <f t="array" ref="O1568">_xlfn.IFS(orders[[#This Row],[Customer Gender]]="M","Male", orders[[#This Row],[Customer Gender]]="F","Female", orders[[#This Row],[Customer Gender]]="O","Other", TRUE,"Unknown")</f>
        <v>Female</v>
      </c>
    </row>
    <row r="1569" spans="1:15">
      <c r="A1569" s="1" t="s">
        <v>1668</v>
      </c>
      <c r="B1569" s="1" t="s">
        <v>42</v>
      </c>
      <c r="C1569" s="1">
        <v>5</v>
      </c>
      <c r="D1569" s="1">
        <v>57.9</v>
      </c>
      <c r="E1569" s="11">
        <v>289.5</v>
      </c>
      <c r="F1569" s="3">
        <v>45716</v>
      </c>
      <c r="G1569" s="3">
        <v>45718</v>
      </c>
      <c r="H1569" s="1" t="s">
        <v>23</v>
      </c>
      <c r="I1569" s="1" t="s">
        <v>40</v>
      </c>
      <c r="J1569" s="1">
        <v>5</v>
      </c>
      <c r="K1569" s="1" t="s">
        <v>19</v>
      </c>
      <c r="L1569" s="1" t="s">
        <v>33</v>
      </c>
      <c r="M1569" s="1">
        <f>orders[[#This Row],[Ship Date]]-orders[[#This Row],[Order Date]]</f>
        <v>2</v>
      </c>
      <c r="N1569" s="1">
        <f>WEEKNUM(orders[[#This Row],[Order Date]])</f>
        <v>9</v>
      </c>
      <c r="O1569" s="1" t="str" cm="1">
        <f t="array" ref="O1569">_xlfn.IFS(orders[[#This Row],[Customer Gender]]="M","Male", orders[[#This Row],[Customer Gender]]="F","Female", orders[[#This Row],[Customer Gender]]="O","Other", TRUE,"Unknown")</f>
        <v>Male</v>
      </c>
    </row>
    <row r="1570" spans="1:15">
      <c r="A1570" s="1" t="s">
        <v>1669</v>
      </c>
      <c r="B1570" s="1" t="s">
        <v>44</v>
      </c>
      <c r="C1570" s="1">
        <v>5</v>
      </c>
      <c r="D1570" s="1">
        <v>44.8</v>
      </c>
      <c r="E1570" s="11">
        <v>224</v>
      </c>
      <c r="F1570" s="3">
        <v>45716</v>
      </c>
      <c r="G1570" s="3">
        <v>45717</v>
      </c>
      <c r="H1570" s="1" t="s">
        <v>27</v>
      </c>
      <c r="I1570" s="1" t="s">
        <v>51</v>
      </c>
      <c r="J1570" s="1">
        <v>5</v>
      </c>
      <c r="K1570" s="1" t="s">
        <v>19</v>
      </c>
      <c r="L1570" s="1" t="s">
        <v>33</v>
      </c>
      <c r="M1570" s="1">
        <f>orders[[#This Row],[Ship Date]]-orders[[#This Row],[Order Date]]</f>
        <v>1</v>
      </c>
      <c r="N1570" s="1">
        <f>WEEKNUM(orders[[#This Row],[Order Date]])</f>
        <v>9</v>
      </c>
      <c r="O1570" s="1" t="str" cm="1">
        <f t="array" ref="O1570">_xlfn.IFS(orders[[#This Row],[Customer Gender]]="M","Male", orders[[#This Row],[Customer Gender]]="F","Female", orders[[#This Row],[Customer Gender]]="O","Other", TRUE,"Unknown")</f>
        <v>Female</v>
      </c>
    </row>
    <row r="1571" spans="1:15">
      <c r="A1571" s="1" t="s">
        <v>1670</v>
      </c>
      <c r="B1571" s="1" t="s">
        <v>46</v>
      </c>
      <c r="C1571" s="1">
        <v>3</v>
      </c>
      <c r="D1571" s="1">
        <v>44.2</v>
      </c>
      <c r="E1571" s="11">
        <v>132.60000000000002</v>
      </c>
      <c r="F1571" s="3">
        <v>45716</v>
      </c>
      <c r="G1571" s="3">
        <v>45720</v>
      </c>
      <c r="H1571" s="1" t="s">
        <v>23</v>
      </c>
      <c r="I1571" s="1" t="s">
        <v>40</v>
      </c>
      <c r="J1571" s="1">
        <v>5</v>
      </c>
      <c r="K1571" s="1" t="s">
        <v>19</v>
      </c>
      <c r="L1571" s="1" t="s">
        <v>33</v>
      </c>
      <c r="M1571" s="1">
        <f>orders[[#This Row],[Ship Date]]-orders[[#This Row],[Order Date]]</f>
        <v>4</v>
      </c>
      <c r="N1571" s="1">
        <f>WEEKNUM(orders[[#This Row],[Order Date]])</f>
        <v>9</v>
      </c>
      <c r="O1571" s="1" t="str" cm="1">
        <f t="array" ref="O1571">_xlfn.IFS(orders[[#This Row],[Customer Gender]]="M","Male", orders[[#This Row],[Customer Gender]]="F","Female", orders[[#This Row],[Customer Gender]]="O","Other", TRUE,"Unknown")</f>
        <v>Male</v>
      </c>
    </row>
    <row r="1572" spans="1:15">
      <c r="A1572" s="1" t="s">
        <v>1671</v>
      </c>
      <c r="B1572" s="1" t="s">
        <v>37</v>
      </c>
      <c r="C1572" s="1">
        <v>5</v>
      </c>
      <c r="D1572" s="1">
        <v>53.5</v>
      </c>
      <c r="E1572" s="11">
        <v>267.5</v>
      </c>
      <c r="F1572" s="3">
        <v>45716</v>
      </c>
      <c r="G1572" s="3">
        <v>45718</v>
      </c>
      <c r="H1572" s="1" t="s">
        <v>23</v>
      </c>
      <c r="I1572" s="1" t="s">
        <v>18</v>
      </c>
      <c r="J1572" s="1">
        <v>4</v>
      </c>
      <c r="K1572" s="1" t="s">
        <v>19</v>
      </c>
      <c r="L1572" s="1" t="s">
        <v>364</v>
      </c>
      <c r="M1572" s="1">
        <f>orders[[#This Row],[Ship Date]]-orders[[#This Row],[Order Date]]</f>
        <v>2</v>
      </c>
      <c r="N1572" s="1">
        <f>WEEKNUM(orders[[#This Row],[Order Date]])</f>
        <v>9</v>
      </c>
      <c r="O1572" s="1" t="str" cm="1">
        <f t="array" ref="O1572">_xlfn.IFS(orders[[#This Row],[Customer Gender]]="M","Male", orders[[#This Row],[Customer Gender]]="F","Female", orders[[#This Row],[Customer Gender]]="O","Other", TRUE,"Unknown")</f>
        <v>Male</v>
      </c>
    </row>
    <row r="1573" spans="1:15">
      <c r="A1573" s="1" t="s">
        <v>1672</v>
      </c>
      <c r="B1573" s="1" t="s">
        <v>39</v>
      </c>
      <c r="C1573" s="1">
        <v>2</v>
      </c>
      <c r="D1573" s="1">
        <v>72.2</v>
      </c>
      <c r="E1573" s="11">
        <v>144.4</v>
      </c>
      <c r="F1573" s="3">
        <v>45716</v>
      </c>
      <c r="G1573" s="3">
        <v>45717</v>
      </c>
      <c r="H1573" s="1" t="s">
        <v>23</v>
      </c>
      <c r="I1573" s="1" t="s">
        <v>18</v>
      </c>
      <c r="J1573" s="1">
        <v>5</v>
      </c>
      <c r="K1573" s="1" t="s">
        <v>19</v>
      </c>
      <c r="L1573" s="1" t="s">
        <v>188</v>
      </c>
      <c r="M1573" s="1">
        <f>orders[[#This Row],[Ship Date]]-orders[[#This Row],[Order Date]]</f>
        <v>1</v>
      </c>
      <c r="N1573" s="1">
        <f>WEEKNUM(orders[[#This Row],[Order Date]])</f>
        <v>9</v>
      </c>
      <c r="O1573" s="1" t="str" cm="1">
        <f t="array" ref="O1573">_xlfn.IFS(orders[[#This Row],[Customer Gender]]="M","Male", orders[[#This Row],[Customer Gender]]="F","Female", orders[[#This Row],[Customer Gender]]="O","Other", TRUE,"Unknown")</f>
        <v>Male</v>
      </c>
    </row>
    <row r="1574" spans="1:15">
      <c r="A1574" s="1" t="s">
        <v>1673</v>
      </c>
      <c r="B1574" s="1" t="s">
        <v>39</v>
      </c>
      <c r="C1574" s="1">
        <v>4</v>
      </c>
      <c r="D1574" s="1">
        <v>62.4</v>
      </c>
      <c r="E1574" s="11">
        <v>249.6</v>
      </c>
      <c r="F1574" s="3">
        <v>45716</v>
      </c>
      <c r="G1574" s="3">
        <v>45719</v>
      </c>
      <c r="H1574" s="1" t="s">
        <v>27</v>
      </c>
      <c r="I1574" s="1" t="s">
        <v>18</v>
      </c>
      <c r="J1574" s="1">
        <v>3</v>
      </c>
      <c r="K1574" s="1" t="s">
        <v>19</v>
      </c>
      <c r="L1574" s="1" t="s">
        <v>158</v>
      </c>
      <c r="M1574" s="1">
        <f>orders[[#This Row],[Ship Date]]-orders[[#This Row],[Order Date]]</f>
        <v>3</v>
      </c>
      <c r="N1574" s="1">
        <f>WEEKNUM(orders[[#This Row],[Order Date]])</f>
        <v>9</v>
      </c>
      <c r="O1574" s="1" t="str" cm="1">
        <f t="array" ref="O1574">_xlfn.IFS(orders[[#This Row],[Customer Gender]]="M","Male", orders[[#This Row],[Customer Gender]]="F","Female", orders[[#This Row],[Customer Gender]]="O","Other", TRUE,"Unknown")</f>
        <v>Female</v>
      </c>
    </row>
    <row r="1575" spans="1:15">
      <c r="A1575" s="1" t="s">
        <v>1674</v>
      </c>
      <c r="B1575" s="1" t="s">
        <v>54</v>
      </c>
      <c r="C1575" s="1">
        <v>5</v>
      </c>
      <c r="D1575" s="1">
        <v>24.7</v>
      </c>
      <c r="E1575" s="11">
        <v>123.5</v>
      </c>
      <c r="F1575" s="3">
        <v>45716</v>
      </c>
      <c r="G1575" s="3">
        <v>45717</v>
      </c>
      <c r="H1575" s="1" t="s">
        <v>27</v>
      </c>
      <c r="I1575" s="1" t="s">
        <v>18</v>
      </c>
      <c r="J1575" s="1">
        <v>4</v>
      </c>
      <c r="K1575" s="1" t="s">
        <v>19</v>
      </c>
      <c r="L1575" s="1" t="s">
        <v>55</v>
      </c>
      <c r="M1575" s="1">
        <f>orders[[#This Row],[Ship Date]]-orders[[#This Row],[Order Date]]</f>
        <v>1</v>
      </c>
      <c r="N1575" s="1">
        <f>WEEKNUM(orders[[#This Row],[Order Date]])</f>
        <v>9</v>
      </c>
      <c r="O1575" s="1" t="str" cm="1">
        <f t="array" ref="O1575">_xlfn.IFS(orders[[#This Row],[Customer Gender]]="M","Male", orders[[#This Row],[Customer Gender]]="F","Female", orders[[#This Row],[Customer Gender]]="O","Other", TRUE,"Unknown")</f>
        <v>Female</v>
      </c>
    </row>
    <row r="1576" spans="1:15">
      <c r="A1576" s="1" t="s">
        <v>1675</v>
      </c>
      <c r="B1576" s="1" t="s">
        <v>22</v>
      </c>
      <c r="C1576" s="1">
        <v>5</v>
      </c>
      <c r="D1576" s="1">
        <v>61.7</v>
      </c>
      <c r="E1576" s="11">
        <v>308.5</v>
      </c>
      <c r="F1576" s="3">
        <v>45716</v>
      </c>
      <c r="G1576" s="3">
        <v>45718</v>
      </c>
      <c r="H1576" s="1" t="s">
        <v>27</v>
      </c>
      <c r="I1576" s="1" t="s">
        <v>40</v>
      </c>
      <c r="J1576" s="1">
        <v>4</v>
      </c>
      <c r="K1576" s="1" t="s">
        <v>19</v>
      </c>
      <c r="L1576" s="1" t="s">
        <v>62</v>
      </c>
      <c r="M1576" s="1">
        <f>orders[[#This Row],[Ship Date]]-orders[[#This Row],[Order Date]]</f>
        <v>2</v>
      </c>
      <c r="N1576" s="1">
        <f>WEEKNUM(orders[[#This Row],[Order Date]])</f>
        <v>9</v>
      </c>
      <c r="O1576" s="1" t="str" cm="1">
        <f t="array" ref="O1576">_xlfn.IFS(orders[[#This Row],[Customer Gender]]="M","Male", orders[[#This Row],[Customer Gender]]="F","Female", orders[[#This Row],[Customer Gender]]="O","Other", TRUE,"Unknown")</f>
        <v>Female</v>
      </c>
    </row>
    <row r="1577" spans="1:15">
      <c r="A1577" s="1" t="s">
        <v>1676</v>
      </c>
      <c r="B1577" s="1" t="s">
        <v>44</v>
      </c>
      <c r="C1577" s="1">
        <v>5</v>
      </c>
      <c r="D1577" s="1">
        <v>18.2</v>
      </c>
      <c r="E1577" s="11">
        <v>91</v>
      </c>
      <c r="F1577" s="3">
        <v>45716</v>
      </c>
      <c r="G1577" s="3">
        <v>45718</v>
      </c>
      <c r="H1577" s="1" t="s">
        <v>27</v>
      </c>
      <c r="I1577" s="1" t="s">
        <v>51</v>
      </c>
      <c r="J1577" s="1">
        <v>4</v>
      </c>
      <c r="K1577" s="1" t="s">
        <v>19</v>
      </c>
      <c r="L1577" s="1" t="s">
        <v>62</v>
      </c>
      <c r="M1577" s="1">
        <f>orders[[#This Row],[Ship Date]]-orders[[#This Row],[Order Date]]</f>
        <v>2</v>
      </c>
      <c r="N1577" s="1">
        <f>WEEKNUM(orders[[#This Row],[Order Date]])</f>
        <v>9</v>
      </c>
      <c r="O1577" s="1" t="str" cm="1">
        <f t="array" ref="O1577">_xlfn.IFS(orders[[#This Row],[Customer Gender]]="M","Male", orders[[#This Row],[Customer Gender]]="F","Female", orders[[#This Row],[Customer Gender]]="O","Other", TRUE,"Unknown")</f>
        <v>Female</v>
      </c>
    </row>
    <row r="1578" spans="1:15">
      <c r="A1578" s="1" t="s">
        <v>1677</v>
      </c>
      <c r="B1578" s="1" t="s">
        <v>54</v>
      </c>
      <c r="C1578" s="1">
        <v>4</v>
      </c>
      <c r="D1578" s="1">
        <v>37.200000000000003</v>
      </c>
      <c r="E1578" s="11">
        <v>148.80000000000001</v>
      </c>
      <c r="F1578" s="3">
        <v>45716</v>
      </c>
      <c r="G1578" s="3">
        <v>45722</v>
      </c>
      <c r="H1578" s="1" t="s">
        <v>27</v>
      </c>
      <c r="I1578" s="1" t="s">
        <v>18</v>
      </c>
      <c r="J1578" s="1">
        <v>4</v>
      </c>
      <c r="K1578" s="1" t="s">
        <v>19</v>
      </c>
      <c r="L1578" s="1" t="s">
        <v>62</v>
      </c>
      <c r="M1578" s="1">
        <f>orders[[#This Row],[Ship Date]]-orders[[#This Row],[Order Date]]</f>
        <v>6</v>
      </c>
      <c r="N1578" s="1">
        <f>WEEKNUM(orders[[#This Row],[Order Date]])</f>
        <v>9</v>
      </c>
      <c r="O1578" s="1" t="str" cm="1">
        <f t="array" ref="O1578">_xlfn.IFS(orders[[#This Row],[Customer Gender]]="M","Male", orders[[#This Row],[Customer Gender]]="F","Female", orders[[#This Row],[Customer Gender]]="O","Other", TRUE,"Unknown")</f>
        <v>Female</v>
      </c>
    </row>
    <row r="1579" spans="1:15">
      <c r="A1579" s="1" t="s">
        <v>1678</v>
      </c>
      <c r="B1579" s="1" t="s">
        <v>46</v>
      </c>
      <c r="C1579" s="1">
        <v>3</v>
      </c>
      <c r="D1579" s="1">
        <v>53.5</v>
      </c>
      <c r="E1579" s="11">
        <v>160.5</v>
      </c>
      <c r="F1579" s="3">
        <v>45716</v>
      </c>
      <c r="G1579" s="3">
        <v>45718</v>
      </c>
      <c r="H1579" s="1" t="s">
        <v>27</v>
      </c>
      <c r="I1579" s="1" t="s">
        <v>35</v>
      </c>
      <c r="J1579" s="1">
        <v>5</v>
      </c>
      <c r="K1579" s="1" t="s">
        <v>19</v>
      </c>
      <c r="L1579" s="1" t="s">
        <v>72</v>
      </c>
      <c r="M1579" s="1">
        <f>orders[[#This Row],[Ship Date]]-orders[[#This Row],[Order Date]]</f>
        <v>2</v>
      </c>
      <c r="N1579" s="1">
        <f>WEEKNUM(orders[[#This Row],[Order Date]])</f>
        <v>9</v>
      </c>
      <c r="O1579" s="1" t="str" cm="1">
        <f t="array" ref="O1579">_xlfn.IFS(orders[[#This Row],[Customer Gender]]="M","Male", orders[[#This Row],[Customer Gender]]="F","Female", orders[[#This Row],[Customer Gender]]="O","Other", TRUE,"Unknown")</f>
        <v>Female</v>
      </c>
    </row>
    <row r="1580" spans="1:15">
      <c r="A1580" s="1" t="s">
        <v>1679</v>
      </c>
      <c r="B1580" s="1" t="s">
        <v>44</v>
      </c>
      <c r="C1580" s="1">
        <v>3</v>
      </c>
      <c r="D1580" s="1">
        <v>43.6</v>
      </c>
      <c r="E1580" s="11">
        <v>130.80000000000001</v>
      </c>
      <c r="F1580" s="3">
        <v>45716</v>
      </c>
      <c r="G1580" s="3">
        <v>45716</v>
      </c>
      <c r="H1580" s="1" t="s">
        <v>27</v>
      </c>
      <c r="I1580" s="1" t="s">
        <v>18</v>
      </c>
      <c r="J1580" s="1">
        <v>4</v>
      </c>
      <c r="K1580" s="1" t="s">
        <v>19</v>
      </c>
      <c r="L1580" s="1" t="s">
        <v>72</v>
      </c>
      <c r="M1580" s="1">
        <f>orders[[#This Row],[Ship Date]]-orders[[#This Row],[Order Date]]</f>
        <v>0</v>
      </c>
      <c r="N1580" s="1">
        <f>WEEKNUM(orders[[#This Row],[Order Date]])</f>
        <v>9</v>
      </c>
      <c r="O1580" s="1" t="str" cm="1">
        <f t="array" ref="O1580">_xlfn.IFS(orders[[#This Row],[Customer Gender]]="M","Male", orders[[#This Row],[Customer Gender]]="F","Female", orders[[#This Row],[Customer Gender]]="O","Other", TRUE,"Unknown")</f>
        <v>Female</v>
      </c>
    </row>
    <row r="1581" spans="1:15">
      <c r="A1581" s="1" t="s">
        <v>1680</v>
      </c>
      <c r="B1581" s="1" t="s">
        <v>22</v>
      </c>
      <c r="C1581" s="1">
        <v>10</v>
      </c>
      <c r="D1581" s="1">
        <v>135</v>
      </c>
      <c r="E1581" s="11">
        <v>1350</v>
      </c>
      <c r="F1581" s="3">
        <v>45716</v>
      </c>
      <c r="G1581" s="3">
        <v>45718</v>
      </c>
      <c r="H1581" s="1" t="s">
        <v>27</v>
      </c>
      <c r="I1581" s="1" t="s">
        <v>18</v>
      </c>
      <c r="J1581" s="1">
        <v>5</v>
      </c>
      <c r="K1581" s="1" t="s">
        <v>19</v>
      </c>
      <c r="L1581" s="1" t="s">
        <v>72</v>
      </c>
      <c r="M1581" s="1">
        <f>orders[[#This Row],[Ship Date]]-orders[[#This Row],[Order Date]]</f>
        <v>2</v>
      </c>
      <c r="N1581" s="1">
        <f>WEEKNUM(orders[[#This Row],[Order Date]])</f>
        <v>9</v>
      </c>
      <c r="O1581" s="1" t="str" cm="1">
        <f t="array" ref="O1581">_xlfn.IFS(orders[[#This Row],[Customer Gender]]="M","Male", orders[[#This Row],[Customer Gender]]="F","Female", orders[[#This Row],[Customer Gender]]="O","Other", TRUE,"Unknown")</f>
        <v>Female</v>
      </c>
    </row>
    <row r="1582" spans="1:15">
      <c r="A1582" s="1" t="s">
        <v>1681</v>
      </c>
      <c r="B1582" s="1" t="s">
        <v>44</v>
      </c>
      <c r="C1582" s="1">
        <v>5</v>
      </c>
      <c r="D1582" s="1">
        <v>38.5</v>
      </c>
      <c r="E1582" s="11">
        <v>192.5</v>
      </c>
      <c r="F1582" s="3">
        <v>45716</v>
      </c>
      <c r="G1582" s="3">
        <v>45716</v>
      </c>
      <c r="H1582" s="1" t="s">
        <v>23</v>
      </c>
      <c r="I1582" s="1" t="s">
        <v>70</v>
      </c>
      <c r="J1582" s="1">
        <v>5</v>
      </c>
      <c r="K1582" s="1" t="s">
        <v>19</v>
      </c>
      <c r="L1582" s="1" t="s">
        <v>74</v>
      </c>
      <c r="M1582" s="1">
        <f>orders[[#This Row],[Ship Date]]-orders[[#This Row],[Order Date]]</f>
        <v>0</v>
      </c>
      <c r="N1582" s="1">
        <f>WEEKNUM(orders[[#This Row],[Order Date]])</f>
        <v>9</v>
      </c>
      <c r="O1582" s="1" t="str" cm="1">
        <f t="array" ref="O1582">_xlfn.IFS(orders[[#This Row],[Customer Gender]]="M","Male", orders[[#This Row],[Customer Gender]]="F","Female", orders[[#This Row],[Customer Gender]]="O","Other", TRUE,"Unknown")</f>
        <v>Male</v>
      </c>
    </row>
    <row r="1583" spans="1:15">
      <c r="A1583" s="1" t="s">
        <v>1682</v>
      </c>
      <c r="B1583" s="1" t="s">
        <v>46</v>
      </c>
      <c r="C1583" s="1">
        <v>2</v>
      </c>
      <c r="D1583" s="1">
        <v>24</v>
      </c>
      <c r="E1583" s="11">
        <v>48</v>
      </c>
      <c r="F1583" s="3">
        <v>45716</v>
      </c>
      <c r="G1583" s="3">
        <v>45721</v>
      </c>
      <c r="H1583" s="1" t="s">
        <v>27</v>
      </c>
      <c r="I1583" s="1" t="s">
        <v>18</v>
      </c>
      <c r="J1583" s="1">
        <v>4</v>
      </c>
      <c r="K1583" s="1" t="s">
        <v>19</v>
      </c>
      <c r="L1583" s="1" t="s">
        <v>77</v>
      </c>
      <c r="M1583" s="1">
        <f>orders[[#This Row],[Ship Date]]-orders[[#This Row],[Order Date]]</f>
        <v>5</v>
      </c>
      <c r="N1583" s="1">
        <f>WEEKNUM(orders[[#This Row],[Order Date]])</f>
        <v>9</v>
      </c>
      <c r="O1583" s="1" t="str" cm="1">
        <f t="array" ref="O1583">_xlfn.IFS(orders[[#This Row],[Customer Gender]]="M","Male", orders[[#This Row],[Customer Gender]]="F","Female", orders[[#This Row],[Customer Gender]]="O","Other", TRUE,"Unknown")</f>
        <v>Female</v>
      </c>
    </row>
    <row r="1584" spans="1:15">
      <c r="A1584" s="1" t="s">
        <v>1683</v>
      </c>
      <c r="B1584" s="1" t="s">
        <v>32</v>
      </c>
      <c r="C1584" s="1">
        <v>3</v>
      </c>
      <c r="D1584" s="1">
        <v>28.2</v>
      </c>
      <c r="E1584" s="11">
        <v>84.6</v>
      </c>
      <c r="F1584" s="3">
        <v>45716</v>
      </c>
      <c r="G1584" s="3">
        <v>45718</v>
      </c>
      <c r="H1584" s="1" t="s">
        <v>23</v>
      </c>
      <c r="I1584" s="1" t="s">
        <v>18</v>
      </c>
      <c r="J1584" s="1">
        <v>1</v>
      </c>
      <c r="K1584" s="1" t="s">
        <v>19</v>
      </c>
      <c r="L1584" s="1" t="s">
        <v>108</v>
      </c>
      <c r="M1584" s="1">
        <f>orders[[#This Row],[Ship Date]]-orders[[#This Row],[Order Date]]</f>
        <v>2</v>
      </c>
      <c r="N1584" s="1">
        <f>WEEKNUM(orders[[#This Row],[Order Date]])</f>
        <v>9</v>
      </c>
      <c r="O1584" s="1" t="str" cm="1">
        <f t="array" ref="O1584">_xlfn.IFS(orders[[#This Row],[Customer Gender]]="M","Male", orders[[#This Row],[Customer Gender]]="F","Female", orders[[#This Row],[Customer Gender]]="O","Other", TRUE,"Unknown")</f>
        <v>Male</v>
      </c>
    </row>
    <row r="1585" spans="1:15">
      <c r="A1585" s="1" t="s">
        <v>1684</v>
      </c>
      <c r="B1585" s="1" t="s">
        <v>42</v>
      </c>
      <c r="C1585" s="1">
        <v>3</v>
      </c>
      <c r="D1585" s="1">
        <v>37.4</v>
      </c>
      <c r="E1585" s="11">
        <v>112.19999999999999</v>
      </c>
      <c r="F1585" s="3">
        <v>45716</v>
      </c>
      <c r="G1585" s="3">
        <v>45717</v>
      </c>
      <c r="H1585" s="1" t="s">
        <v>27</v>
      </c>
      <c r="I1585" s="1" t="s">
        <v>51</v>
      </c>
      <c r="J1585" s="1">
        <v>4</v>
      </c>
      <c r="K1585" s="1" t="s">
        <v>19</v>
      </c>
      <c r="L1585" s="1" t="s">
        <v>24</v>
      </c>
      <c r="M1585" s="1">
        <f>orders[[#This Row],[Ship Date]]-orders[[#This Row],[Order Date]]</f>
        <v>1</v>
      </c>
      <c r="N1585" s="1">
        <f>WEEKNUM(orders[[#This Row],[Order Date]])</f>
        <v>9</v>
      </c>
      <c r="O1585" s="1" t="str" cm="1">
        <f t="array" ref="O1585">_xlfn.IFS(orders[[#This Row],[Customer Gender]]="M","Male", orders[[#This Row],[Customer Gender]]="F","Female", orders[[#This Row],[Customer Gender]]="O","Other", TRUE,"Unknown")</f>
        <v>Female</v>
      </c>
    </row>
    <row r="1586" spans="1:15">
      <c r="A1586" s="1" t="s">
        <v>1685</v>
      </c>
      <c r="B1586" s="1" t="s">
        <v>39</v>
      </c>
      <c r="C1586" s="1">
        <v>3</v>
      </c>
      <c r="D1586" s="1">
        <v>53.5</v>
      </c>
      <c r="E1586" s="11">
        <v>160.5</v>
      </c>
      <c r="F1586" s="3">
        <v>45716</v>
      </c>
      <c r="G1586" s="3">
        <v>45719</v>
      </c>
      <c r="H1586" s="1" t="s">
        <v>17</v>
      </c>
      <c r="I1586" s="1" t="s">
        <v>70</v>
      </c>
      <c r="J1586" s="1">
        <v>2</v>
      </c>
      <c r="K1586" s="1" t="s">
        <v>19</v>
      </c>
      <c r="L1586" s="1" t="s">
        <v>24</v>
      </c>
      <c r="M1586" s="1">
        <f>orders[[#This Row],[Ship Date]]-orders[[#This Row],[Order Date]]</f>
        <v>3</v>
      </c>
      <c r="N1586" s="1">
        <f>WEEKNUM(orders[[#This Row],[Order Date]])</f>
        <v>9</v>
      </c>
      <c r="O1586" s="1" t="str" cm="1">
        <f t="array" ref="O1586">_xlfn.IFS(orders[[#This Row],[Customer Gender]]="M","Male", orders[[#This Row],[Customer Gender]]="F","Female", orders[[#This Row],[Customer Gender]]="O","Other", TRUE,"Unknown")</f>
        <v>Unknown</v>
      </c>
    </row>
    <row r="1587" spans="1:15">
      <c r="A1587" s="1" t="s">
        <v>1686</v>
      </c>
      <c r="B1587" s="1" t="s">
        <v>67</v>
      </c>
      <c r="C1587" s="1">
        <v>5</v>
      </c>
      <c r="D1587" s="1">
        <v>36.200000000000003</v>
      </c>
      <c r="E1587" s="11">
        <v>181</v>
      </c>
      <c r="F1587" s="3">
        <v>45716</v>
      </c>
      <c r="G1587" s="3">
        <v>45717</v>
      </c>
      <c r="H1587" s="1" t="s">
        <v>23</v>
      </c>
      <c r="I1587" s="1" t="s">
        <v>35</v>
      </c>
      <c r="J1587" s="1">
        <v>5</v>
      </c>
      <c r="K1587" s="1" t="s">
        <v>19</v>
      </c>
      <c r="L1587" s="1" t="s">
        <v>331</v>
      </c>
      <c r="M1587" s="1">
        <f>orders[[#This Row],[Ship Date]]-orders[[#This Row],[Order Date]]</f>
        <v>1</v>
      </c>
      <c r="N1587" s="1">
        <f>WEEKNUM(orders[[#This Row],[Order Date]])</f>
        <v>9</v>
      </c>
      <c r="O1587" s="1" t="str" cm="1">
        <f t="array" ref="O1587">_xlfn.IFS(orders[[#This Row],[Customer Gender]]="M","Male", orders[[#This Row],[Customer Gender]]="F","Female", orders[[#This Row],[Customer Gender]]="O","Other", TRUE,"Unknown")</f>
        <v>Male</v>
      </c>
    </row>
    <row r="1588" spans="1:15">
      <c r="A1588" s="1" t="s">
        <v>1687</v>
      </c>
      <c r="B1588" s="1" t="s">
        <v>16</v>
      </c>
      <c r="C1588" s="1">
        <v>8</v>
      </c>
      <c r="D1588" s="1">
        <v>31.9</v>
      </c>
      <c r="E1588" s="11">
        <v>255.2</v>
      </c>
      <c r="F1588" s="3">
        <v>45716</v>
      </c>
      <c r="G1588" s="3">
        <v>45717</v>
      </c>
      <c r="H1588" s="1" t="s">
        <v>27</v>
      </c>
      <c r="I1588" s="1" t="s">
        <v>70</v>
      </c>
      <c r="J1588" s="1">
        <v>4</v>
      </c>
      <c r="K1588" s="1" t="s">
        <v>19</v>
      </c>
      <c r="L1588" s="1" t="s">
        <v>33</v>
      </c>
      <c r="M1588" s="1">
        <f>orders[[#This Row],[Ship Date]]-orders[[#This Row],[Order Date]]</f>
        <v>1</v>
      </c>
      <c r="N1588" s="1">
        <f>WEEKNUM(orders[[#This Row],[Order Date]])</f>
        <v>9</v>
      </c>
      <c r="O1588" s="1" t="str" cm="1">
        <f t="array" ref="O1588">_xlfn.IFS(orders[[#This Row],[Customer Gender]]="M","Male", orders[[#This Row],[Customer Gender]]="F","Female", orders[[#This Row],[Customer Gender]]="O","Other", TRUE,"Unknown")</f>
        <v>Female</v>
      </c>
    </row>
    <row r="1589" spans="1:15">
      <c r="A1589" s="1" t="s">
        <v>1688</v>
      </c>
      <c r="B1589" s="1" t="s">
        <v>44</v>
      </c>
      <c r="C1589" s="1">
        <v>3</v>
      </c>
      <c r="D1589" s="1">
        <v>21.3</v>
      </c>
      <c r="E1589" s="11">
        <v>63.900000000000006</v>
      </c>
      <c r="F1589" s="3">
        <v>45716</v>
      </c>
      <c r="G1589" s="3">
        <v>45717</v>
      </c>
      <c r="H1589" s="1" t="s">
        <v>23</v>
      </c>
      <c r="I1589" s="1" t="s">
        <v>18</v>
      </c>
      <c r="J1589" s="1">
        <v>5</v>
      </c>
      <c r="K1589" s="1" t="s">
        <v>19</v>
      </c>
      <c r="L1589" s="1" t="s">
        <v>33</v>
      </c>
      <c r="M1589" s="1">
        <f>orders[[#This Row],[Ship Date]]-orders[[#This Row],[Order Date]]</f>
        <v>1</v>
      </c>
      <c r="N1589" s="1">
        <f>WEEKNUM(orders[[#This Row],[Order Date]])</f>
        <v>9</v>
      </c>
      <c r="O1589" s="1" t="str" cm="1">
        <f t="array" ref="O1589">_xlfn.IFS(orders[[#This Row],[Customer Gender]]="M","Male", orders[[#This Row],[Customer Gender]]="F","Female", orders[[#This Row],[Customer Gender]]="O","Other", TRUE,"Unknown")</f>
        <v>Male</v>
      </c>
    </row>
    <row r="1590" spans="1:15">
      <c r="A1590" s="1" t="s">
        <v>1689</v>
      </c>
      <c r="B1590" s="1" t="s">
        <v>44</v>
      </c>
      <c r="C1590" s="1">
        <v>1</v>
      </c>
      <c r="D1590" s="1">
        <v>36.299999999999997</v>
      </c>
      <c r="E1590" s="11">
        <v>36.299999999999997</v>
      </c>
      <c r="F1590" s="3">
        <v>45716</v>
      </c>
      <c r="G1590" s="3">
        <v>45718</v>
      </c>
      <c r="H1590" s="1" t="s">
        <v>89</v>
      </c>
      <c r="I1590" s="1" t="s">
        <v>70</v>
      </c>
      <c r="J1590" s="1">
        <v>4</v>
      </c>
      <c r="K1590" s="1" t="s">
        <v>19</v>
      </c>
      <c r="L1590" s="1" t="s">
        <v>33</v>
      </c>
      <c r="M1590" s="1">
        <f>orders[[#This Row],[Ship Date]]-orders[[#This Row],[Order Date]]</f>
        <v>2</v>
      </c>
      <c r="N1590" s="1">
        <f>WEEKNUM(orders[[#This Row],[Order Date]])</f>
        <v>9</v>
      </c>
      <c r="O1590" s="1" t="str" cm="1">
        <f t="array" ref="O1590">_xlfn.IFS(orders[[#This Row],[Customer Gender]]="M","Male", orders[[#This Row],[Customer Gender]]="F","Female", orders[[#This Row],[Customer Gender]]="O","Other", TRUE,"Unknown")</f>
        <v>Other</v>
      </c>
    </row>
    <row r="1591" spans="1:15">
      <c r="A1591" s="1" t="s">
        <v>1690</v>
      </c>
      <c r="B1591" s="1" t="s">
        <v>39</v>
      </c>
      <c r="C1591" s="1">
        <v>3</v>
      </c>
      <c r="D1591" s="1">
        <v>110.5</v>
      </c>
      <c r="E1591" s="11">
        <v>331.5</v>
      </c>
      <c r="F1591" s="3">
        <v>45716</v>
      </c>
      <c r="G1591" s="3">
        <v>45717</v>
      </c>
      <c r="H1591" s="1" t="s">
        <v>27</v>
      </c>
      <c r="I1591" s="1" t="s">
        <v>18</v>
      </c>
      <c r="J1591" s="1">
        <v>1</v>
      </c>
      <c r="K1591" s="1" t="s">
        <v>19</v>
      </c>
      <c r="L1591" s="1" t="s">
        <v>33</v>
      </c>
      <c r="M1591" s="1">
        <f>orders[[#This Row],[Ship Date]]-orders[[#This Row],[Order Date]]</f>
        <v>1</v>
      </c>
      <c r="N1591" s="1">
        <f>WEEKNUM(orders[[#This Row],[Order Date]])</f>
        <v>9</v>
      </c>
      <c r="O1591" s="1" t="str" cm="1">
        <f t="array" ref="O1591">_xlfn.IFS(orders[[#This Row],[Customer Gender]]="M","Male", orders[[#This Row],[Customer Gender]]="F","Female", orders[[#This Row],[Customer Gender]]="O","Other", TRUE,"Unknown")</f>
        <v>Female</v>
      </c>
    </row>
    <row r="1592" spans="1:15">
      <c r="A1592" s="1" t="s">
        <v>1691</v>
      </c>
      <c r="B1592" s="1" t="s">
        <v>54</v>
      </c>
      <c r="C1592" s="1">
        <v>7</v>
      </c>
      <c r="D1592" s="1">
        <v>32.6</v>
      </c>
      <c r="E1592" s="11">
        <v>228.20000000000002</v>
      </c>
      <c r="F1592" s="3">
        <v>45716</v>
      </c>
      <c r="G1592" s="3">
        <v>45718</v>
      </c>
      <c r="H1592" s="1" t="s">
        <v>27</v>
      </c>
      <c r="I1592" s="1" t="s">
        <v>18</v>
      </c>
      <c r="J1592" s="1">
        <v>3</v>
      </c>
      <c r="K1592" s="1" t="s">
        <v>19</v>
      </c>
      <c r="L1592" s="1" t="s">
        <v>33</v>
      </c>
      <c r="M1592" s="1">
        <f>orders[[#This Row],[Ship Date]]-orders[[#This Row],[Order Date]]</f>
        <v>2</v>
      </c>
      <c r="N1592" s="1">
        <f>WEEKNUM(orders[[#This Row],[Order Date]])</f>
        <v>9</v>
      </c>
      <c r="O1592" s="1" t="str" cm="1">
        <f t="array" ref="O1592">_xlfn.IFS(orders[[#This Row],[Customer Gender]]="M","Male", orders[[#This Row],[Customer Gender]]="F","Female", orders[[#This Row],[Customer Gender]]="O","Other", TRUE,"Unknown")</f>
        <v>Female</v>
      </c>
    </row>
    <row r="1593" spans="1:15">
      <c r="A1593" s="1" t="s">
        <v>1692</v>
      </c>
      <c r="B1593" s="1" t="s">
        <v>37</v>
      </c>
      <c r="C1593" s="1">
        <v>3</v>
      </c>
      <c r="D1593" s="1">
        <v>55.6</v>
      </c>
      <c r="E1593" s="11">
        <v>166.8</v>
      </c>
      <c r="F1593" s="3">
        <v>45717</v>
      </c>
      <c r="G1593" s="3">
        <v>45730</v>
      </c>
      <c r="H1593" s="1" t="s">
        <v>27</v>
      </c>
      <c r="I1593" s="1" t="s">
        <v>18</v>
      </c>
      <c r="J1593" s="1">
        <v>4</v>
      </c>
      <c r="K1593" s="1" t="s">
        <v>19</v>
      </c>
      <c r="L1593" s="1" t="s">
        <v>33</v>
      </c>
      <c r="M1593" s="1">
        <f>orders[[#This Row],[Ship Date]]-orders[[#This Row],[Order Date]]</f>
        <v>13</v>
      </c>
      <c r="N1593" s="1">
        <f>WEEKNUM(orders[[#This Row],[Order Date]])</f>
        <v>9</v>
      </c>
      <c r="O1593" s="1" t="str" cm="1">
        <f t="array" ref="O1593">_xlfn.IFS(orders[[#This Row],[Customer Gender]]="M","Male", orders[[#This Row],[Customer Gender]]="F","Female", orders[[#This Row],[Customer Gender]]="O","Other", TRUE,"Unknown")</f>
        <v>Female</v>
      </c>
    </row>
    <row r="1594" spans="1:15">
      <c r="A1594" s="1" t="s">
        <v>1693</v>
      </c>
      <c r="B1594" s="1" t="s">
        <v>22</v>
      </c>
      <c r="C1594" s="1">
        <v>4</v>
      </c>
      <c r="D1594" s="1">
        <v>38</v>
      </c>
      <c r="E1594" s="11">
        <v>152</v>
      </c>
      <c r="F1594" s="3">
        <v>45717</v>
      </c>
      <c r="G1594" s="3">
        <v>45718</v>
      </c>
      <c r="H1594" s="1" t="s">
        <v>27</v>
      </c>
      <c r="I1594" s="1" t="s">
        <v>51</v>
      </c>
      <c r="J1594" s="1">
        <v>5</v>
      </c>
      <c r="K1594" s="1" t="s">
        <v>19</v>
      </c>
      <c r="L1594" s="1" t="s">
        <v>52</v>
      </c>
      <c r="M1594" s="1">
        <f>orders[[#This Row],[Ship Date]]-orders[[#This Row],[Order Date]]</f>
        <v>1</v>
      </c>
      <c r="N1594" s="1">
        <f>WEEKNUM(orders[[#This Row],[Order Date]])</f>
        <v>9</v>
      </c>
      <c r="O1594" s="1" t="str" cm="1">
        <f t="array" ref="O1594">_xlfn.IFS(orders[[#This Row],[Customer Gender]]="M","Male", orders[[#This Row],[Customer Gender]]="F","Female", orders[[#This Row],[Customer Gender]]="O","Other", TRUE,"Unknown")</f>
        <v>Female</v>
      </c>
    </row>
    <row r="1595" spans="1:15">
      <c r="A1595" s="1" t="s">
        <v>1694</v>
      </c>
      <c r="B1595" s="1" t="s">
        <v>54</v>
      </c>
      <c r="C1595" s="1">
        <v>2</v>
      </c>
      <c r="D1595" s="1">
        <v>51.8</v>
      </c>
      <c r="E1595" s="11">
        <v>103.6</v>
      </c>
      <c r="F1595" s="3">
        <v>45717</v>
      </c>
      <c r="G1595" s="3">
        <v>45723</v>
      </c>
      <c r="H1595" s="1" t="s">
        <v>23</v>
      </c>
      <c r="I1595" s="1" t="s">
        <v>35</v>
      </c>
      <c r="J1595" s="1">
        <v>2</v>
      </c>
      <c r="K1595" s="1" t="s">
        <v>19</v>
      </c>
      <c r="L1595" s="1" t="s">
        <v>55</v>
      </c>
      <c r="M1595" s="1">
        <f>orders[[#This Row],[Ship Date]]-orders[[#This Row],[Order Date]]</f>
        <v>6</v>
      </c>
      <c r="N1595" s="1">
        <f>WEEKNUM(orders[[#This Row],[Order Date]])</f>
        <v>9</v>
      </c>
      <c r="O1595" s="1" t="str" cm="1">
        <f t="array" ref="O1595">_xlfn.IFS(orders[[#This Row],[Customer Gender]]="M","Male", orders[[#This Row],[Customer Gender]]="F","Female", orders[[#This Row],[Customer Gender]]="O","Other", TRUE,"Unknown")</f>
        <v>Male</v>
      </c>
    </row>
    <row r="1596" spans="1:15">
      <c r="A1596" s="1" t="s">
        <v>1695</v>
      </c>
      <c r="B1596" s="1" t="s">
        <v>67</v>
      </c>
      <c r="C1596" s="1">
        <v>8</v>
      </c>
      <c r="D1596" s="1">
        <v>28.7</v>
      </c>
      <c r="E1596" s="11">
        <v>229.6</v>
      </c>
      <c r="F1596" s="3">
        <v>45717</v>
      </c>
      <c r="G1596" s="3">
        <v>45722</v>
      </c>
      <c r="H1596" s="1" t="s">
        <v>27</v>
      </c>
      <c r="I1596" s="1" t="s">
        <v>18</v>
      </c>
      <c r="J1596" s="1">
        <v>4</v>
      </c>
      <c r="K1596" s="1" t="s">
        <v>19</v>
      </c>
      <c r="L1596" s="1" t="s">
        <v>55</v>
      </c>
      <c r="M1596" s="1">
        <f>orders[[#This Row],[Ship Date]]-orders[[#This Row],[Order Date]]</f>
        <v>5</v>
      </c>
      <c r="N1596" s="1">
        <f>WEEKNUM(orders[[#This Row],[Order Date]])</f>
        <v>9</v>
      </c>
      <c r="O1596" s="1" t="str" cm="1">
        <f t="array" ref="O1596">_xlfn.IFS(orders[[#This Row],[Customer Gender]]="M","Male", orders[[#This Row],[Customer Gender]]="F","Female", orders[[#This Row],[Customer Gender]]="O","Other", TRUE,"Unknown")</f>
        <v>Female</v>
      </c>
    </row>
    <row r="1597" spans="1:15">
      <c r="A1597" s="1" t="s">
        <v>1696</v>
      </c>
      <c r="B1597" s="1" t="s">
        <v>39</v>
      </c>
      <c r="C1597" s="1">
        <v>12</v>
      </c>
      <c r="D1597" s="1">
        <v>52.2</v>
      </c>
      <c r="E1597" s="11">
        <v>626.40000000000009</v>
      </c>
      <c r="F1597" s="3">
        <v>45717</v>
      </c>
      <c r="G1597" s="3">
        <v>45717</v>
      </c>
      <c r="H1597" s="1" t="s">
        <v>23</v>
      </c>
      <c r="I1597" s="1" t="s">
        <v>18</v>
      </c>
      <c r="J1597" s="1">
        <v>3</v>
      </c>
      <c r="K1597" s="1" t="s">
        <v>19</v>
      </c>
      <c r="L1597" s="1" t="s">
        <v>55</v>
      </c>
      <c r="M1597" s="1">
        <f>orders[[#This Row],[Ship Date]]-orders[[#This Row],[Order Date]]</f>
        <v>0</v>
      </c>
      <c r="N1597" s="1">
        <f>WEEKNUM(orders[[#This Row],[Order Date]])</f>
        <v>9</v>
      </c>
      <c r="O1597" s="1" t="str" cm="1">
        <f t="array" ref="O1597">_xlfn.IFS(orders[[#This Row],[Customer Gender]]="M","Male", orders[[#This Row],[Customer Gender]]="F","Female", orders[[#This Row],[Customer Gender]]="O","Other", TRUE,"Unknown")</f>
        <v>Male</v>
      </c>
    </row>
    <row r="1598" spans="1:15">
      <c r="A1598" s="1" t="s">
        <v>1697</v>
      </c>
      <c r="B1598" s="1" t="s">
        <v>22</v>
      </c>
      <c r="C1598" s="1">
        <v>2</v>
      </c>
      <c r="D1598" s="1">
        <v>68.2</v>
      </c>
      <c r="E1598" s="11">
        <v>136.4</v>
      </c>
      <c r="F1598" s="3">
        <v>45717</v>
      </c>
      <c r="G1598" s="3">
        <v>45718</v>
      </c>
      <c r="H1598" s="1" t="s">
        <v>17</v>
      </c>
      <c r="I1598" s="1" t="s">
        <v>40</v>
      </c>
      <c r="J1598" s="1">
        <v>4</v>
      </c>
      <c r="K1598" s="1" t="s">
        <v>19</v>
      </c>
      <c r="L1598" s="1" t="s">
        <v>59</v>
      </c>
      <c r="M1598" s="1">
        <f>orders[[#This Row],[Ship Date]]-orders[[#This Row],[Order Date]]</f>
        <v>1</v>
      </c>
      <c r="N1598" s="1">
        <f>WEEKNUM(orders[[#This Row],[Order Date]])</f>
        <v>9</v>
      </c>
      <c r="O1598" s="1" t="str" cm="1">
        <f t="array" ref="O1598">_xlfn.IFS(orders[[#This Row],[Customer Gender]]="M","Male", orders[[#This Row],[Customer Gender]]="F","Female", orders[[#This Row],[Customer Gender]]="O","Other", TRUE,"Unknown")</f>
        <v>Unknown</v>
      </c>
    </row>
    <row r="1599" spans="1:15">
      <c r="A1599" s="1" t="s">
        <v>1698</v>
      </c>
      <c r="B1599" s="1" t="s">
        <v>16</v>
      </c>
      <c r="C1599" s="1">
        <v>3</v>
      </c>
      <c r="D1599" s="1">
        <v>34</v>
      </c>
      <c r="E1599" s="11">
        <v>102</v>
      </c>
      <c r="F1599" s="3">
        <v>45717</v>
      </c>
      <c r="G1599" s="3">
        <v>45721</v>
      </c>
      <c r="H1599" s="1" t="s">
        <v>27</v>
      </c>
      <c r="I1599" s="1" t="s">
        <v>18</v>
      </c>
      <c r="J1599" s="1">
        <v>4</v>
      </c>
      <c r="K1599" s="1" t="s">
        <v>19</v>
      </c>
      <c r="L1599" s="1" t="s">
        <v>62</v>
      </c>
      <c r="M1599" s="1">
        <f>orders[[#This Row],[Ship Date]]-orders[[#This Row],[Order Date]]</f>
        <v>4</v>
      </c>
      <c r="N1599" s="1">
        <f>WEEKNUM(orders[[#This Row],[Order Date]])</f>
        <v>9</v>
      </c>
      <c r="O1599" s="1" t="str" cm="1">
        <f t="array" ref="O1599">_xlfn.IFS(orders[[#This Row],[Customer Gender]]="M","Male", orders[[#This Row],[Customer Gender]]="F","Female", orders[[#This Row],[Customer Gender]]="O","Other", TRUE,"Unknown")</f>
        <v>Female</v>
      </c>
    </row>
    <row r="1600" spans="1:15">
      <c r="A1600" s="1" t="s">
        <v>1699</v>
      </c>
      <c r="B1600" s="1" t="s">
        <v>44</v>
      </c>
      <c r="C1600" s="1">
        <v>3</v>
      </c>
      <c r="D1600" s="1">
        <v>19.100000000000001</v>
      </c>
      <c r="E1600" s="11">
        <v>57.300000000000004</v>
      </c>
      <c r="F1600" s="3">
        <v>45717</v>
      </c>
      <c r="G1600" s="3">
        <v>45718</v>
      </c>
      <c r="H1600" s="1" t="s">
        <v>27</v>
      </c>
      <c r="I1600" s="1" t="s">
        <v>70</v>
      </c>
      <c r="J1600" s="1">
        <v>4</v>
      </c>
      <c r="K1600" s="1" t="s">
        <v>19</v>
      </c>
      <c r="L1600" s="1" t="s">
        <v>62</v>
      </c>
      <c r="M1600" s="1">
        <f>orders[[#This Row],[Ship Date]]-orders[[#This Row],[Order Date]]</f>
        <v>1</v>
      </c>
      <c r="N1600" s="1">
        <f>WEEKNUM(orders[[#This Row],[Order Date]])</f>
        <v>9</v>
      </c>
      <c r="O1600" s="1" t="str" cm="1">
        <f t="array" ref="O1600">_xlfn.IFS(orders[[#This Row],[Customer Gender]]="M","Male", orders[[#This Row],[Customer Gender]]="F","Female", orders[[#This Row],[Customer Gender]]="O","Other", TRUE,"Unknown")</f>
        <v>Female</v>
      </c>
    </row>
    <row r="1601" spans="1:15">
      <c r="A1601" s="1" t="s">
        <v>1700</v>
      </c>
      <c r="B1601" s="1" t="s">
        <v>37</v>
      </c>
      <c r="C1601" s="1">
        <v>8</v>
      </c>
      <c r="D1601" s="1">
        <v>34</v>
      </c>
      <c r="E1601" s="11">
        <v>272</v>
      </c>
      <c r="F1601" s="3">
        <v>45717</v>
      </c>
      <c r="G1601" s="3">
        <v>45725</v>
      </c>
      <c r="H1601" s="1" t="s">
        <v>27</v>
      </c>
      <c r="I1601" s="1" t="s">
        <v>70</v>
      </c>
      <c r="J1601" s="1">
        <v>4</v>
      </c>
      <c r="K1601" s="1" t="s">
        <v>19</v>
      </c>
      <c r="L1601" s="1" t="s">
        <v>62</v>
      </c>
      <c r="M1601" s="1">
        <f>orders[[#This Row],[Ship Date]]-orders[[#This Row],[Order Date]]</f>
        <v>8</v>
      </c>
      <c r="N1601" s="1">
        <f>WEEKNUM(orders[[#This Row],[Order Date]])</f>
        <v>9</v>
      </c>
      <c r="O1601" s="1" t="str" cm="1">
        <f t="array" ref="O1601">_xlfn.IFS(orders[[#This Row],[Customer Gender]]="M","Male", orders[[#This Row],[Customer Gender]]="F","Female", orders[[#This Row],[Customer Gender]]="O","Other", TRUE,"Unknown")</f>
        <v>Female</v>
      </c>
    </row>
    <row r="1602" spans="1:15">
      <c r="A1602" s="1" t="s">
        <v>1701</v>
      </c>
      <c r="B1602" s="1" t="s">
        <v>69</v>
      </c>
      <c r="C1602" s="1">
        <v>2</v>
      </c>
      <c r="D1602" s="1">
        <v>109.1</v>
      </c>
      <c r="E1602" s="11">
        <v>218.2</v>
      </c>
      <c r="F1602" s="3">
        <v>45717</v>
      </c>
      <c r="G1602" s="3">
        <v>45719</v>
      </c>
      <c r="H1602" s="1" t="s">
        <v>23</v>
      </c>
      <c r="I1602" s="1" t="s">
        <v>18</v>
      </c>
      <c r="J1602" s="1">
        <v>5</v>
      </c>
      <c r="K1602" s="1" t="s">
        <v>19</v>
      </c>
      <c r="L1602" s="1" t="s">
        <v>62</v>
      </c>
      <c r="M1602" s="1">
        <f>orders[[#This Row],[Ship Date]]-orders[[#This Row],[Order Date]]</f>
        <v>2</v>
      </c>
      <c r="N1602" s="1">
        <f>WEEKNUM(orders[[#This Row],[Order Date]])</f>
        <v>9</v>
      </c>
      <c r="O1602" s="1" t="str" cm="1">
        <f t="array" ref="O1602">_xlfn.IFS(orders[[#This Row],[Customer Gender]]="M","Male", orders[[#This Row],[Customer Gender]]="F","Female", orders[[#This Row],[Customer Gender]]="O","Other", TRUE,"Unknown")</f>
        <v>Male</v>
      </c>
    </row>
    <row r="1603" spans="1:15">
      <c r="A1603" s="1" t="s">
        <v>1702</v>
      </c>
      <c r="B1603" s="1" t="s">
        <v>146</v>
      </c>
      <c r="C1603" s="1">
        <v>2</v>
      </c>
      <c r="D1603" s="1">
        <v>64.8</v>
      </c>
      <c r="E1603" s="11">
        <v>129.6</v>
      </c>
      <c r="F1603" s="3">
        <v>45717</v>
      </c>
      <c r="G1603" s="3">
        <v>45719</v>
      </c>
      <c r="H1603" s="1" t="s">
        <v>23</v>
      </c>
      <c r="I1603" s="1" t="s">
        <v>18</v>
      </c>
      <c r="J1603" s="1">
        <v>5</v>
      </c>
      <c r="K1603" s="1" t="s">
        <v>19</v>
      </c>
      <c r="L1603" s="1" t="s">
        <v>62</v>
      </c>
      <c r="M1603" s="1">
        <f>orders[[#This Row],[Ship Date]]-orders[[#This Row],[Order Date]]</f>
        <v>2</v>
      </c>
      <c r="N1603" s="1">
        <f>WEEKNUM(orders[[#This Row],[Order Date]])</f>
        <v>9</v>
      </c>
      <c r="O1603" s="1" t="str" cm="1">
        <f t="array" ref="O1603">_xlfn.IFS(orders[[#This Row],[Customer Gender]]="M","Male", orders[[#This Row],[Customer Gender]]="F","Female", orders[[#This Row],[Customer Gender]]="O","Other", TRUE,"Unknown")</f>
        <v>Male</v>
      </c>
    </row>
    <row r="1604" spans="1:15">
      <c r="A1604" s="1" t="s">
        <v>1703</v>
      </c>
      <c r="B1604" s="1" t="s">
        <v>54</v>
      </c>
      <c r="C1604" s="1">
        <v>2</v>
      </c>
      <c r="D1604" s="1">
        <v>21.1</v>
      </c>
      <c r="E1604" s="11">
        <v>42.2</v>
      </c>
      <c r="F1604" s="3">
        <v>45717</v>
      </c>
      <c r="G1604" s="3">
        <v>45717</v>
      </c>
      <c r="H1604" s="1" t="s">
        <v>27</v>
      </c>
      <c r="I1604" s="1" t="s">
        <v>35</v>
      </c>
      <c r="J1604" s="1">
        <v>4</v>
      </c>
      <c r="K1604" s="1" t="s">
        <v>19</v>
      </c>
      <c r="L1604" s="1" t="s">
        <v>77</v>
      </c>
      <c r="M1604" s="1">
        <f>orders[[#This Row],[Ship Date]]-orders[[#This Row],[Order Date]]</f>
        <v>0</v>
      </c>
      <c r="N1604" s="1">
        <f>WEEKNUM(orders[[#This Row],[Order Date]])</f>
        <v>9</v>
      </c>
      <c r="O1604" s="1" t="str" cm="1">
        <f t="array" ref="O1604">_xlfn.IFS(orders[[#This Row],[Customer Gender]]="M","Male", orders[[#This Row],[Customer Gender]]="F","Female", orders[[#This Row],[Customer Gender]]="O","Other", TRUE,"Unknown")</f>
        <v>Female</v>
      </c>
    </row>
    <row r="1605" spans="1:15">
      <c r="A1605" s="1" t="s">
        <v>1704</v>
      </c>
      <c r="B1605" s="1" t="s">
        <v>16</v>
      </c>
      <c r="C1605" s="1">
        <v>8</v>
      </c>
      <c r="D1605" s="1">
        <v>21.3</v>
      </c>
      <c r="E1605" s="11">
        <v>170.4</v>
      </c>
      <c r="F1605" s="3">
        <v>45717</v>
      </c>
      <c r="G1605" s="3">
        <v>45719</v>
      </c>
      <c r="H1605" s="1" t="s">
        <v>23</v>
      </c>
      <c r="I1605" s="1" t="s">
        <v>51</v>
      </c>
      <c r="J1605" s="1">
        <v>3</v>
      </c>
      <c r="K1605" s="1" t="s">
        <v>19</v>
      </c>
      <c r="L1605" s="1" t="s">
        <v>108</v>
      </c>
      <c r="M1605" s="1">
        <f>orders[[#This Row],[Ship Date]]-orders[[#This Row],[Order Date]]</f>
        <v>2</v>
      </c>
      <c r="N1605" s="1">
        <f>WEEKNUM(orders[[#This Row],[Order Date]])</f>
        <v>9</v>
      </c>
      <c r="O1605" s="1" t="str" cm="1">
        <f t="array" ref="O1605">_xlfn.IFS(orders[[#This Row],[Customer Gender]]="M","Male", orders[[#This Row],[Customer Gender]]="F","Female", orders[[#This Row],[Customer Gender]]="O","Other", TRUE,"Unknown")</f>
        <v>Male</v>
      </c>
    </row>
    <row r="1606" spans="1:15">
      <c r="A1606" s="1" t="s">
        <v>1705</v>
      </c>
      <c r="B1606" s="1" t="s">
        <v>46</v>
      </c>
      <c r="C1606" s="1">
        <v>3</v>
      </c>
      <c r="D1606" s="1">
        <v>24.3</v>
      </c>
      <c r="E1606" s="11">
        <v>72.900000000000006</v>
      </c>
      <c r="F1606" s="3">
        <v>45717</v>
      </c>
      <c r="G1606" s="3">
        <v>45718</v>
      </c>
      <c r="H1606" s="1" t="s">
        <v>23</v>
      </c>
      <c r="I1606" s="1" t="s">
        <v>35</v>
      </c>
      <c r="J1606" s="1">
        <v>4</v>
      </c>
      <c r="K1606" s="1" t="s">
        <v>19</v>
      </c>
      <c r="L1606" s="1" t="s">
        <v>110</v>
      </c>
      <c r="M1606" s="1">
        <f>orders[[#This Row],[Ship Date]]-orders[[#This Row],[Order Date]]</f>
        <v>1</v>
      </c>
      <c r="N1606" s="1">
        <f>WEEKNUM(orders[[#This Row],[Order Date]])</f>
        <v>9</v>
      </c>
      <c r="O1606" s="1" t="str" cm="1">
        <f t="array" ref="O1606">_xlfn.IFS(orders[[#This Row],[Customer Gender]]="M","Male", orders[[#This Row],[Customer Gender]]="F","Female", orders[[#This Row],[Customer Gender]]="O","Other", TRUE,"Unknown")</f>
        <v>Male</v>
      </c>
    </row>
    <row r="1607" spans="1:15">
      <c r="A1607" s="1" t="s">
        <v>1706</v>
      </c>
      <c r="B1607" s="1" t="s">
        <v>44</v>
      </c>
      <c r="C1607" s="1">
        <v>1</v>
      </c>
      <c r="D1607" s="1">
        <v>43.3</v>
      </c>
      <c r="E1607" s="11">
        <v>43.3</v>
      </c>
      <c r="F1607" s="3">
        <v>45717</v>
      </c>
      <c r="G1607" s="3">
        <v>45721</v>
      </c>
      <c r="H1607" s="1" t="s">
        <v>23</v>
      </c>
      <c r="I1607" s="1" t="s">
        <v>35</v>
      </c>
      <c r="J1607" s="1">
        <v>3</v>
      </c>
      <c r="K1607" s="1" t="s">
        <v>19</v>
      </c>
      <c r="L1607" s="1" t="s">
        <v>82</v>
      </c>
      <c r="M1607" s="1">
        <f>orders[[#This Row],[Ship Date]]-orders[[#This Row],[Order Date]]</f>
        <v>4</v>
      </c>
      <c r="N1607" s="1">
        <f>WEEKNUM(orders[[#This Row],[Order Date]])</f>
        <v>9</v>
      </c>
      <c r="O1607" s="1" t="str" cm="1">
        <f t="array" ref="O1607">_xlfn.IFS(orders[[#This Row],[Customer Gender]]="M","Male", orders[[#This Row],[Customer Gender]]="F","Female", orders[[#This Row],[Customer Gender]]="O","Other", TRUE,"Unknown")</f>
        <v>Male</v>
      </c>
    </row>
    <row r="1608" spans="1:15">
      <c r="A1608" s="1" t="s">
        <v>1707</v>
      </c>
      <c r="B1608" s="1" t="s">
        <v>46</v>
      </c>
      <c r="C1608" s="1">
        <v>3</v>
      </c>
      <c r="D1608" s="1">
        <v>41</v>
      </c>
      <c r="E1608" s="11">
        <v>123</v>
      </c>
      <c r="F1608" s="3">
        <v>45717</v>
      </c>
      <c r="G1608" s="3">
        <v>45718</v>
      </c>
      <c r="H1608" s="1" t="s">
        <v>27</v>
      </c>
      <c r="I1608" s="1" t="s">
        <v>51</v>
      </c>
      <c r="J1608" s="1">
        <v>2</v>
      </c>
      <c r="K1608" s="1" t="s">
        <v>19</v>
      </c>
      <c r="L1608" s="1" t="s">
        <v>115</v>
      </c>
      <c r="M1608" s="1">
        <f>orders[[#This Row],[Ship Date]]-orders[[#This Row],[Order Date]]</f>
        <v>1</v>
      </c>
      <c r="N1608" s="1">
        <f>WEEKNUM(orders[[#This Row],[Order Date]])</f>
        <v>9</v>
      </c>
      <c r="O1608" s="1" t="str" cm="1">
        <f t="array" ref="O1608">_xlfn.IFS(orders[[#This Row],[Customer Gender]]="M","Male", orders[[#This Row],[Customer Gender]]="F","Female", orders[[#This Row],[Customer Gender]]="O","Other", TRUE,"Unknown")</f>
        <v>Female</v>
      </c>
    </row>
    <row r="1609" spans="1:15">
      <c r="A1609" s="1" t="s">
        <v>1708</v>
      </c>
      <c r="B1609" s="1" t="s">
        <v>128</v>
      </c>
      <c r="C1609" s="1">
        <v>3</v>
      </c>
      <c r="D1609" s="1">
        <v>54.1</v>
      </c>
      <c r="E1609" s="11">
        <v>162.30000000000001</v>
      </c>
      <c r="F1609" s="3">
        <v>45717</v>
      </c>
      <c r="G1609" s="3">
        <v>45719</v>
      </c>
      <c r="H1609" s="1" t="s">
        <v>27</v>
      </c>
      <c r="I1609" s="1" t="s">
        <v>70</v>
      </c>
      <c r="J1609" s="1">
        <v>4</v>
      </c>
      <c r="K1609" s="1" t="s">
        <v>19</v>
      </c>
      <c r="L1609" s="1" t="s">
        <v>115</v>
      </c>
      <c r="M1609" s="1">
        <f>orders[[#This Row],[Ship Date]]-orders[[#This Row],[Order Date]]</f>
        <v>2</v>
      </c>
      <c r="N1609" s="1">
        <f>WEEKNUM(orders[[#This Row],[Order Date]])</f>
        <v>9</v>
      </c>
      <c r="O1609" s="1" t="str" cm="1">
        <f t="array" ref="O1609">_xlfn.IFS(orders[[#This Row],[Customer Gender]]="M","Male", orders[[#This Row],[Customer Gender]]="F","Female", orders[[#This Row],[Customer Gender]]="O","Other", TRUE,"Unknown")</f>
        <v>Female</v>
      </c>
    </row>
    <row r="1610" spans="1:15">
      <c r="A1610" s="1" t="s">
        <v>1709</v>
      </c>
      <c r="B1610" s="1" t="s">
        <v>67</v>
      </c>
      <c r="C1610" s="1">
        <v>2</v>
      </c>
      <c r="D1610" s="1">
        <v>39</v>
      </c>
      <c r="E1610" s="11">
        <v>78</v>
      </c>
      <c r="F1610" s="3">
        <v>45717</v>
      </c>
      <c r="G1610" s="3">
        <v>45718</v>
      </c>
      <c r="H1610" s="1" t="s">
        <v>23</v>
      </c>
      <c r="I1610" s="1" t="s">
        <v>35</v>
      </c>
      <c r="J1610" s="1">
        <v>5</v>
      </c>
      <c r="K1610" s="1" t="s">
        <v>19</v>
      </c>
      <c r="L1610" s="1" t="s">
        <v>24</v>
      </c>
      <c r="M1610" s="1">
        <f>orders[[#This Row],[Ship Date]]-orders[[#This Row],[Order Date]]</f>
        <v>1</v>
      </c>
      <c r="N1610" s="1">
        <f>WEEKNUM(orders[[#This Row],[Order Date]])</f>
        <v>9</v>
      </c>
      <c r="O1610" s="1" t="str" cm="1">
        <f t="array" ref="O1610">_xlfn.IFS(orders[[#This Row],[Customer Gender]]="M","Male", orders[[#This Row],[Customer Gender]]="F","Female", orders[[#This Row],[Customer Gender]]="O","Other", TRUE,"Unknown")</f>
        <v>Male</v>
      </c>
    </row>
    <row r="1611" spans="1:15">
      <c r="A1611" s="1" t="s">
        <v>1710</v>
      </c>
      <c r="B1611" s="1" t="s">
        <v>44</v>
      </c>
      <c r="C1611" s="1">
        <v>2</v>
      </c>
      <c r="D1611" s="1">
        <v>40.299999999999997</v>
      </c>
      <c r="E1611" s="11">
        <v>80.599999999999994</v>
      </c>
      <c r="F1611" s="3">
        <v>45717</v>
      </c>
      <c r="G1611" s="3">
        <v>45719</v>
      </c>
      <c r="H1611" s="1" t="s">
        <v>23</v>
      </c>
      <c r="I1611" s="1" t="s">
        <v>51</v>
      </c>
      <c r="J1611" s="1">
        <v>4</v>
      </c>
      <c r="K1611" s="1" t="s">
        <v>19</v>
      </c>
      <c r="L1611" s="1" t="s">
        <v>208</v>
      </c>
      <c r="M1611" s="1">
        <f>orders[[#This Row],[Ship Date]]-orders[[#This Row],[Order Date]]</f>
        <v>2</v>
      </c>
      <c r="N1611" s="1">
        <f>WEEKNUM(orders[[#This Row],[Order Date]])</f>
        <v>9</v>
      </c>
      <c r="O1611" s="1" t="str" cm="1">
        <f t="array" ref="O1611">_xlfn.IFS(orders[[#This Row],[Customer Gender]]="M","Male", orders[[#This Row],[Customer Gender]]="F","Female", orders[[#This Row],[Customer Gender]]="O","Other", TRUE,"Unknown")</f>
        <v>Male</v>
      </c>
    </row>
    <row r="1612" spans="1:15">
      <c r="A1612" s="1" t="s">
        <v>1711</v>
      </c>
      <c r="B1612" s="1" t="s">
        <v>44</v>
      </c>
      <c r="C1612" s="1">
        <v>3</v>
      </c>
      <c r="D1612" s="1">
        <v>24.1</v>
      </c>
      <c r="E1612" s="11">
        <v>72.300000000000011</v>
      </c>
      <c r="F1612" s="3">
        <v>45717</v>
      </c>
      <c r="G1612" s="3">
        <v>45718</v>
      </c>
      <c r="H1612" s="1" t="s">
        <v>23</v>
      </c>
      <c r="I1612" s="1" t="s">
        <v>18</v>
      </c>
      <c r="J1612" s="1">
        <v>5</v>
      </c>
      <c r="K1612" s="1" t="s">
        <v>19</v>
      </c>
      <c r="L1612" s="1" t="s">
        <v>334</v>
      </c>
      <c r="M1612" s="1">
        <f>orders[[#This Row],[Ship Date]]-orders[[#This Row],[Order Date]]</f>
        <v>1</v>
      </c>
      <c r="N1612" s="1">
        <f>WEEKNUM(orders[[#This Row],[Order Date]])</f>
        <v>9</v>
      </c>
      <c r="O1612" s="1" t="str" cm="1">
        <f t="array" ref="O1612">_xlfn.IFS(orders[[#This Row],[Customer Gender]]="M","Male", orders[[#This Row],[Customer Gender]]="F","Female", orders[[#This Row],[Customer Gender]]="O","Other", TRUE,"Unknown")</f>
        <v>Male</v>
      </c>
    </row>
    <row r="1613" spans="1:15">
      <c r="A1613" s="1" t="s">
        <v>1712</v>
      </c>
      <c r="B1613" s="1" t="s">
        <v>39</v>
      </c>
      <c r="C1613" s="1">
        <v>5</v>
      </c>
      <c r="D1613" s="1">
        <v>52.3</v>
      </c>
      <c r="E1613" s="11">
        <v>261.5</v>
      </c>
      <c r="F1613" s="3">
        <v>45717</v>
      </c>
      <c r="G1613" s="3">
        <v>45718</v>
      </c>
      <c r="H1613" s="1" t="s">
        <v>23</v>
      </c>
      <c r="I1613" s="1" t="s">
        <v>40</v>
      </c>
      <c r="J1613" s="1">
        <v>4</v>
      </c>
      <c r="K1613" s="1" t="s">
        <v>19</v>
      </c>
      <c r="L1613" s="1" t="s">
        <v>33</v>
      </c>
      <c r="M1613" s="1">
        <f>orders[[#This Row],[Ship Date]]-orders[[#This Row],[Order Date]]</f>
        <v>1</v>
      </c>
      <c r="N1613" s="1">
        <f>WEEKNUM(orders[[#This Row],[Order Date]])</f>
        <v>9</v>
      </c>
      <c r="O1613" s="1" t="str" cm="1">
        <f t="array" ref="O1613">_xlfn.IFS(orders[[#This Row],[Customer Gender]]="M","Male", orders[[#This Row],[Customer Gender]]="F","Female", orders[[#This Row],[Customer Gender]]="O","Other", TRUE,"Unknown")</f>
        <v>Male</v>
      </c>
    </row>
    <row r="1614" spans="1:15">
      <c r="A1614" s="1" t="s">
        <v>1713</v>
      </c>
      <c r="B1614" s="1" t="s">
        <v>69</v>
      </c>
      <c r="C1614" s="1">
        <v>4</v>
      </c>
      <c r="D1614" s="1">
        <v>68.8</v>
      </c>
      <c r="E1614" s="11">
        <v>275.2</v>
      </c>
      <c r="F1614" s="3">
        <v>45717</v>
      </c>
      <c r="G1614" s="3">
        <v>45721</v>
      </c>
      <c r="H1614" s="1" t="s">
        <v>27</v>
      </c>
      <c r="I1614" s="1" t="s">
        <v>70</v>
      </c>
      <c r="J1614" s="1">
        <v>5</v>
      </c>
      <c r="K1614" s="1" t="s">
        <v>19</v>
      </c>
      <c r="L1614" s="1" t="s">
        <v>33</v>
      </c>
      <c r="M1614" s="1">
        <f>orders[[#This Row],[Ship Date]]-orders[[#This Row],[Order Date]]</f>
        <v>4</v>
      </c>
      <c r="N1614" s="1">
        <f>WEEKNUM(orders[[#This Row],[Order Date]])</f>
        <v>9</v>
      </c>
      <c r="O1614" s="1" t="str" cm="1">
        <f t="array" ref="O1614">_xlfn.IFS(orders[[#This Row],[Customer Gender]]="M","Male", orders[[#This Row],[Customer Gender]]="F","Female", orders[[#This Row],[Customer Gender]]="O","Other", TRUE,"Unknown")</f>
        <v>Female</v>
      </c>
    </row>
    <row r="1615" spans="1:15">
      <c r="A1615" s="1" t="s">
        <v>1714</v>
      </c>
      <c r="B1615" s="1" t="s">
        <v>26</v>
      </c>
      <c r="C1615" s="1">
        <v>2</v>
      </c>
      <c r="D1615" s="1">
        <v>128.80000000000001</v>
      </c>
      <c r="E1615" s="11">
        <v>257.60000000000002</v>
      </c>
      <c r="F1615" s="3">
        <v>45718</v>
      </c>
      <c r="G1615" s="3">
        <v>45721</v>
      </c>
      <c r="H1615" s="1" t="s">
        <v>27</v>
      </c>
      <c r="I1615" s="1" t="s">
        <v>35</v>
      </c>
      <c r="J1615" s="1">
        <v>3</v>
      </c>
      <c r="K1615" s="1" t="s">
        <v>19</v>
      </c>
      <c r="L1615" s="1" t="s">
        <v>33</v>
      </c>
      <c r="M1615" s="1">
        <f>orders[[#This Row],[Ship Date]]-orders[[#This Row],[Order Date]]</f>
        <v>3</v>
      </c>
      <c r="N1615" s="1">
        <f>WEEKNUM(orders[[#This Row],[Order Date]])</f>
        <v>10</v>
      </c>
      <c r="O1615" s="1" t="str" cm="1">
        <f t="array" ref="O1615">_xlfn.IFS(orders[[#This Row],[Customer Gender]]="M","Male", orders[[#This Row],[Customer Gender]]="F","Female", orders[[#This Row],[Customer Gender]]="O","Other", TRUE,"Unknown")</f>
        <v>Female</v>
      </c>
    </row>
    <row r="1616" spans="1:15">
      <c r="A1616" s="1" t="s">
        <v>1715</v>
      </c>
      <c r="B1616" s="1" t="s">
        <v>123</v>
      </c>
      <c r="C1616" s="1">
        <v>5</v>
      </c>
      <c r="D1616" s="1">
        <v>48.2</v>
      </c>
      <c r="E1616" s="11">
        <v>241</v>
      </c>
      <c r="F1616" s="3">
        <v>45718</v>
      </c>
      <c r="G1616" s="3">
        <v>45720</v>
      </c>
      <c r="H1616" s="1" t="s">
        <v>27</v>
      </c>
      <c r="I1616" s="1" t="s">
        <v>51</v>
      </c>
      <c r="J1616" s="1">
        <v>4</v>
      </c>
      <c r="K1616" s="1" t="s">
        <v>19</v>
      </c>
      <c r="L1616" s="1" t="s">
        <v>33</v>
      </c>
      <c r="M1616" s="1">
        <f>orders[[#This Row],[Ship Date]]-orders[[#This Row],[Order Date]]</f>
        <v>2</v>
      </c>
      <c r="N1616" s="1">
        <f>WEEKNUM(orders[[#This Row],[Order Date]])</f>
        <v>10</v>
      </c>
      <c r="O1616" s="1" t="str" cm="1">
        <f t="array" ref="O1616">_xlfn.IFS(orders[[#This Row],[Customer Gender]]="M","Male", orders[[#This Row],[Customer Gender]]="F","Female", orders[[#This Row],[Customer Gender]]="O","Other", TRUE,"Unknown")</f>
        <v>Female</v>
      </c>
    </row>
    <row r="1617" spans="1:15">
      <c r="A1617" s="1" t="s">
        <v>1716</v>
      </c>
      <c r="B1617" s="1" t="s">
        <v>54</v>
      </c>
      <c r="C1617" s="1">
        <v>1</v>
      </c>
      <c r="D1617" s="1">
        <v>39.700000000000003</v>
      </c>
      <c r="E1617" s="11">
        <v>39.700000000000003</v>
      </c>
      <c r="F1617" s="3">
        <v>45718</v>
      </c>
      <c r="G1617" s="3">
        <v>45720</v>
      </c>
      <c r="H1617" s="1" t="s">
        <v>27</v>
      </c>
      <c r="I1617" s="1" t="s">
        <v>18</v>
      </c>
      <c r="J1617" s="1">
        <v>3</v>
      </c>
      <c r="K1617" s="1" t="s">
        <v>19</v>
      </c>
      <c r="L1617" s="1" t="s">
        <v>33</v>
      </c>
      <c r="M1617" s="1">
        <f>orders[[#This Row],[Ship Date]]-orders[[#This Row],[Order Date]]</f>
        <v>2</v>
      </c>
      <c r="N1617" s="1">
        <f>WEEKNUM(orders[[#This Row],[Order Date]])</f>
        <v>10</v>
      </c>
      <c r="O1617" s="1" t="str" cm="1">
        <f t="array" ref="O1617">_xlfn.IFS(orders[[#This Row],[Customer Gender]]="M","Male", orders[[#This Row],[Customer Gender]]="F","Female", orders[[#This Row],[Customer Gender]]="O","Other", TRUE,"Unknown")</f>
        <v>Female</v>
      </c>
    </row>
    <row r="1618" spans="1:15">
      <c r="A1618" s="1" t="s">
        <v>1717</v>
      </c>
      <c r="B1618" s="1" t="s">
        <v>46</v>
      </c>
      <c r="C1618" s="1">
        <v>1</v>
      </c>
      <c r="D1618" s="1">
        <v>59.7</v>
      </c>
      <c r="E1618" s="11">
        <v>59.7</v>
      </c>
      <c r="F1618" s="3">
        <v>45718</v>
      </c>
      <c r="G1618" s="3">
        <v>45721</v>
      </c>
      <c r="H1618" s="1" t="s">
        <v>27</v>
      </c>
      <c r="I1618" s="1" t="s">
        <v>70</v>
      </c>
      <c r="J1618" s="1">
        <v>4</v>
      </c>
      <c r="K1618" s="1" t="s">
        <v>19</v>
      </c>
      <c r="L1618" s="1" t="s">
        <v>33</v>
      </c>
      <c r="M1618" s="1">
        <f>orders[[#This Row],[Ship Date]]-orders[[#This Row],[Order Date]]</f>
        <v>3</v>
      </c>
      <c r="N1618" s="1">
        <f>WEEKNUM(orders[[#This Row],[Order Date]])</f>
        <v>10</v>
      </c>
      <c r="O1618" s="1" t="str" cm="1">
        <f t="array" ref="O1618">_xlfn.IFS(orders[[#This Row],[Customer Gender]]="M","Male", orders[[#This Row],[Customer Gender]]="F","Female", orders[[#This Row],[Customer Gender]]="O","Other", TRUE,"Unknown")</f>
        <v>Female</v>
      </c>
    </row>
    <row r="1619" spans="1:15">
      <c r="A1619" s="1" t="s">
        <v>1718</v>
      </c>
      <c r="B1619" s="1" t="s">
        <v>39</v>
      </c>
      <c r="C1619" s="1">
        <v>1</v>
      </c>
      <c r="D1619" s="1">
        <v>48.3</v>
      </c>
      <c r="E1619" s="11">
        <v>48.3</v>
      </c>
      <c r="F1619" s="3">
        <v>45718</v>
      </c>
      <c r="G1619" s="3">
        <v>45732</v>
      </c>
      <c r="H1619" s="1" t="s">
        <v>89</v>
      </c>
      <c r="I1619" s="1" t="s">
        <v>18</v>
      </c>
      <c r="J1619" s="1">
        <v>5</v>
      </c>
      <c r="K1619" s="1" t="s">
        <v>19</v>
      </c>
      <c r="L1619" s="1" t="s">
        <v>33</v>
      </c>
      <c r="M1619" s="1">
        <f>orders[[#This Row],[Ship Date]]-orders[[#This Row],[Order Date]]</f>
        <v>14</v>
      </c>
      <c r="N1619" s="1">
        <f>WEEKNUM(orders[[#This Row],[Order Date]])</f>
        <v>10</v>
      </c>
      <c r="O1619" s="1" t="str" cm="1">
        <f t="array" ref="O1619">_xlfn.IFS(orders[[#This Row],[Customer Gender]]="M","Male", orders[[#This Row],[Customer Gender]]="F","Female", orders[[#This Row],[Customer Gender]]="O","Other", TRUE,"Unknown")</f>
        <v>Other</v>
      </c>
    </row>
    <row r="1620" spans="1:15">
      <c r="A1620" s="1" t="s">
        <v>1719</v>
      </c>
      <c r="B1620" s="1" t="s">
        <v>44</v>
      </c>
      <c r="C1620" s="1">
        <v>3</v>
      </c>
      <c r="D1620" s="1">
        <v>45.5</v>
      </c>
      <c r="E1620" s="11">
        <v>136.5</v>
      </c>
      <c r="F1620" s="3">
        <v>45718</v>
      </c>
      <c r="G1620" s="3">
        <v>45720</v>
      </c>
      <c r="H1620" s="1" t="s">
        <v>23</v>
      </c>
      <c r="I1620" s="1" t="s">
        <v>40</v>
      </c>
      <c r="J1620" s="1">
        <v>3</v>
      </c>
      <c r="K1620" s="1" t="s">
        <v>19</v>
      </c>
      <c r="L1620" s="1" t="s">
        <v>33</v>
      </c>
      <c r="M1620" s="1">
        <f>orders[[#This Row],[Ship Date]]-orders[[#This Row],[Order Date]]</f>
        <v>2</v>
      </c>
      <c r="N1620" s="1">
        <f>WEEKNUM(orders[[#This Row],[Order Date]])</f>
        <v>10</v>
      </c>
      <c r="O1620" s="1" t="str" cm="1">
        <f t="array" ref="O1620">_xlfn.IFS(orders[[#This Row],[Customer Gender]]="M","Male", orders[[#This Row],[Customer Gender]]="F","Female", orders[[#This Row],[Customer Gender]]="O","Other", TRUE,"Unknown")</f>
        <v>Male</v>
      </c>
    </row>
    <row r="1621" spans="1:15">
      <c r="A1621" s="1" t="s">
        <v>1720</v>
      </c>
      <c r="B1621" s="1" t="s">
        <v>46</v>
      </c>
      <c r="C1621" s="1">
        <v>27</v>
      </c>
      <c r="D1621" s="1">
        <v>51</v>
      </c>
      <c r="E1621" s="11">
        <v>1377</v>
      </c>
      <c r="F1621" s="3">
        <v>45718</v>
      </c>
      <c r="G1621" s="3">
        <v>45718</v>
      </c>
      <c r="H1621" s="1" t="s">
        <v>27</v>
      </c>
      <c r="I1621" s="1" t="s">
        <v>40</v>
      </c>
      <c r="J1621" s="1">
        <v>4</v>
      </c>
      <c r="K1621" s="1" t="s">
        <v>19</v>
      </c>
      <c r="L1621" s="1" t="s">
        <v>33</v>
      </c>
      <c r="M1621" s="1">
        <f>orders[[#This Row],[Ship Date]]-orders[[#This Row],[Order Date]]</f>
        <v>0</v>
      </c>
      <c r="N1621" s="1">
        <f>WEEKNUM(orders[[#This Row],[Order Date]])</f>
        <v>10</v>
      </c>
      <c r="O1621" s="1" t="str" cm="1">
        <f t="array" ref="O1621">_xlfn.IFS(orders[[#This Row],[Customer Gender]]="M","Male", orders[[#This Row],[Customer Gender]]="F","Female", orders[[#This Row],[Customer Gender]]="O","Other", TRUE,"Unknown")</f>
        <v>Female</v>
      </c>
    </row>
    <row r="1622" spans="1:15">
      <c r="A1622" s="1" t="s">
        <v>1721</v>
      </c>
      <c r="B1622" s="1" t="s">
        <v>32</v>
      </c>
      <c r="C1622" s="1">
        <v>6</v>
      </c>
      <c r="D1622" s="1">
        <v>20.399999999999999</v>
      </c>
      <c r="E1622" s="11">
        <v>122.39999999999999</v>
      </c>
      <c r="F1622" s="3">
        <v>45718</v>
      </c>
      <c r="G1622" s="3">
        <v>45719</v>
      </c>
      <c r="H1622" s="1" t="s">
        <v>23</v>
      </c>
      <c r="I1622" s="1" t="s">
        <v>40</v>
      </c>
      <c r="J1622" s="1">
        <v>4</v>
      </c>
      <c r="K1622" s="1" t="s">
        <v>19</v>
      </c>
      <c r="L1622" s="1" t="s">
        <v>33</v>
      </c>
      <c r="M1622" s="1">
        <f>orders[[#This Row],[Ship Date]]-orders[[#This Row],[Order Date]]</f>
        <v>1</v>
      </c>
      <c r="N1622" s="1">
        <f>WEEKNUM(orders[[#This Row],[Order Date]])</f>
        <v>10</v>
      </c>
      <c r="O1622" s="1" t="str" cm="1">
        <f t="array" ref="O1622">_xlfn.IFS(orders[[#This Row],[Customer Gender]]="M","Male", orders[[#This Row],[Customer Gender]]="F","Female", orders[[#This Row],[Customer Gender]]="O","Other", TRUE,"Unknown")</f>
        <v>Male</v>
      </c>
    </row>
    <row r="1623" spans="1:15">
      <c r="A1623" s="1" t="s">
        <v>1722</v>
      </c>
      <c r="B1623" s="1" t="s">
        <v>54</v>
      </c>
      <c r="C1623" s="1">
        <v>2</v>
      </c>
      <c r="D1623" s="1">
        <v>30.4</v>
      </c>
      <c r="E1623" s="11">
        <v>60.8</v>
      </c>
      <c r="F1623" s="3">
        <v>45718</v>
      </c>
      <c r="G1623" s="3">
        <v>45720</v>
      </c>
      <c r="H1623" s="1" t="s">
        <v>23</v>
      </c>
      <c r="I1623" s="1" t="s">
        <v>40</v>
      </c>
      <c r="J1623" s="1">
        <v>4</v>
      </c>
      <c r="K1623" s="1" t="s">
        <v>19</v>
      </c>
      <c r="L1623" s="1" t="s">
        <v>33</v>
      </c>
      <c r="M1623" s="1">
        <f>orders[[#This Row],[Ship Date]]-orders[[#This Row],[Order Date]]</f>
        <v>2</v>
      </c>
      <c r="N1623" s="1">
        <f>WEEKNUM(orders[[#This Row],[Order Date]])</f>
        <v>10</v>
      </c>
      <c r="O1623" s="1" t="str" cm="1">
        <f t="array" ref="O1623">_xlfn.IFS(orders[[#This Row],[Customer Gender]]="M","Male", orders[[#This Row],[Customer Gender]]="F","Female", orders[[#This Row],[Customer Gender]]="O","Other", TRUE,"Unknown")</f>
        <v>Male</v>
      </c>
    </row>
    <row r="1624" spans="1:15">
      <c r="A1624" s="1" t="s">
        <v>1723</v>
      </c>
      <c r="B1624" s="1" t="s">
        <v>42</v>
      </c>
      <c r="C1624" s="1">
        <v>2</v>
      </c>
      <c r="D1624" s="1">
        <v>71.5</v>
      </c>
      <c r="E1624" s="11">
        <v>143</v>
      </c>
      <c r="F1624" s="3">
        <v>45718</v>
      </c>
      <c r="G1624" s="3">
        <v>45722</v>
      </c>
      <c r="H1624" s="1" t="s">
        <v>27</v>
      </c>
      <c r="I1624" s="1" t="s">
        <v>18</v>
      </c>
      <c r="J1624" s="1">
        <v>4</v>
      </c>
      <c r="K1624" s="1" t="s">
        <v>19</v>
      </c>
      <c r="L1624" s="1" t="s">
        <v>33</v>
      </c>
      <c r="M1624" s="1">
        <f>orders[[#This Row],[Ship Date]]-orders[[#This Row],[Order Date]]</f>
        <v>4</v>
      </c>
      <c r="N1624" s="1">
        <f>WEEKNUM(orders[[#This Row],[Order Date]])</f>
        <v>10</v>
      </c>
      <c r="O1624" s="1" t="str" cm="1">
        <f t="array" ref="O1624">_xlfn.IFS(orders[[#This Row],[Customer Gender]]="M","Male", orders[[#This Row],[Customer Gender]]="F","Female", orders[[#This Row],[Customer Gender]]="O","Other", TRUE,"Unknown")</f>
        <v>Female</v>
      </c>
    </row>
    <row r="1625" spans="1:15">
      <c r="A1625" s="1" t="s">
        <v>1724</v>
      </c>
      <c r="B1625" s="1" t="s">
        <v>44</v>
      </c>
      <c r="C1625" s="1">
        <v>6</v>
      </c>
      <c r="D1625" s="1">
        <v>18</v>
      </c>
      <c r="E1625" s="11">
        <v>108</v>
      </c>
      <c r="F1625" s="3">
        <v>45718</v>
      </c>
      <c r="G1625" s="3">
        <v>45719</v>
      </c>
      <c r="H1625" s="1" t="s">
        <v>89</v>
      </c>
      <c r="I1625" s="1" t="s">
        <v>35</v>
      </c>
      <c r="J1625" s="1">
        <v>5</v>
      </c>
      <c r="K1625" s="1" t="s">
        <v>19</v>
      </c>
      <c r="L1625" s="1" t="s">
        <v>55</v>
      </c>
      <c r="M1625" s="1">
        <f>orders[[#This Row],[Ship Date]]-orders[[#This Row],[Order Date]]</f>
        <v>1</v>
      </c>
      <c r="N1625" s="1">
        <f>WEEKNUM(orders[[#This Row],[Order Date]])</f>
        <v>10</v>
      </c>
      <c r="O1625" s="1" t="str" cm="1">
        <f t="array" ref="O1625">_xlfn.IFS(orders[[#This Row],[Customer Gender]]="M","Male", orders[[#This Row],[Customer Gender]]="F","Female", orders[[#This Row],[Customer Gender]]="O","Other", TRUE,"Unknown")</f>
        <v>Other</v>
      </c>
    </row>
    <row r="1626" spans="1:15">
      <c r="A1626" s="1" t="s">
        <v>1725</v>
      </c>
      <c r="B1626" s="1" t="s">
        <v>123</v>
      </c>
      <c r="C1626" s="1">
        <v>11</v>
      </c>
      <c r="D1626" s="1">
        <v>45.6</v>
      </c>
      <c r="E1626" s="11">
        <v>501.6</v>
      </c>
      <c r="F1626" s="3">
        <v>45718</v>
      </c>
      <c r="G1626" s="3">
        <v>45719</v>
      </c>
      <c r="H1626" s="1" t="s">
        <v>89</v>
      </c>
      <c r="I1626" s="1" t="s">
        <v>35</v>
      </c>
      <c r="J1626" s="1">
        <v>3</v>
      </c>
      <c r="K1626" s="1" t="s">
        <v>19</v>
      </c>
      <c r="L1626" s="1" t="s">
        <v>59</v>
      </c>
      <c r="M1626" s="1">
        <f>orders[[#This Row],[Ship Date]]-orders[[#This Row],[Order Date]]</f>
        <v>1</v>
      </c>
      <c r="N1626" s="1">
        <f>WEEKNUM(orders[[#This Row],[Order Date]])</f>
        <v>10</v>
      </c>
      <c r="O1626" s="1" t="str" cm="1">
        <f t="array" ref="O1626">_xlfn.IFS(orders[[#This Row],[Customer Gender]]="M","Male", orders[[#This Row],[Customer Gender]]="F","Female", orders[[#This Row],[Customer Gender]]="O","Other", TRUE,"Unknown")</f>
        <v>Other</v>
      </c>
    </row>
    <row r="1627" spans="1:15">
      <c r="A1627" s="1" t="s">
        <v>1726</v>
      </c>
      <c r="B1627" s="1" t="s">
        <v>46</v>
      </c>
      <c r="C1627" s="1">
        <v>1</v>
      </c>
      <c r="D1627" s="1">
        <v>31.8</v>
      </c>
      <c r="E1627" s="11">
        <v>31.8</v>
      </c>
      <c r="F1627" s="3">
        <v>45718</v>
      </c>
      <c r="G1627" s="3">
        <v>45722</v>
      </c>
      <c r="H1627" s="1" t="s">
        <v>27</v>
      </c>
      <c r="I1627" s="1" t="s">
        <v>18</v>
      </c>
      <c r="J1627" s="1">
        <v>5</v>
      </c>
      <c r="K1627" s="1" t="s">
        <v>19</v>
      </c>
      <c r="L1627" s="1" t="s">
        <v>59</v>
      </c>
      <c r="M1627" s="1">
        <f>orders[[#This Row],[Ship Date]]-orders[[#This Row],[Order Date]]</f>
        <v>4</v>
      </c>
      <c r="N1627" s="1">
        <f>WEEKNUM(orders[[#This Row],[Order Date]])</f>
        <v>10</v>
      </c>
      <c r="O1627" s="1" t="str" cm="1">
        <f t="array" ref="O1627">_xlfn.IFS(orders[[#This Row],[Customer Gender]]="M","Male", orders[[#This Row],[Customer Gender]]="F","Female", orders[[#This Row],[Customer Gender]]="O","Other", TRUE,"Unknown")</f>
        <v>Female</v>
      </c>
    </row>
    <row r="1628" spans="1:15">
      <c r="A1628" s="1" t="s">
        <v>1727</v>
      </c>
      <c r="B1628" s="1" t="s">
        <v>44</v>
      </c>
      <c r="C1628" s="1">
        <v>5</v>
      </c>
      <c r="D1628" s="1">
        <v>19.899999999999999</v>
      </c>
      <c r="E1628" s="11">
        <v>99.5</v>
      </c>
      <c r="F1628" s="3">
        <v>45718</v>
      </c>
      <c r="G1628" s="3">
        <v>45719</v>
      </c>
      <c r="H1628" s="1" t="s">
        <v>27</v>
      </c>
      <c r="I1628" s="1" t="s">
        <v>35</v>
      </c>
      <c r="J1628" s="1">
        <v>4</v>
      </c>
      <c r="K1628" s="1" t="s">
        <v>19</v>
      </c>
      <c r="L1628" s="1" t="s">
        <v>59</v>
      </c>
      <c r="M1628" s="1">
        <f>orders[[#This Row],[Ship Date]]-orders[[#This Row],[Order Date]]</f>
        <v>1</v>
      </c>
      <c r="N1628" s="1">
        <f>WEEKNUM(orders[[#This Row],[Order Date]])</f>
        <v>10</v>
      </c>
      <c r="O1628" s="1" t="str" cm="1">
        <f t="array" ref="O1628">_xlfn.IFS(orders[[#This Row],[Customer Gender]]="M","Male", orders[[#This Row],[Customer Gender]]="F","Female", orders[[#This Row],[Customer Gender]]="O","Other", TRUE,"Unknown")</f>
        <v>Female</v>
      </c>
    </row>
    <row r="1629" spans="1:15">
      <c r="A1629" s="1" t="s">
        <v>1728</v>
      </c>
      <c r="B1629" s="1" t="s">
        <v>69</v>
      </c>
      <c r="C1629" s="1">
        <v>9</v>
      </c>
      <c r="D1629" s="1">
        <v>52.1</v>
      </c>
      <c r="E1629" s="11">
        <v>468.90000000000003</v>
      </c>
      <c r="F1629" s="3">
        <v>45718</v>
      </c>
      <c r="G1629" s="3">
        <v>45720</v>
      </c>
      <c r="H1629" s="1" t="s">
        <v>23</v>
      </c>
      <c r="I1629" s="1" t="s">
        <v>18</v>
      </c>
      <c r="J1629" s="1">
        <v>4</v>
      </c>
      <c r="K1629" s="1" t="s">
        <v>19</v>
      </c>
      <c r="L1629" s="1" t="s">
        <v>62</v>
      </c>
      <c r="M1629" s="1">
        <f>orders[[#This Row],[Ship Date]]-orders[[#This Row],[Order Date]]</f>
        <v>2</v>
      </c>
      <c r="N1629" s="1">
        <f>WEEKNUM(orders[[#This Row],[Order Date]])</f>
        <v>10</v>
      </c>
      <c r="O1629" s="1" t="str" cm="1">
        <f t="array" ref="O1629">_xlfn.IFS(orders[[#This Row],[Customer Gender]]="M","Male", orders[[#This Row],[Customer Gender]]="F","Female", orders[[#This Row],[Customer Gender]]="O","Other", TRUE,"Unknown")</f>
        <v>Male</v>
      </c>
    </row>
    <row r="1630" spans="1:15">
      <c r="A1630" s="1" t="s">
        <v>1729</v>
      </c>
      <c r="B1630" s="1" t="s">
        <v>22</v>
      </c>
      <c r="C1630" s="1">
        <v>7</v>
      </c>
      <c r="D1630" s="1">
        <v>45.9</v>
      </c>
      <c r="E1630" s="11">
        <v>321.3</v>
      </c>
      <c r="F1630" s="3">
        <v>45718</v>
      </c>
      <c r="G1630" s="3">
        <v>45719</v>
      </c>
      <c r="H1630" s="1" t="s">
        <v>23</v>
      </c>
      <c r="I1630" s="1" t="s">
        <v>18</v>
      </c>
      <c r="J1630" s="1">
        <v>3</v>
      </c>
      <c r="K1630" s="1" t="s">
        <v>19</v>
      </c>
      <c r="L1630" s="1" t="s">
        <v>62</v>
      </c>
      <c r="M1630" s="1">
        <f>orders[[#This Row],[Ship Date]]-orders[[#This Row],[Order Date]]</f>
        <v>1</v>
      </c>
      <c r="N1630" s="1">
        <f>WEEKNUM(orders[[#This Row],[Order Date]])</f>
        <v>10</v>
      </c>
      <c r="O1630" s="1" t="str" cm="1">
        <f t="array" ref="O1630">_xlfn.IFS(orders[[#This Row],[Customer Gender]]="M","Male", orders[[#This Row],[Customer Gender]]="F","Female", orders[[#This Row],[Customer Gender]]="O","Other", TRUE,"Unknown")</f>
        <v>Male</v>
      </c>
    </row>
    <row r="1631" spans="1:15">
      <c r="A1631" s="1" t="s">
        <v>1730</v>
      </c>
      <c r="B1631" s="1" t="s">
        <v>22</v>
      </c>
      <c r="C1631" s="1">
        <v>10</v>
      </c>
      <c r="D1631" s="1">
        <v>115.9</v>
      </c>
      <c r="E1631" s="11">
        <v>1159</v>
      </c>
      <c r="F1631" s="3">
        <v>45718</v>
      </c>
      <c r="G1631" s="3">
        <v>45721</v>
      </c>
      <c r="H1631" s="1" t="s">
        <v>27</v>
      </c>
      <c r="I1631" s="1" t="s">
        <v>35</v>
      </c>
      <c r="J1631" s="1">
        <v>4</v>
      </c>
      <c r="K1631" s="1" t="s">
        <v>19</v>
      </c>
      <c r="L1631" s="1" t="s">
        <v>62</v>
      </c>
      <c r="M1631" s="1">
        <f>orders[[#This Row],[Ship Date]]-orders[[#This Row],[Order Date]]</f>
        <v>3</v>
      </c>
      <c r="N1631" s="1">
        <f>WEEKNUM(orders[[#This Row],[Order Date]])</f>
        <v>10</v>
      </c>
      <c r="O1631" s="1" t="str" cm="1">
        <f t="array" ref="O1631">_xlfn.IFS(orders[[#This Row],[Customer Gender]]="M","Male", orders[[#This Row],[Customer Gender]]="F","Female", orders[[#This Row],[Customer Gender]]="O","Other", TRUE,"Unknown")</f>
        <v>Female</v>
      </c>
    </row>
    <row r="1632" spans="1:15">
      <c r="A1632" s="1" t="s">
        <v>1731</v>
      </c>
      <c r="B1632" s="1" t="s">
        <v>39</v>
      </c>
      <c r="C1632" s="1">
        <v>9</v>
      </c>
      <c r="D1632" s="1">
        <v>86</v>
      </c>
      <c r="E1632" s="11">
        <v>774</v>
      </c>
      <c r="F1632" s="3">
        <v>45718</v>
      </c>
      <c r="G1632" s="3">
        <v>45723</v>
      </c>
      <c r="H1632" s="1" t="s">
        <v>27</v>
      </c>
      <c r="I1632" s="1" t="s">
        <v>18</v>
      </c>
      <c r="J1632" s="1">
        <v>3</v>
      </c>
      <c r="K1632" s="1" t="s">
        <v>19</v>
      </c>
      <c r="L1632" s="1" t="s">
        <v>62</v>
      </c>
      <c r="M1632" s="1">
        <f>orders[[#This Row],[Ship Date]]-orders[[#This Row],[Order Date]]</f>
        <v>5</v>
      </c>
      <c r="N1632" s="1">
        <f>WEEKNUM(orders[[#This Row],[Order Date]])</f>
        <v>10</v>
      </c>
      <c r="O1632" s="1" t="str" cm="1">
        <f t="array" ref="O1632">_xlfn.IFS(orders[[#This Row],[Customer Gender]]="M","Male", orders[[#This Row],[Customer Gender]]="F","Female", orders[[#This Row],[Customer Gender]]="O","Other", TRUE,"Unknown")</f>
        <v>Female</v>
      </c>
    </row>
    <row r="1633" spans="1:15">
      <c r="A1633" s="1" t="s">
        <v>1732</v>
      </c>
      <c r="B1633" s="1" t="s">
        <v>42</v>
      </c>
      <c r="C1633" s="1">
        <v>7</v>
      </c>
      <c r="D1633" s="1">
        <v>73.599999999999994</v>
      </c>
      <c r="E1633" s="11">
        <v>515.19999999999993</v>
      </c>
      <c r="F1633" s="3">
        <v>45718</v>
      </c>
      <c r="G1633" s="3">
        <v>45720</v>
      </c>
      <c r="H1633" s="1" t="s">
        <v>27</v>
      </c>
      <c r="I1633" s="1" t="s">
        <v>18</v>
      </c>
      <c r="J1633" s="1">
        <v>4</v>
      </c>
      <c r="K1633" s="1" t="s">
        <v>19</v>
      </c>
      <c r="L1633" s="1" t="s">
        <v>103</v>
      </c>
      <c r="M1633" s="1">
        <f>orders[[#This Row],[Ship Date]]-orders[[#This Row],[Order Date]]</f>
        <v>2</v>
      </c>
      <c r="N1633" s="1">
        <f>WEEKNUM(orders[[#This Row],[Order Date]])</f>
        <v>10</v>
      </c>
      <c r="O1633" s="1" t="str" cm="1">
        <f t="array" ref="O1633">_xlfn.IFS(orders[[#This Row],[Customer Gender]]="M","Male", orders[[#This Row],[Customer Gender]]="F","Female", orders[[#This Row],[Customer Gender]]="O","Other", TRUE,"Unknown")</f>
        <v>Female</v>
      </c>
    </row>
    <row r="1634" spans="1:15">
      <c r="A1634" s="1" t="s">
        <v>1733</v>
      </c>
      <c r="B1634" s="1" t="s">
        <v>54</v>
      </c>
      <c r="C1634" s="1">
        <v>3</v>
      </c>
      <c r="D1634" s="1">
        <v>26.7</v>
      </c>
      <c r="E1634" s="11">
        <v>80.099999999999994</v>
      </c>
      <c r="F1634" s="3">
        <v>45718</v>
      </c>
      <c r="G1634" s="3">
        <v>45722</v>
      </c>
      <c r="H1634" s="1" t="s">
        <v>27</v>
      </c>
      <c r="I1634" s="1" t="s">
        <v>18</v>
      </c>
      <c r="J1634" s="1">
        <v>4</v>
      </c>
      <c r="K1634" s="1" t="s">
        <v>19</v>
      </c>
      <c r="L1634" s="1" t="s">
        <v>77</v>
      </c>
      <c r="M1634" s="1">
        <f>orders[[#This Row],[Ship Date]]-orders[[#This Row],[Order Date]]</f>
        <v>4</v>
      </c>
      <c r="N1634" s="1">
        <f>WEEKNUM(orders[[#This Row],[Order Date]])</f>
        <v>10</v>
      </c>
      <c r="O1634" s="1" t="str" cm="1">
        <f t="array" ref="O1634">_xlfn.IFS(orders[[#This Row],[Customer Gender]]="M","Male", orders[[#This Row],[Customer Gender]]="F","Female", orders[[#This Row],[Customer Gender]]="O","Other", TRUE,"Unknown")</f>
        <v>Female</v>
      </c>
    </row>
    <row r="1635" spans="1:15">
      <c r="A1635" s="1" t="s">
        <v>1734</v>
      </c>
      <c r="B1635" s="1" t="s">
        <v>44</v>
      </c>
      <c r="C1635" s="1">
        <v>7</v>
      </c>
      <c r="D1635" s="1">
        <v>46.6</v>
      </c>
      <c r="E1635" s="11">
        <v>326.2</v>
      </c>
      <c r="F1635" s="3">
        <v>45718</v>
      </c>
      <c r="G1635" s="3">
        <v>45720</v>
      </c>
      <c r="H1635" s="1" t="s">
        <v>17</v>
      </c>
      <c r="I1635" s="1" t="s">
        <v>51</v>
      </c>
      <c r="J1635" s="1">
        <v>4</v>
      </c>
      <c r="K1635" s="1" t="s">
        <v>19</v>
      </c>
      <c r="L1635" s="1" t="s">
        <v>77</v>
      </c>
      <c r="M1635" s="1">
        <f>orders[[#This Row],[Ship Date]]-orders[[#This Row],[Order Date]]</f>
        <v>2</v>
      </c>
      <c r="N1635" s="1">
        <f>WEEKNUM(orders[[#This Row],[Order Date]])</f>
        <v>10</v>
      </c>
      <c r="O1635" s="1" t="str" cm="1">
        <f t="array" ref="O1635">_xlfn.IFS(orders[[#This Row],[Customer Gender]]="M","Male", orders[[#This Row],[Customer Gender]]="F","Female", orders[[#This Row],[Customer Gender]]="O","Other", TRUE,"Unknown")</f>
        <v>Unknown</v>
      </c>
    </row>
    <row r="1636" spans="1:15">
      <c r="A1636" s="1" t="s">
        <v>1735</v>
      </c>
      <c r="B1636" s="1" t="s">
        <v>30</v>
      </c>
      <c r="C1636" s="1">
        <v>3</v>
      </c>
      <c r="D1636" s="1">
        <v>84.6</v>
      </c>
      <c r="E1636" s="11">
        <v>253.79999999999998</v>
      </c>
      <c r="F1636" s="3">
        <v>45718</v>
      </c>
      <c r="G1636" s="3">
        <v>45720</v>
      </c>
      <c r="H1636" s="1" t="s">
        <v>23</v>
      </c>
      <c r="I1636" s="1" t="s">
        <v>70</v>
      </c>
      <c r="J1636" s="1">
        <v>4</v>
      </c>
      <c r="K1636" s="1" t="s">
        <v>19</v>
      </c>
      <c r="L1636" s="1" t="s">
        <v>77</v>
      </c>
      <c r="M1636" s="1">
        <f>orders[[#This Row],[Ship Date]]-orders[[#This Row],[Order Date]]</f>
        <v>2</v>
      </c>
      <c r="N1636" s="1">
        <f>WEEKNUM(orders[[#This Row],[Order Date]])</f>
        <v>10</v>
      </c>
      <c r="O1636" s="1" t="str" cm="1">
        <f t="array" ref="O1636">_xlfn.IFS(orders[[#This Row],[Customer Gender]]="M","Male", orders[[#This Row],[Customer Gender]]="F","Female", orders[[#This Row],[Customer Gender]]="O","Other", TRUE,"Unknown")</f>
        <v>Male</v>
      </c>
    </row>
    <row r="1637" spans="1:15">
      <c r="A1637" s="1" t="s">
        <v>1736</v>
      </c>
      <c r="B1637" s="1" t="s">
        <v>42</v>
      </c>
      <c r="C1637" s="1">
        <v>14</v>
      </c>
      <c r="D1637" s="1">
        <v>41.5</v>
      </c>
      <c r="E1637" s="11">
        <v>581</v>
      </c>
      <c r="F1637" s="3">
        <v>45718</v>
      </c>
      <c r="G1637" s="3">
        <v>45732</v>
      </c>
      <c r="H1637" s="1" t="s">
        <v>23</v>
      </c>
      <c r="I1637" s="1" t="s">
        <v>35</v>
      </c>
      <c r="J1637" s="1">
        <v>4</v>
      </c>
      <c r="K1637" s="1" t="s">
        <v>19</v>
      </c>
      <c r="L1637" s="1" t="s">
        <v>1116</v>
      </c>
      <c r="M1637" s="1">
        <f>orders[[#This Row],[Ship Date]]-orders[[#This Row],[Order Date]]</f>
        <v>14</v>
      </c>
      <c r="N1637" s="1">
        <f>WEEKNUM(orders[[#This Row],[Order Date]])</f>
        <v>10</v>
      </c>
      <c r="O1637" s="1" t="str" cm="1">
        <f t="array" ref="O1637">_xlfn.IFS(orders[[#This Row],[Customer Gender]]="M","Male", orders[[#This Row],[Customer Gender]]="F","Female", orders[[#This Row],[Customer Gender]]="O","Other", TRUE,"Unknown")</f>
        <v>Male</v>
      </c>
    </row>
    <row r="1638" spans="1:15">
      <c r="A1638" s="1" t="s">
        <v>1737</v>
      </c>
      <c r="B1638" s="1" t="s">
        <v>44</v>
      </c>
      <c r="C1638" s="1">
        <v>1</v>
      </c>
      <c r="D1638" s="1">
        <v>32.799999999999997</v>
      </c>
      <c r="E1638" s="11">
        <v>32.799999999999997</v>
      </c>
      <c r="F1638" s="3">
        <v>45718</v>
      </c>
      <c r="G1638" s="3">
        <v>45721</v>
      </c>
      <c r="H1638" s="1" t="s">
        <v>23</v>
      </c>
      <c r="I1638" s="1" t="s">
        <v>18</v>
      </c>
      <c r="J1638" s="1">
        <v>5</v>
      </c>
      <c r="K1638" s="1" t="s">
        <v>19</v>
      </c>
      <c r="L1638" s="1" t="s">
        <v>268</v>
      </c>
      <c r="M1638" s="1">
        <f>orders[[#This Row],[Ship Date]]-orders[[#This Row],[Order Date]]</f>
        <v>3</v>
      </c>
      <c r="N1638" s="1">
        <f>WEEKNUM(orders[[#This Row],[Order Date]])</f>
        <v>10</v>
      </c>
      <c r="O1638" s="1" t="str" cm="1">
        <f t="array" ref="O1638">_xlfn.IFS(orders[[#This Row],[Customer Gender]]="M","Male", orders[[#This Row],[Customer Gender]]="F","Female", orders[[#This Row],[Customer Gender]]="O","Other", TRUE,"Unknown")</f>
        <v>Male</v>
      </c>
    </row>
    <row r="1639" spans="1:15">
      <c r="A1639" s="1" t="s">
        <v>1738</v>
      </c>
      <c r="B1639" s="1" t="s">
        <v>32</v>
      </c>
      <c r="C1639" s="1">
        <v>7</v>
      </c>
      <c r="D1639" s="1">
        <v>46.7</v>
      </c>
      <c r="E1639" s="11">
        <v>326.90000000000003</v>
      </c>
      <c r="F1639" s="3">
        <v>45718</v>
      </c>
      <c r="G1639" s="3">
        <v>45720</v>
      </c>
      <c r="H1639" s="1" t="s">
        <v>89</v>
      </c>
      <c r="I1639" s="1" t="s">
        <v>18</v>
      </c>
      <c r="J1639" s="1">
        <v>5</v>
      </c>
      <c r="K1639" s="1" t="s">
        <v>19</v>
      </c>
      <c r="L1639" s="1" t="s">
        <v>108</v>
      </c>
      <c r="M1639" s="1">
        <f>orders[[#This Row],[Ship Date]]-orders[[#This Row],[Order Date]]</f>
        <v>2</v>
      </c>
      <c r="N1639" s="1">
        <f>WEEKNUM(orders[[#This Row],[Order Date]])</f>
        <v>10</v>
      </c>
      <c r="O1639" s="1" t="str" cm="1">
        <f t="array" ref="O1639">_xlfn.IFS(orders[[#This Row],[Customer Gender]]="M","Male", orders[[#This Row],[Customer Gender]]="F","Female", orders[[#This Row],[Customer Gender]]="O","Other", TRUE,"Unknown")</f>
        <v>Other</v>
      </c>
    </row>
    <row r="1640" spans="1:15">
      <c r="A1640" s="1" t="s">
        <v>1739</v>
      </c>
      <c r="B1640" s="1" t="s">
        <v>123</v>
      </c>
      <c r="C1640" s="1">
        <v>7</v>
      </c>
      <c r="D1640" s="1">
        <v>21</v>
      </c>
      <c r="E1640" s="11">
        <v>147</v>
      </c>
      <c r="F1640" s="3">
        <v>45718</v>
      </c>
      <c r="G1640" s="3">
        <v>45721</v>
      </c>
      <c r="H1640" s="1" t="s">
        <v>23</v>
      </c>
      <c r="I1640" s="1" t="s">
        <v>40</v>
      </c>
      <c r="J1640" s="1">
        <v>3</v>
      </c>
      <c r="K1640" s="1" t="s">
        <v>19</v>
      </c>
      <c r="L1640" s="1" t="s">
        <v>115</v>
      </c>
      <c r="M1640" s="1">
        <f>orders[[#This Row],[Ship Date]]-orders[[#This Row],[Order Date]]</f>
        <v>3</v>
      </c>
      <c r="N1640" s="1">
        <f>WEEKNUM(orders[[#This Row],[Order Date]])</f>
        <v>10</v>
      </c>
      <c r="O1640" s="1" t="str" cm="1">
        <f t="array" ref="O1640">_xlfn.IFS(orders[[#This Row],[Customer Gender]]="M","Male", orders[[#This Row],[Customer Gender]]="F","Female", orders[[#This Row],[Customer Gender]]="O","Other", TRUE,"Unknown")</f>
        <v>Male</v>
      </c>
    </row>
    <row r="1641" spans="1:15">
      <c r="A1641" s="1" t="s">
        <v>1740</v>
      </c>
      <c r="B1641" s="1" t="s">
        <v>37</v>
      </c>
      <c r="C1641" s="1">
        <v>7</v>
      </c>
      <c r="D1641" s="1">
        <v>29.4</v>
      </c>
      <c r="E1641" s="11">
        <v>205.79999999999998</v>
      </c>
      <c r="F1641" s="3">
        <v>45718</v>
      </c>
      <c r="G1641" s="3">
        <v>45718</v>
      </c>
      <c r="H1641" s="1" t="s">
        <v>23</v>
      </c>
      <c r="I1641" s="1" t="s">
        <v>51</v>
      </c>
      <c r="J1641" s="1">
        <v>5</v>
      </c>
      <c r="K1641" s="1" t="s">
        <v>19</v>
      </c>
      <c r="L1641" s="1" t="s">
        <v>115</v>
      </c>
      <c r="M1641" s="1">
        <f>orders[[#This Row],[Ship Date]]-orders[[#This Row],[Order Date]]</f>
        <v>0</v>
      </c>
      <c r="N1641" s="1">
        <f>WEEKNUM(orders[[#This Row],[Order Date]])</f>
        <v>10</v>
      </c>
      <c r="O1641" s="1" t="str" cm="1">
        <f t="array" ref="O1641">_xlfn.IFS(orders[[#This Row],[Customer Gender]]="M","Male", orders[[#This Row],[Customer Gender]]="F","Female", orders[[#This Row],[Customer Gender]]="O","Other", TRUE,"Unknown")</f>
        <v>Male</v>
      </c>
    </row>
    <row r="1642" spans="1:15">
      <c r="A1642" s="1" t="s">
        <v>1741</v>
      </c>
      <c r="B1642" s="1" t="s">
        <v>123</v>
      </c>
      <c r="C1642" s="1">
        <v>2</v>
      </c>
      <c r="D1642" s="1">
        <v>32.299999999999997</v>
      </c>
      <c r="E1642" s="11">
        <v>64.599999999999994</v>
      </c>
      <c r="F1642" s="3">
        <v>45718</v>
      </c>
      <c r="G1642" s="3">
        <v>45719</v>
      </c>
      <c r="H1642" s="1" t="s">
        <v>23</v>
      </c>
      <c r="I1642" s="1" t="s">
        <v>18</v>
      </c>
      <c r="J1642" s="1">
        <v>5</v>
      </c>
      <c r="K1642" s="1" t="s">
        <v>19</v>
      </c>
      <c r="L1642" s="1" t="s">
        <v>115</v>
      </c>
      <c r="M1642" s="1">
        <f>orders[[#This Row],[Ship Date]]-orders[[#This Row],[Order Date]]</f>
        <v>1</v>
      </c>
      <c r="N1642" s="1">
        <f>WEEKNUM(orders[[#This Row],[Order Date]])</f>
        <v>10</v>
      </c>
      <c r="O1642" s="1" t="str" cm="1">
        <f t="array" ref="O1642">_xlfn.IFS(orders[[#This Row],[Customer Gender]]="M","Male", orders[[#This Row],[Customer Gender]]="F","Female", orders[[#This Row],[Customer Gender]]="O","Other", TRUE,"Unknown")</f>
        <v>Male</v>
      </c>
    </row>
    <row r="1643" spans="1:15">
      <c r="A1643" s="1" t="s">
        <v>1742</v>
      </c>
      <c r="B1643" s="1" t="s">
        <v>39</v>
      </c>
      <c r="C1643" s="1">
        <v>1</v>
      </c>
      <c r="D1643" s="1">
        <v>42.2</v>
      </c>
      <c r="E1643" s="11">
        <v>42.2</v>
      </c>
      <c r="F1643" s="3">
        <v>45719</v>
      </c>
      <c r="G1643" s="3">
        <v>45721</v>
      </c>
      <c r="H1643" s="1" t="s">
        <v>27</v>
      </c>
      <c r="I1643" s="1" t="s">
        <v>18</v>
      </c>
      <c r="J1643" s="1">
        <v>5</v>
      </c>
      <c r="K1643" s="1" t="s">
        <v>19</v>
      </c>
      <c r="L1643" s="1" t="s">
        <v>115</v>
      </c>
      <c r="M1643" s="1">
        <f>orders[[#This Row],[Ship Date]]-orders[[#This Row],[Order Date]]</f>
        <v>2</v>
      </c>
      <c r="N1643" s="1">
        <f>WEEKNUM(orders[[#This Row],[Order Date]])</f>
        <v>10</v>
      </c>
      <c r="O1643" s="1" t="str" cm="1">
        <f t="array" ref="O1643">_xlfn.IFS(orders[[#This Row],[Customer Gender]]="M","Male", orders[[#This Row],[Customer Gender]]="F","Female", orders[[#This Row],[Customer Gender]]="O","Other", TRUE,"Unknown")</f>
        <v>Female</v>
      </c>
    </row>
    <row r="1644" spans="1:15">
      <c r="A1644" s="1" t="s">
        <v>1743</v>
      </c>
      <c r="B1644" s="1" t="s">
        <v>39</v>
      </c>
      <c r="C1644" s="1">
        <v>1</v>
      </c>
      <c r="D1644" s="1">
        <v>53.7</v>
      </c>
      <c r="E1644" s="11">
        <v>53.7</v>
      </c>
      <c r="F1644" s="3">
        <v>45719</v>
      </c>
      <c r="G1644" s="3">
        <v>45721</v>
      </c>
      <c r="H1644" s="1" t="s">
        <v>23</v>
      </c>
      <c r="I1644" s="1" t="s">
        <v>35</v>
      </c>
      <c r="J1644" s="1">
        <v>3</v>
      </c>
      <c r="K1644" s="1" t="s">
        <v>19</v>
      </c>
      <c r="L1644" s="1" t="s">
        <v>24</v>
      </c>
      <c r="M1644" s="1">
        <f>orders[[#This Row],[Ship Date]]-orders[[#This Row],[Order Date]]</f>
        <v>2</v>
      </c>
      <c r="N1644" s="1">
        <f>WEEKNUM(orders[[#This Row],[Order Date]])</f>
        <v>10</v>
      </c>
      <c r="O1644" s="1" t="str" cm="1">
        <f t="array" ref="O1644">_xlfn.IFS(orders[[#This Row],[Customer Gender]]="M","Male", orders[[#This Row],[Customer Gender]]="F","Female", orders[[#This Row],[Customer Gender]]="O","Other", TRUE,"Unknown")</f>
        <v>Male</v>
      </c>
    </row>
    <row r="1645" spans="1:15">
      <c r="A1645" s="1" t="s">
        <v>1744</v>
      </c>
      <c r="B1645" s="1" t="s">
        <v>26</v>
      </c>
      <c r="C1645" s="1">
        <v>2</v>
      </c>
      <c r="D1645" s="1">
        <v>123.9</v>
      </c>
      <c r="E1645" s="11">
        <v>247.8</v>
      </c>
      <c r="F1645" s="3">
        <v>45719</v>
      </c>
      <c r="G1645" s="3">
        <v>45722</v>
      </c>
      <c r="H1645" s="1" t="s">
        <v>23</v>
      </c>
      <c r="I1645" s="1" t="s">
        <v>40</v>
      </c>
      <c r="J1645" s="1">
        <v>4</v>
      </c>
      <c r="K1645" s="1" t="s">
        <v>19</v>
      </c>
      <c r="L1645" s="1" t="s">
        <v>24</v>
      </c>
      <c r="M1645" s="1">
        <f>orders[[#This Row],[Ship Date]]-orders[[#This Row],[Order Date]]</f>
        <v>3</v>
      </c>
      <c r="N1645" s="1">
        <f>WEEKNUM(orders[[#This Row],[Order Date]])</f>
        <v>10</v>
      </c>
      <c r="O1645" s="1" t="str" cm="1">
        <f t="array" ref="O1645">_xlfn.IFS(orders[[#This Row],[Customer Gender]]="M","Male", orders[[#This Row],[Customer Gender]]="F","Female", orders[[#This Row],[Customer Gender]]="O","Other", TRUE,"Unknown")</f>
        <v>Male</v>
      </c>
    </row>
    <row r="1646" spans="1:15">
      <c r="A1646" s="1" t="s">
        <v>1745</v>
      </c>
      <c r="B1646" s="1" t="s">
        <v>32</v>
      </c>
      <c r="C1646" s="1">
        <v>3</v>
      </c>
      <c r="D1646" s="1">
        <v>35.9</v>
      </c>
      <c r="E1646" s="11">
        <v>107.69999999999999</v>
      </c>
      <c r="F1646" s="3">
        <v>45719</v>
      </c>
      <c r="G1646" s="3">
        <v>45721</v>
      </c>
      <c r="H1646" s="1" t="s">
        <v>23</v>
      </c>
      <c r="I1646" s="1" t="s">
        <v>40</v>
      </c>
      <c r="J1646" s="1">
        <v>4</v>
      </c>
      <c r="K1646" s="1" t="s">
        <v>19</v>
      </c>
      <c r="L1646" s="1" t="s">
        <v>147</v>
      </c>
      <c r="M1646" s="1">
        <f>orders[[#This Row],[Ship Date]]-orders[[#This Row],[Order Date]]</f>
        <v>2</v>
      </c>
      <c r="N1646" s="1">
        <f>WEEKNUM(orders[[#This Row],[Order Date]])</f>
        <v>10</v>
      </c>
      <c r="O1646" s="1" t="str" cm="1">
        <f t="array" ref="O1646">_xlfn.IFS(orders[[#This Row],[Customer Gender]]="M","Male", orders[[#This Row],[Customer Gender]]="F","Female", orders[[#This Row],[Customer Gender]]="O","Other", TRUE,"Unknown")</f>
        <v>Male</v>
      </c>
    </row>
    <row r="1647" spans="1:15">
      <c r="A1647" s="1" t="s">
        <v>1746</v>
      </c>
      <c r="B1647" s="1" t="s">
        <v>32</v>
      </c>
      <c r="C1647" s="1">
        <v>2</v>
      </c>
      <c r="D1647" s="1">
        <v>23.6</v>
      </c>
      <c r="E1647" s="11">
        <v>47.2</v>
      </c>
      <c r="F1647" s="3">
        <v>45719</v>
      </c>
      <c r="G1647" s="3">
        <v>45722</v>
      </c>
      <c r="H1647" s="1" t="s">
        <v>23</v>
      </c>
      <c r="I1647" s="1" t="s">
        <v>18</v>
      </c>
      <c r="J1647" s="1">
        <v>5</v>
      </c>
      <c r="K1647" s="1" t="s">
        <v>19</v>
      </c>
      <c r="L1647" s="1" t="s">
        <v>33</v>
      </c>
      <c r="M1647" s="1">
        <f>orders[[#This Row],[Ship Date]]-orders[[#This Row],[Order Date]]</f>
        <v>3</v>
      </c>
      <c r="N1647" s="1">
        <f>WEEKNUM(orders[[#This Row],[Order Date]])</f>
        <v>10</v>
      </c>
      <c r="O1647" s="1" t="str" cm="1">
        <f t="array" ref="O1647">_xlfn.IFS(orders[[#This Row],[Customer Gender]]="M","Male", orders[[#This Row],[Customer Gender]]="F","Female", orders[[#This Row],[Customer Gender]]="O","Other", TRUE,"Unknown")</f>
        <v>Male</v>
      </c>
    </row>
    <row r="1648" spans="1:15">
      <c r="A1648" s="1" t="s">
        <v>1747</v>
      </c>
      <c r="B1648" s="1" t="s">
        <v>123</v>
      </c>
      <c r="C1648" s="1">
        <v>35</v>
      </c>
      <c r="D1648" s="1">
        <v>45.7</v>
      </c>
      <c r="E1648" s="11">
        <v>1599.5</v>
      </c>
      <c r="F1648" s="3">
        <v>45719</v>
      </c>
      <c r="G1648" s="3">
        <v>45720</v>
      </c>
      <c r="H1648" s="1" t="s">
        <v>23</v>
      </c>
      <c r="I1648" s="1" t="s">
        <v>18</v>
      </c>
      <c r="J1648" s="1">
        <v>3</v>
      </c>
      <c r="K1648" s="1" t="s">
        <v>19</v>
      </c>
      <c r="L1648" s="1" t="s">
        <v>33</v>
      </c>
      <c r="M1648" s="1">
        <f>orders[[#This Row],[Ship Date]]-orders[[#This Row],[Order Date]]</f>
        <v>1</v>
      </c>
      <c r="N1648" s="1">
        <f>WEEKNUM(orders[[#This Row],[Order Date]])</f>
        <v>10</v>
      </c>
      <c r="O1648" s="1" t="str" cm="1">
        <f t="array" ref="O1648">_xlfn.IFS(orders[[#This Row],[Customer Gender]]="M","Male", orders[[#This Row],[Customer Gender]]="F","Female", orders[[#This Row],[Customer Gender]]="O","Other", TRUE,"Unknown")</f>
        <v>Male</v>
      </c>
    </row>
    <row r="1649" spans="1:15">
      <c r="A1649" s="1" t="s">
        <v>1748</v>
      </c>
      <c r="B1649" s="1" t="s">
        <v>39</v>
      </c>
      <c r="C1649" s="1">
        <v>11</v>
      </c>
      <c r="D1649" s="1">
        <v>118.3</v>
      </c>
      <c r="E1649" s="11">
        <v>1301.3</v>
      </c>
      <c r="F1649" s="3">
        <v>45719</v>
      </c>
      <c r="G1649" s="3">
        <v>45721</v>
      </c>
      <c r="H1649" s="1" t="s">
        <v>23</v>
      </c>
      <c r="I1649" s="1" t="s">
        <v>70</v>
      </c>
      <c r="J1649" s="1">
        <v>5</v>
      </c>
      <c r="K1649" s="1" t="s">
        <v>19</v>
      </c>
      <c r="L1649" s="1" t="s">
        <v>33</v>
      </c>
      <c r="M1649" s="1">
        <f>orders[[#This Row],[Ship Date]]-orders[[#This Row],[Order Date]]</f>
        <v>2</v>
      </c>
      <c r="N1649" s="1">
        <f>WEEKNUM(orders[[#This Row],[Order Date]])</f>
        <v>10</v>
      </c>
      <c r="O1649" s="1" t="str" cm="1">
        <f t="array" ref="O1649">_xlfn.IFS(orders[[#This Row],[Customer Gender]]="M","Male", orders[[#This Row],[Customer Gender]]="F","Female", orders[[#This Row],[Customer Gender]]="O","Other", TRUE,"Unknown")</f>
        <v>Male</v>
      </c>
    </row>
    <row r="1650" spans="1:15">
      <c r="A1650" s="1" t="s">
        <v>1749</v>
      </c>
      <c r="B1650" s="1" t="s">
        <v>171</v>
      </c>
      <c r="C1650" s="1">
        <v>1</v>
      </c>
      <c r="D1650" s="1">
        <v>36</v>
      </c>
      <c r="E1650" s="11">
        <v>36</v>
      </c>
      <c r="F1650" s="3">
        <v>45719</v>
      </c>
      <c r="G1650" s="3">
        <v>45720</v>
      </c>
      <c r="H1650" s="1" t="s">
        <v>27</v>
      </c>
      <c r="I1650" s="1" t="s">
        <v>18</v>
      </c>
      <c r="J1650" s="1">
        <v>3</v>
      </c>
      <c r="K1650" s="1" t="s">
        <v>19</v>
      </c>
      <c r="L1650" s="1" t="s">
        <v>33</v>
      </c>
      <c r="M1650" s="1">
        <f>orders[[#This Row],[Ship Date]]-orders[[#This Row],[Order Date]]</f>
        <v>1</v>
      </c>
      <c r="N1650" s="1">
        <f>WEEKNUM(orders[[#This Row],[Order Date]])</f>
        <v>10</v>
      </c>
      <c r="O1650" s="1" t="str" cm="1">
        <f t="array" ref="O1650">_xlfn.IFS(orders[[#This Row],[Customer Gender]]="M","Male", orders[[#This Row],[Customer Gender]]="F","Female", orders[[#This Row],[Customer Gender]]="O","Other", TRUE,"Unknown")</f>
        <v>Female</v>
      </c>
    </row>
    <row r="1651" spans="1:15">
      <c r="A1651" s="1" t="s">
        <v>1750</v>
      </c>
      <c r="B1651" s="1" t="s">
        <v>44</v>
      </c>
      <c r="C1651" s="1">
        <v>2</v>
      </c>
      <c r="D1651" s="1">
        <v>37.1</v>
      </c>
      <c r="E1651" s="11">
        <v>74.2</v>
      </c>
      <c r="F1651" s="3">
        <v>45719</v>
      </c>
      <c r="G1651" s="3">
        <v>45722</v>
      </c>
      <c r="H1651" s="1" t="s">
        <v>27</v>
      </c>
      <c r="I1651" s="1" t="s">
        <v>40</v>
      </c>
      <c r="J1651" s="1">
        <v>4</v>
      </c>
      <c r="K1651" s="1" t="s">
        <v>19</v>
      </c>
      <c r="L1651" s="1" t="s">
        <v>33</v>
      </c>
      <c r="M1651" s="1">
        <f>orders[[#This Row],[Ship Date]]-orders[[#This Row],[Order Date]]</f>
        <v>3</v>
      </c>
      <c r="N1651" s="1">
        <f>WEEKNUM(orders[[#This Row],[Order Date]])</f>
        <v>10</v>
      </c>
      <c r="O1651" s="1" t="str" cm="1">
        <f t="array" ref="O1651">_xlfn.IFS(orders[[#This Row],[Customer Gender]]="M","Male", orders[[#This Row],[Customer Gender]]="F","Female", orders[[#This Row],[Customer Gender]]="O","Other", TRUE,"Unknown")</f>
        <v>Female</v>
      </c>
    </row>
    <row r="1652" spans="1:15">
      <c r="A1652" s="1" t="s">
        <v>1751</v>
      </c>
      <c r="B1652" s="1" t="s">
        <v>146</v>
      </c>
      <c r="C1652" s="1">
        <v>3</v>
      </c>
      <c r="D1652" s="1">
        <v>45.1</v>
      </c>
      <c r="E1652" s="11">
        <v>135.30000000000001</v>
      </c>
      <c r="F1652" s="3">
        <v>45719</v>
      </c>
      <c r="G1652" s="3">
        <v>45721</v>
      </c>
      <c r="H1652" s="1" t="s">
        <v>27</v>
      </c>
      <c r="I1652" s="1" t="s">
        <v>35</v>
      </c>
      <c r="J1652" s="1">
        <v>5</v>
      </c>
      <c r="K1652" s="1" t="s">
        <v>19</v>
      </c>
      <c r="L1652" s="1" t="s">
        <v>33</v>
      </c>
      <c r="M1652" s="1">
        <f>orders[[#This Row],[Ship Date]]-orders[[#This Row],[Order Date]]</f>
        <v>2</v>
      </c>
      <c r="N1652" s="1">
        <f>WEEKNUM(orders[[#This Row],[Order Date]])</f>
        <v>10</v>
      </c>
      <c r="O1652" s="1" t="str" cm="1">
        <f t="array" ref="O1652">_xlfn.IFS(orders[[#This Row],[Customer Gender]]="M","Male", orders[[#This Row],[Customer Gender]]="F","Female", orders[[#This Row],[Customer Gender]]="O","Other", TRUE,"Unknown")</f>
        <v>Female</v>
      </c>
    </row>
    <row r="1653" spans="1:15">
      <c r="A1653" s="1" t="s">
        <v>1752</v>
      </c>
      <c r="B1653" s="1" t="s">
        <v>37</v>
      </c>
      <c r="C1653" s="1">
        <v>16</v>
      </c>
      <c r="D1653" s="1">
        <v>37.9</v>
      </c>
      <c r="E1653" s="11">
        <v>606.4</v>
      </c>
      <c r="F1653" s="3">
        <v>45719</v>
      </c>
      <c r="G1653" s="3">
        <v>45720</v>
      </c>
      <c r="H1653" s="1" t="s">
        <v>27</v>
      </c>
      <c r="I1653" s="1" t="s">
        <v>51</v>
      </c>
      <c r="J1653" s="1">
        <v>5</v>
      </c>
      <c r="K1653" s="1" t="s">
        <v>19</v>
      </c>
      <c r="L1653" s="1" t="s">
        <v>33</v>
      </c>
      <c r="M1653" s="1">
        <f>orders[[#This Row],[Ship Date]]-orders[[#This Row],[Order Date]]</f>
        <v>1</v>
      </c>
      <c r="N1653" s="1">
        <f>WEEKNUM(orders[[#This Row],[Order Date]])</f>
        <v>10</v>
      </c>
      <c r="O1653" s="1" t="str" cm="1">
        <f t="array" ref="O1653">_xlfn.IFS(orders[[#This Row],[Customer Gender]]="M","Male", orders[[#This Row],[Customer Gender]]="F","Female", orders[[#This Row],[Customer Gender]]="O","Other", TRUE,"Unknown")</f>
        <v>Female</v>
      </c>
    </row>
    <row r="1654" spans="1:15">
      <c r="A1654" s="1" t="s">
        <v>1753</v>
      </c>
      <c r="B1654" s="1" t="s">
        <v>26</v>
      </c>
      <c r="C1654" s="1">
        <v>2</v>
      </c>
      <c r="D1654" s="1">
        <v>121.6</v>
      </c>
      <c r="E1654" s="11">
        <v>243.2</v>
      </c>
      <c r="F1654" s="3">
        <v>45719</v>
      </c>
      <c r="G1654" s="3">
        <v>45722</v>
      </c>
      <c r="H1654" s="1" t="s">
        <v>23</v>
      </c>
      <c r="I1654" s="1" t="s">
        <v>51</v>
      </c>
      <c r="J1654" s="1">
        <v>5</v>
      </c>
      <c r="K1654" s="1" t="s">
        <v>19</v>
      </c>
      <c r="L1654" s="1" t="s">
        <v>33</v>
      </c>
      <c r="M1654" s="1">
        <f>orders[[#This Row],[Ship Date]]-orders[[#This Row],[Order Date]]</f>
        <v>3</v>
      </c>
      <c r="N1654" s="1">
        <f>WEEKNUM(orders[[#This Row],[Order Date]])</f>
        <v>10</v>
      </c>
      <c r="O1654" s="1" t="str" cm="1">
        <f t="array" ref="O1654">_xlfn.IFS(orders[[#This Row],[Customer Gender]]="M","Male", orders[[#This Row],[Customer Gender]]="F","Female", orders[[#This Row],[Customer Gender]]="O","Other", TRUE,"Unknown")</f>
        <v>Male</v>
      </c>
    </row>
    <row r="1655" spans="1:15">
      <c r="A1655" s="1" t="s">
        <v>1754</v>
      </c>
      <c r="B1655" s="1" t="s">
        <v>37</v>
      </c>
      <c r="C1655" s="1">
        <v>7</v>
      </c>
      <c r="D1655" s="1">
        <v>38.200000000000003</v>
      </c>
      <c r="E1655" s="11">
        <v>267.40000000000003</v>
      </c>
      <c r="F1655" s="3">
        <v>45719</v>
      </c>
      <c r="G1655" s="3">
        <v>45722</v>
      </c>
      <c r="H1655" s="1" t="s">
        <v>27</v>
      </c>
      <c r="I1655" s="1" t="s">
        <v>18</v>
      </c>
      <c r="J1655" s="1">
        <v>4</v>
      </c>
      <c r="K1655" s="1" t="s">
        <v>19</v>
      </c>
      <c r="L1655" s="1" t="s">
        <v>33</v>
      </c>
      <c r="M1655" s="1">
        <f>orders[[#This Row],[Ship Date]]-orders[[#This Row],[Order Date]]</f>
        <v>3</v>
      </c>
      <c r="N1655" s="1">
        <f>WEEKNUM(orders[[#This Row],[Order Date]])</f>
        <v>10</v>
      </c>
      <c r="O1655" s="1" t="str" cm="1">
        <f t="array" ref="O1655">_xlfn.IFS(orders[[#This Row],[Customer Gender]]="M","Male", orders[[#This Row],[Customer Gender]]="F","Female", orders[[#This Row],[Customer Gender]]="O","Other", TRUE,"Unknown")</f>
        <v>Female</v>
      </c>
    </row>
    <row r="1656" spans="1:15">
      <c r="A1656" s="1" t="s">
        <v>1755</v>
      </c>
      <c r="B1656" s="1" t="s">
        <v>135</v>
      </c>
      <c r="C1656" s="1">
        <v>2</v>
      </c>
      <c r="D1656" s="1">
        <v>37.200000000000003</v>
      </c>
      <c r="E1656" s="11">
        <v>74.400000000000006</v>
      </c>
      <c r="F1656" s="3">
        <v>45719</v>
      </c>
      <c r="G1656" s="3">
        <v>45722</v>
      </c>
      <c r="H1656" s="1" t="s">
        <v>23</v>
      </c>
      <c r="I1656" s="1" t="s">
        <v>70</v>
      </c>
      <c r="J1656" s="1">
        <v>4</v>
      </c>
      <c r="K1656" s="1" t="s">
        <v>19</v>
      </c>
      <c r="L1656" s="1" t="s">
        <v>33</v>
      </c>
      <c r="M1656" s="1">
        <f>orders[[#This Row],[Ship Date]]-orders[[#This Row],[Order Date]]</f>
        <v>3</v>
      </c>
      <c r="N1656" s="1">
        <f>WEEKNUM(orders[[#This Row],[Order Date]])</f>
        <v>10</v>
      </c>
      <c r="O1656" s="1" t="str" cm="1">
        <f t="array" ref="O1656">_xlfn.IFS(orders[[#This Row],[Customer Gender]]="M","Male", orders[[#This Row],[Customer Gender]]="F","Female", orders[[#This Row],[Customer Gender]]="O","Other", TRUE,"Unknown")</f>
        <v>Male</v>
      </c>
    </row>
    <row r="1657" spans="1:15">
      <c r="A1657" s="1" t="s">
        <v>1756</v>
      </c>
      <c r="B1657" s="1" t="s">
        <v>26</v>
      </c>
      <c r="C1657" s="1">
        <v>4</v>
      </c>
      <c r="D1657" s="1">
        <v>115.7</v>
      </c>
      <c r="E1657" s="11">
        <v>462.8</v>
      </c>
      <c r="F1657" s="3">
        <v>45719</v>
      </c>
      <c r="G1657" s="3">
        <v>45722</v>
      </c>
      <c r="H1657" s="1" t="s">
        <v>27</v>
      </c>
      <c r="I1657" s="1" t="s">
        <v>35</v>
      </c>
      <c r="J1657" s="1">
        <v>4</v>
      </c>
      <c r="K1657" s="1" t="s">
        <v>19</v>
      </c>
      <c r="L1657" s="1" t="s">
        <v>33</v>
      </c>
      <c r="M1657" s="1">
        <f>orders[[#This Row],[Ship Date]]-orders[[#This Row],[Order Date]]</f>
        <v>3</v>
      </c>
      <c r="N1657" s="1">
        <f>WEEKNUM(orders[[#This Row],[Order Date]])</f>
        <v>10</v>
      </c>
      <c r="O1657" s="1" t="str" cm="1">
        <f t="array" ref="O1657">_xlfn.IFS(orders[[#This Row],[Customer Gender]]="M","Male", orders[[#This Row],[Customer Gender]]="F","Female", orders[[#This Row],[Customer Gender]]="O","Other", TRUE,"Unknown")</f>
        <v>Female</v>
      </c>
    </row>
    <row r="1658" spans="1:15">
      <c r="A1658" s="1" t="s">
        <v>1757</v>
      </c>
      <c r="B1658" s="1" t="s">
        <v>26</v>
      </c>
      <c r="C1658" s="1">
        <v>6</v>
      </c>
      <c r="D1658" s="1">
        <v>99.4</v>
      </c>
      <c r="E1658" s="11">
        <v>596.40000000000009</v>
      </c>
      <c r="F1658" s="3">
        <v>45719</v>
      </c>
      <c r="G1658" s="3">
        <v>45722</v>
      </c>
      <c r="H1658" s="1" t="s">
        <v>23</v>
      </c>
      <c r="I1658" s="1" t="s">
        <v>18</v>
      </c>
      <c r="J1658" s="1">
        <v>5</v>
      </c>
      <c r="K1658" s="1" t="s">
        <v>19</v>
      </c>
      <c r="L1658" s="1" t="s">
        <v>33</v>
      </c>
      <c r="M1658" s="1">
        <f>orders[[#This Row],[Ship Date]]-orders[[#This Row],[Order Date]]</f>
        <v>3</v>
      </c>
      <c r="N1658" s="1">
        <f>WEEKNUM(orders[[#This Row],[Order Date]])</f>
        <v>10</v>
      </c>
      <c r="O1658" s="1" t="str" cm="1">
        <f t="array" ref="O1658">_xlfn.IFS(orders[[#This Row],[Customer Gender]]="M","Male", orders[[#This Row],[Customer Gender]]="F","Female", orders[[#This Row],[Customer Gender]]="O","Other", TRUE,"Unknown")</f>
        <v>Male</v>
      </c>
    </row>
    <row r="1659" spans="1:15">
      <c r="A1659" s="1" t="s">
        <v>1758</v>
      </c>
      <c r="B1659" s="1" t="s">
        <v>67</v>
      </c>
      <c r="C1659" s="1">
        <v>1</v>
      </c>
      <c r="D1659" s="1">
        <v>38.700000000000003</v>
      </c>
      <c r="E1659" s="11">
        <v>38.700000000000003</v>
      </c>
      <c r="F1659" s="3">
        <v>45719</v>
      </c>
      <c r="G1659" s="3">
        <v>45720</v>
      </c>
      <c r="H1659" s="1" t="s">
        <v>27</v>
      </c>
      <c r="I1659" s="1" t="s">
        <v>40</v>
      </c>
      <c r="J1659" s="1">
        <v>4</v>
      </c>
      <c r="K1659" s="1" t="s">
        <v>19</v>
      </c>
      <c r="L1659" s="1" t="s">
        <v>188</v>
      </c>
      <c r="M1659" s="1">
        <f>orders[[#This Row],[Ship Date]]-orders[[#This Row],[Order Date]]</f>
        <v>1</v>
      </c>
      <c r="N1659" s="1">
        <f>WEEKNUM(orders[[#This Row],[Order Date]])</f>
        <v>10</v>
      </c>
      <c r="O1659" s="1" t="str" cm="1">
        <f t="array" ref="O1659">_xlfn.IFS(orders[[#This Row],[Customer Gender]]="M","Male", orders[[#This Row],[Customer Gender]]="F","Female", orders[[#This Row],[Customer Gender]]="O","Other", TRUE,"Unknown")</f>
        <v>Female</v>
      </c>
    </row>
    <row r="1660" spans="1:15">
      <c r="A1660" s="1" t="s">
        <v>1759</v>
      </c>
      <c r="B1660" s="1" t="s">
        <v>32</v>
      </c>
      <c r="C1660" s="1">
        <v>2</v>
      </c>
      <c r="D1660" s="1">
        <v>35.5</v>
      </c>
      <c r="E1660" s="11">
        <v>71</v>
      </c>
      <c r="F1660" s="3">
        <v>45719</v>
      </c>
      <c r="G1660" s="3">
        <v>45722</v>
      </c>
      <c r="H1660" s="1" t="s">
        <v>23</v>
      </c>
      <c r="I1660" s="1" t="s">
        <v>18</v>
      </c>
      <c r="J1660" s="1">
        <v>5</v>
      </c>
      <c r="K1660" s="1" t="s">
        <v>19</v>
      </c>
      <c r="L1660" s="1" t="s">
        <v>188</v>
      </c>
      <c r="M1660" s="1">
        <f>orders[[#This Row],[Ship Date]]-orders[[#This Row],[Order Date]]</f>
        <v>3</v>
      </c>
      <c r="N1660" s="1">
        <f>WEEKNUM(orders[[#This Row],[Order Date]])</f>
        <v>10</v>
      </c>
      <c r="O1660" s="1" t="str" cm="1">
        <f t="array" ref="O1660">_xlfn.IFS(orders[[#This Row],[Customer Gender]]="M","Male", orders[[#This Row],[Customer Gender]]="F","Female", orders[[#This Row],[Customer Gender]]="O","Other", TRUE,"Unknown")</f>
        <v>Male</v>
      </c>
    </row>
    <row r="1661" spans="1:15">
      <c r="A1661" s="1" t="s">
        <v>1760</v>
      </c>
      <c r="B1661" s="1" t="s">
        <v>26</v>
      </c>
      <c r="C1661" s="1">
        <v>4</v>
      </c>
      <c r="D1661" s="1">
        <v>93.3</v>
      </c>
      <c r="E1661" s="11">
        <v>373.2</v>
      </c>
      <c r="F1661" s="3">
        <v>45719</v>
      </c>
      <c r="G1661" s="3">
        <v>45722</v>
      </c>
      <c r="H1661" s="1" t="s">
        <v>27</v>
      </c>
      <c r="I1661" s="1" t="s">
        <v>18</v>
      </c>
      <c r="J1661" s="1">
        <v>5</v>
      </c>
      <c r="K1661" s="1" t="s">
        <v>19</v>
      </c>
      <c r="L1661" s="1" t="s">
        <v>55</v>
      </c>
      <c r="M1661" s="1">
        <f>orders[[#This Row],[Ship Date]]-orders[[#This Row],[Order Date]]</f>
        <v>3</v>
      </c>
      <c r="N1661" s="1">
        <f>WEEKNUM(orders[[#This Row],[Order Date]])</f>
        <v>10</v>
      </c>
      <c r="O1661" s="1" t="str" cm="1">
        <f t="array" ref="O1661">_xlfn.IFS(orders[[#This Row],[Customer Gender]]="M","Male", orders[[#This Row],[Customer Gender]]="F","Female", orders[[#This Row],[Customer Gender]]="O","Other", TRUE,"Unknown")</f>
        <v>Female</v>
      </c>
    </row>
    <row r="1662" spans="1:15">
      <c r="A1662" s="1" t="s">
        <v>1761</v>
      </c>
      <c r="B1662" s="1" t="s">
        <v>128</v>
      </c>
      <c r="C1662" s="1">
        <v>1</v>
      </c>
      <c r="D1662" s="1">
        <v>31.4</v>
      </c>
      <c r="E1662" s="11">
        <v>31.4</v>
      </c>
      <c r="F1662" s="3">
        <v>45719</v>
      </c>
      <c r="G1662" s="3">
        <v>45724</v>
      </c>
      <c r="H1662" s="1" t="s">
        <v>27</v>
      </c>
      <c r="I1662" s="1" t="s">
        <v>40</v>
      </c>
      <c r="J1662" s="1">
        <v>5</v>
      </c>
      <c r="K1662" s="1" t="s">
        <v>19</v>
      </c>
      <c r="L1662" s="1" t="s">
        <v>55</v>
      </c>
      <c r="M1662" s="1">
        <f>orders[[#This Row],[Ship Date]]-orders[[#This Row],[Order Date]]</f>
        <v>5</v>
      </c>
      <c r="N1662" s="1">
        <f>WEEKNUM(orders[[#This Row],[Order Date]])</f>
        <v>10</v>
      </c>
      <c r="O1662" s="1" t="str" cm="1">
        <f t="array" ref="O1662">_xlfn.IFS(orders[[#This Row],[Customer Gender]]="M","Male", orders[[#This Row],[Customer Gender]]="F","Female", orders[[#This Row],[Customer Gender]]="O","Other", TRUE,"Unknown")</f>
        <v>Female</v>
      </c>
    </row>
    <row r="1663" spans="1:15">
      <c r="A1663" s="1" t="s">
        <v>1762</v>
      </c>
      <c r="B1663" s="1" t="s">
        <v>22</v>
      </c>
      <c r="C1663" s="1">
        <v>1</v>
      </c>
      <c r="D1663" s="1">
        <v>85.9</v>
      </c>
      <c r="E1663" s="11">
        <v>85.9</v>
      </c>
      <c r="F1663" s="3">
        <v>45719</v>
      </c>
      <c r="G1663" s="3">
        <v>45722</v>
      </c>
      <c r="H1663" s="1" t="s">
        <v>23</v>
      </c>
      <c r="I1663" s="1" t="s">
        <v>35</v>
      </c>
      <c r="J1663" s="1">
        <v>4</v>
      </c>
      <c r="K1663" s="1" t="s">
        <v>19</v>
      </c>
      <c r="L1663" s="1" t="s">
        <v>55</v>
      </c>
      <c r="M1663" s="1">
        <f>orders[[#This Row],[Ship Date]]-orders[[#This Row],[Order Date]]</f>
        <v>3</v>
      </c>
      <c r="N1663" s="1">
        <f>WEEKNUM(orders[[#This Row],[Order Date]])</f>
        <v>10</v>
      </c>
      <c r="O1663" s="1" t="str" cm="1">
        <f t="array" ref="O1663">_xlfn.IFS(orders[[#This Row],[Customer Gender]]="M","Male", orders[[#This Row],[Customer Gender]]="F","Female", orders[[#This Row],[Customer Gender]]="O","Other", TRUE,"Unknown")</f>
        <v>Male</v>
      </c>
    </row>
    <row r="1664" spans="1:15">
      <c r="A1664" s="1" t="s">
        <v>1763</v>
      </c>
      <c r="B1664" s="1" t="s">
        <v>39</v>
      </c>
      <c r="C1664" s="1">
        <v>8</v>
      </c>
      <c r="D1664" s="1">
        <v>41.7</v>
      </c>
      <c r="E1664" s="11">
        <v>333.6</v>
      </c>
      <c r="F1664" s="3">
        <v>45719</v>
      </c>
      <c r="G1664" s="3">
        <v>45727</v>
      </c>
      <c r="H1664" s="1" t="s">
        <v>23</v>
      </c>
      <c r="I1664" s="1" t="s">
        <v>18</v>
      </c>
      <c r="J1664" s="1">
        <v>5</v>
      </c>
      <c r="K1664" s="1" t="s">
        <v>19</v>
      </c>
      <c r="L1664" s="1" t="s">
        <v>59</v>
      </c>
      <c r="M1664" s="1">
        <f>orders[[#This Row],[Ship Date]]-orders[[#This Row],[Order Date]]</f>
        <v>8</v>
      </c>
      <c r="N1664" s="1">
        <f>WEEKNUM(orders[[#This Row],[Order Date]])</f>
        <v>10</v>
      </c>
      <c r="O1664" s="1" t="str" cm="1">
        <f t="array" ref="O1664">_xlfn.IFS(orders[[#This Row],[Customer Gender]]="M","Male", orders[[#This Row],[Customer Gender]]="F","Female", orders[[#This Row],[Customer Gender]]="O","Other", TRUE,"Unknown")</f>
        <v>Male</v>
      </c>
    </row>
    <row r="1665" spans="1:15">
      <c r="A1665" s="1" t="s">
        <v>1764</v>
      </c>
      <c r="B1665" s="1" t="s">
        <v>44</v>
      </c>
      <c r="C1665" s="1">
        <v>4</v>
      </c>
      <c r="D1665" s="1">
        <v>31.5</v>
      </c>
      <c r="E1665" s="11">
        <v>126</v>
      </c>
      <c r="F1665" s="3">
        <v>45719</v>
      </c>
      <c r="G1665" s="3">
        <v>45720</v>
      </c>
      <c r="H1665" s="1" t="s">
        <v>27</v>
      </c>
      <c r="I1665" s="1" t="s">
        <v>18</v>
      </c>
      <c r="J1665" s="1">
        <v>4</v>
      </c>
      <c r="K1665" s="1" t="s">
        <v>19</v>
      </c>
      <c r="L1665" s="1" t="s">
        <v>59</v>
      </c>
      <c r="M1665" s="1">
        <f>orders[[#This Row],[Ship Date]]-orders[[#This Row],[Order Date]]</f>
        <v>1</v>
      </c>
      <c r="N1665" s="1">
        <f>WEEKNUM(orders[[#This Row],[Order Date]])</f>
        <v>10</v>
      </c>
      <c r="O1665" s="1" t="str" cm="1">
        <f t="array" ref="O1665">_xlfn.IFS(orders[[#This Row],[Customer Gender]]="M","Male", orders[[#This Row],[Customer Gender]]="F","Female", orders[[#This Row],[Customer Gender]]="O","Other", TRUE,"Unknown")</f>
        <v>Female</v>
      </c>
    </row>
    <row r="1666" spans="1:15">
      <c r="A1666" s="1" t="s">
        <v>1765</v>
      </c>
      <c r="B1666" s="1" t="s">
        <v>44</v>
      </c>
      <c r="C1666" s="1">
        <v>2</v>
      </c>
      <c r="D1666" s="1">
        <v>36.299999999999997</v>
      </c>
      <c r="E1666" s="11">
        <v>72.599999999999994</v>
      </c>
      <c r="F1666" s="3">
        <v>45719</v>
      </c>
      <c r="G1666" s="3">
        <v>45720</v>
      </c>
      <c r="H1666" s="1" t="s">
        <v>27</v>
      </c>
      <c r="I1666" s="1" t="s">
        <v>18</v>
      </c>
      <c r="J1666" s="1">
        <v>2</v>
      </c>
      <c r="K1666" s="1" t="s">
        <v>19</v>
      </c>
      <c r="L1666" s="1" t="s">
        <v>62</v>
      </c>
      <c r="M1666" s="1">
        <f>orders[[#This Row],[Ship Date]]-orders[[#This Row],[Order Date]]</f>
        <v>1</v>
      </c>
      <c r="N1666" s="1">
        <f>WEEKNUM(orders[[#This Row],[Order Date]])</f>
        <v>10</v>
      </c>
      <c r="O1666" s="1" t="str" cm="1">
        <f t="array" ref="O1666">_xlfn.IFS(orders[[#This Row],[Customer Gender]]="M","Male", orders[[#This Row],[Customer Gender]]="F","Female", orders[[#This Row],[Customer Gender]]="O","Other", TRUE,"Unknown")</f>
        <v>Female</v>
      </c>
    </row>
    <row r="1667" spans="1:15">
      <c r="A1667" s="1" t="s">
        <v>1766</v>
      </c>
      <c r="B1667" s="1" t="s">
        <v>44</v>
      </c>
      <c r="C1667" s="1">
        <v>3</v>
      </c>
      <c r="D1667" s="1">
        <v>33.4</v>
      </c>
      <c r="E1667" s="11">
        <v>100.19999999999999</v>
      </c>
      <c r="F1667" s="3">
        <v>45719</v>
      </c>
      <c r="G1667" s="3">
        <v>45720</v>
      </c>
      <c r="H1667" s="1" t="s">
        <v>27</v>
      </c>
      <c r="I1667" s="1" t="s">
        <v>51</v>
      </c>
      <c r="J1667" s="1">
        <v>4</v>
      </c>
      <c r="K1667" s="1" t="s">
        <v>19</v>
      </c>
      <c r="L1667" s="1" t="s">
        <v>103</v>
      </c>
      <c r="M1667" s="1">
        <f>orders[[#This Row],[Ship Date]]-orders[[#This Row],[Order Date]]</f>
        <v>1</v>
      </c>
      <c r="N1667" s="1">
        <f>WEEKNUM(orders[[#This Row],[Order Date]])</f>
        <v>10</v>
      </c>
      <c r="O1667" s="1" t="str" cm="1">
        <f t="array" ref="O1667">_xlfn.IFS(orders[[#This Row],[Customer Gender]]="M","Male", orders[[#This Row],[Customer Gender]]="F","Female", orders[[#This Row],[Customer Gender]]="O","Other", TRUE,"Unknown")</f>
        <v>Female</v>
      </c>
    </row>
    <row r="1668" spans="1:15">
      <c r="A1668" s="1" t="s">
        <v>1767</v>
      </c>
      <c r="B1668" s="1" t="s">
        <v>26</v>
      </c>
      <c r="C1668" s="1">
        <v>3</v>
      </c>
      <c r="D1668" s="1">
        <v>65.2</v>
      </c>
      <c r="E1668" s="11">
        <v>195.60000000000002</v>
      </c>
      <c r="F1668" s="3">
        <v>45719</v>
      </c>
      <c r="G1668" s="3">
        <v>45720</v>
      </c>
      <c r="H1668" s="1" t="s">
        <v>27</v>
      </c>
      <c r="I1668" s="1" t="s">
        <v>40</v>
      </c>
      <c r="J1668" s="1">
        <v>5</v>
      </c>
      <c r="K1668" s="1" t="s">
        <v>19</v>
      </c>
      <c r="L1668" s="1" t="s">
        <v>201</v>
      </c>
      <c r="M1668" s="1">
        <f>orders[[#This Row],[Ship Date]]-orders[[#This Row],[Order Date]]</f>
        <v>1</v>
      </c>
      <c r="N1668" s="1">
        <f>WEEKNUM(orders[[#This Row],[Order Date]])</f>
        <v>10</v>
      </c>
      <c r="O1668" s="1" t="str" cm="1">
        <f t="array" ref="O1668">_xlfn.IFS(orders[[#This Row],[Customer Gender]]="M","Male", orders[[#This Row],[Customer Gender]]="F","Female", orders[[#This Row],[Customer Gender]]="O","Other", TRUE,"Unknown")</f>
        <v>Female</v>
      </c>
    </row>
    <row r="1669" spans="1:15">
      <c r="A1669" s="1" t="s">
        <v>1768</v>
      </c>
      <c r="B1669" s="1" t="s">
        <v>44</v>
      </c>
      <c r="C1669" s="1">
        <v>9</v>
      </c>
      <c r="D1669" s="1">
        <v>65.5</v>
      </c>
      <c r="E1669" s="11">
        <v>589.5</v>
      </c>
      <c r="F1669" s="3">
        <v>45719</v>
      </c>
      <c r="G1669" s="3">
        <v>45722</v>
      </c>
      <c r="H1669" s="1" t="s">
        <v>27</v>
      </c>
      <c r="I1669" s="1" t="s">
        <v>18</v>
      </c>
      <c r="J1669" s="1">
        <v>5</v>
      </c>
      <c r="K1669" s="1" t="s">
        <v>19</v>
      </c>
      <c r="L1669" s="1" t="s">
        <v>72</v>
      </c>
      <c r="M1669" s="1">
        <f>orders[[#This Row],[Ship Date]]-orders[[#This Row],[Order Date]]</f>
        <v>3</v>
      </c>
      <c r="N1669" s="1">
        <f>WEEKNUM(orders[[#This Row],[Order Date]])</f>
        <v>10</v>
      </c>
      <c r="O1669" s="1" t="str" cm="1">
        <f t="array" ref="O1669">_xlfn.IFS(orders[[#This Row],[Customer Gender]]="M","Male", orders[[#This Row],[Customer Gender]]="F","Female", orders[[#This Row],[Customer Gender]]="O","Other", TRUE,"Unknown")</f>
        <v>Female</v>
      </c>
    </row>
    <row r="1670" spans="1:15">
      <c r="A1670" s="1" t="s">
        <v>1769</v>
      </c>
      <c r="B1670" s="1" t="s">
        <v>39</v>
      </c>
      <c r="C1670" s="1">
        <v>3</v>
      </c>
      <c r="D1670" s="1">
        <v>52.8</v>
      </c>
      <c r="E1670" s="11">
        <v>158.39999999999998</v>
      </c>
      <c r="F1670" s="3">
        <v>45719</v>
      </c>
      <c r="G1670" s="3">
        <v>45722</v>
      </c>
      <c r="H1670" s="1" t="s">
        <v>23</v>
      </c>
      <c r="I1670" s="1" t="s">
        <v>40</v>
      </c>
      <c r="J1670" s="1">
        <v>4</v>
      </c>
      <c r="K1670" s="1" t="s">
        <v>19</v>
      </c>
      <c r="L1670" s="1" t="s">
        <v>72</v>
      </c>
      <c r="M1670" s="1">
        <f>orders[[#This Row],[Ship Date]]-orders[[#This Row],[Order Date]]</f>
        <v>3</v>
      </c>
      <c r="N1670" s="1">
        <f>WEEKNUM(orders[[#This Row],[Order Date]])</f>
        <v>10</v>
      </c>
      <c r="O1670" s="1" t="str" cm="1">
        <f t="array" ref="O1670">_xlfn.IFS(orders[[#This Row],[Customer Gender]]="M","Male", orders[[#This Row],[Customer Gender]]="F","Female", orders[[#This Row],[Customer Gender]]="O","Other", TRUE,"Unknown")</f>
        <v>Male</v>
      </c>
    </row>
    <row r="1671" spans="1:15">
      <c r="A1671" s="1" t="s">
        <v>1770</v>
      </c>
      <c r="B1671" s="1" t="s">
        <v>46</v>
      </c>
      <c r="C1671" s="1">
        <v>5</v>
      </c>
      <c r="D1671" s="1">
        <v>24</v>
      </c>
      <c r="E1671" s="11">
        <v>120</v>
      </c>
      <c r="F1671" s="3">
        <v>45719</v>
      </c>
      <c r="G1671" s="3">
        <v>45723</v>
      </c>
      <c r="H1671" s="1" t="s">
        <v>23</v>
      </c>
      <c r="I1671" s="1" t="s">
        <v>18</v>
      </c>
      <c r="J1671" s="1">
        <v>3</v>
      </c>
      <c r="K1671" s="1" t="s">
        <v>19</v>
      </c>
      <c r="L1671" s="1" t="s">
        <v>77</v>
      </c>
      <c r="M1671" s="1">
        <f>orders[[#This Row],[Ship Date]]-orders[[#This Row],[Order Date]]</f>
        <v>4</v>
      </c>
      <c r="N1671" s="1">
        <f>WEEKNUM(orders[[#This Row],[Order Date]])</f>
        <v>10</v>
      </c>
      <c r="O1671" s="1" t="str" cm="1">
        <f t="array" ref="O1671">_xlfn.IFS(orders[[#This Row],[Customer Gender]]="M","Male", orders[[#This Row],[Customer Gender]]="F","Female", orders[[#This Row],[Customer Gender]]="O","Other", TRUE,"Unknown")</f>
        <v>Male</v>
      </c>
    </row>
    <row r="1672" spans="1:15">
      <c r="A1672" s="1" t="s">
        <v>1771</v>
      </c>
      <c r="B1672" s="1" t="s">
        <v>30</v>
      </c>
      <c r="C1672" s="1">
        <v>3</v>
      </c>
      <c r="D1672" s="1">
        <v>51.2</v>
      </c>
      <c r="E1672" s="11">
        <v>153.60000000000002</v>
      </c>
      <c r="F1672" s="3">
        <v>45719</v>
      </c>
      <c r="G1672" s="3">
        <v>45720</v>
      </c>
      <c r="H1672" s="1" t="s">
        <v>27</v>
      </c>
      <c r="I1672" s="1" t="s">
        <v>18</v>
      </c>
      <c r="J1672" s="1">
        <v>4</v>
      </c>
      <c r="K1672" s="1" t="s">
        <v>19</v>
      </c>
      <c r="L1672" s="1" t="s">
        <v>309</v>
      </c>
      <c r="M1672" s="1">
        <f>orders[[#This Row],[Ship Date]]-orders[[#This Row],[Order Date]]</f>
        <v>1</v>
      </c>
      <c r="N1672" s="1">
        <f>WEEKNUM(orders[[#This Row],[Order Date]])</f>
        <v>10</v>
      </c>
      <c r="O1672" s="1" t="str" cm="1">
        <f t="array" ref="O1672">_xlfn.IFS(orders[[#This Row],[Customer Gender]]="M","Male", orders[[#This Row],[Customer Gender]]="F","Female", orders[[#This Row],[Customer Gender]]="O","Other", TRUE,"Unknown")</f>
        <v>Female</v>
      </c>
    </row>
    <row r="1673" spans="1:15">
      <c r="A1673" s="1" t="s">
        <v>1772</v>
      </c>
      <c r="B1673" s="1" t="s">
        <v>37</v>
      </c>
      <c r="C1673" s="1">
        <v>3</v>
      </c>
      <c r="D1673" s="1">
        <v>28.3</v>
      </c>
      <c r="E1673" s="11">
        <v>84.9</v>
      </c>
      <c r="F1673" s="3">
        <v>45719</v>
      </c>
      <c r="G1673" s="3">
        <v>45721</v>
      </c>
      <c r="H1673" s="1" t="s">
        <v>23</v>
      </c>
      <c r="I1673" s="1" t="s">
        <v>70</v>
      </c>
      <c r="J1673" s="1">
        <v>4</v>
      </c>
      <c r="K1673" s="1" t="s">
        <v>19</v>
      </c>
      <c r="L1673" s="1" t="s">
        <v>110</v>
      </c>
      <c r="M1673" s="1">
        <f>orders[[#This Row],[Ship Date]]-orders[[#This Row],[Order Date]]</f>
        <v>2</v>
      </c>
      <c r="N1673" s="1">
        <f>WEEKNUM(orders[[#This Row],[Order Date]])</f>
        <v>10</v>
      </c>
      <c r="O1673" s="1" t="str" cm="1">
        <f t="array" ref="O1673">_xlfn.IFS(orders[[#This Row],[Customer Gender]]="M","Male", orders[[#This Row],[Customer Gender]]="F","Female", orders[[#This Row],[Customer Gender]]="O","Other", TRUE,"Unknown")</f>
        <v>Male</v>
      </c>
    </row>
    <row r="1674" spans="1:15">
      <c r="A1674" s="1" t="s">
        <v>1773</v>
      </c>
      <c r="B1674" s="1" t="s">
        <v>39</v>
      </c>
      <c r="C1674" s="1">
        <v>3</v>
      </c>
      <c r="D1674" s="1">
        <v>42.3</v>
      </c>
      <c r="E1674" s="11">
        <v>126.89999999999999</v>
      </c>
      <c r="F1674" s="3">
        <v>45719</v>
      </c>
      <c r="G1674" s="3">
        <v>45719</v>
      </c>
      <c r="H1674" s="1" t="s">
        <v>27</v>
      </c>
      <c r="I1674" s="1" t="s">
        <v>40</v>
      </c>
      <c r="J1674" s="1">
        <v>3</v>
      </c>
      <c r="K1674" s="1" t="s">
        <v>19</v>
      </c>
      <c r="L1674" s="1" t="s">
        <v>110</v>
      </c>
      <c r="M1674" s="1">
        <f>orders[[#This Row],[Ship Date]]-orders[[#This Row],[Order Date]]</f>
        <v>0</v>
      </c>
      <c r="N1674" s="1">
        <f>WEEKNUM(orders[[#This Row],[Order Date]])</f>
        <v>10</v>
      </c>
      <c r="O1674" s="1" t="str" cm="1">
        <f t="array" ref="O1674">_xlfn.IFS(orders[[#This Row],[Customer Gender]]="M","Male", orders[[#This Row],[Customer Gender]]="F","Female", orders[[#This Row],[Customer Gender]]="O","Other", TRUE,"Unknown")</f>
        <v>Female</v>
      </c>
    </row>
    <row r="1675" spans="1:15">
      <c r="A1675" s="1" t="s">
        <v>1774</v>
      </c>
      <c r="B1675" s="1" t="s">
        <v>26</v>
      </c>
      <c r="C1675" s="1">
        <v>8</v>
      </c>
      <c r="D1675" s="1">
        <v>163.30000000000001</v>
      </c>
      <c r="E1675" s="11">
        <v>1306.4000000000001</v>
      </c>
      <c r="F1675" s="3">
        <v>45720</v>
      </c>
      <c r="G1675" s="3">
        <v>45721</v>
      </c>
      <c r="H1675" s="1" t="s">
        <v>27</v>
      </c>
      <c r="I1675" s="1" t="s">
        <v>35</v>
      </c>
      <c r="J1675" s="1">
        <v>4</v>
      </c>
      <c r="K1675" s="1" t="s">
        <v>19</v>
      </c>
      <c r="L1675" s="1" t="s">
        <v>82</v>
      </c>
      <c r="M1675" s="1">
        <f>orders[[#This Row],[Ship Date]]-orders[[#This Row],[Order Date]]</f>
        <v>1</v>
      </c>
      <c r="N1675" s="1">
        <f>WEEKNUM(orders[[#This Row],[Order Date]])</f>
        <v>10</v>
      </c>
      <c r="O1675" s="1" t="str" cm="1">
        <f t="array" ref="O1675">_xlfn.IFS(orders[[#This Row],[Customer Gender]]="M","Male", orders[[#This Row],[Customer Gender]]="F","Female", orders[[#This Row],[Customer Gender]]="O","Other", TRUE,"Unknown")</f>
        <v>Female</v>
      </c>
    </row>
    <row r="1676" spans="1:15">
      <c r="A1676" s="1" t="s">
        <v>1775</v>
      </c>
      <c r="B1676" s="1" t="s">
        <v>39</v>
      </c>
      <c r="C1676" s="1">
        <v>7</v>
      </c>
      <c r="D1676" s="1">
        <v>47.3</v>
      </c>
      <c r="E1676" s="11">
        <v>331.09999999999997</v>
      </c>
      <c r="F1676" s="3">
        <v>45720</v>
      </c>
      <c r="G1676" s="3">
        <v>45723</v>
      </c>
      <c r="H1676" s="1" t="s">
        <v>27</v>
      </c>
      <c r="I1676" s="1" t="s">
        <v>70</v>
      </c>
      <c r="J1676" s="1">
        <v>3</v>
      </c>
      <c r="K1676" s="1" t="s">
        <v>19</v>
      </c>
      <c r="L1676" s="1" t="s">
        <v>115</v>
      </c>
      <c r="M1676" s="1">
        <f>orders[[#This Row],[Ship Date]]-orders[[#This Row],[Order Date]]</f>
        <v>3</v>
      </c>
      <c r="N1676" s="1">
        <f>WEEKNUM(orders[[#This Row],[Order Date]])</f>
        <v>10</v>
      </c>
      <c r="O1676" s="1" t="str" cm="1">
        <f t="array" ref="O1676">_xlfn.IFS(orders[[#This Row],[Customer Gender]]="M","Male", orders[[#This Row],[Customer Gender]]="F","Female", orders[[#This Row],[Customer Gender]]="O","Other", TRUE,"Unknown")</f>
        <v>Female</v>
      </c>
    </row>
    <row r="1677" spans="1:15">
      <c r="A1677" s="1" t="s">
        <v>1776</v>
      </c>
      <c r="B1677" s="1" t="s">
        <v>44</v>
      </c>
      <c r="C1677" s="1">
        <v>16</v>
      </c>
      <c r="D1677" s="1">
        <v>27.3</v>
      </c>
      <c r="E1677" s="11">
        <v>436.8</v>
      </c>
      <c r="F1677" s="3">
        <v>45720</v>
      </c>
      <c r="G1677" s="3">
        <v>45721</v>
      </c>
      <c r="H1677" s="1" t="s">
        <v>27</v>
      </c>
      <c r="I1677" s="1" t="s">
        <v>40</v>
      </c>
      <c r="J1677" s="1">
        <v>4</v>
      </c>
      <c r="K1677" s="1" t="s">
        <v>19</v>
      </c>
      <c r="L1677" s="1" t="s">
        <v>115</v>
      </c>
      <c r="M1677" s="1">
        <f>orders[[#This Row],[Ship Date]]-orders[[#This Row],[Order Date]]</f>
        <v>1</v>
      </c>
      <c r="N1677" s="1">
        <f>WEEKNUM(orders[[#This Row],[Order Date]])</f>
        <v>10</v>
      </c>
      <c r="O1677" s="1" t="str" cm="1">
        <f t="array" ref="O1677">_xlfn.IFS(orders[[#This Row],[Customer Gender]]="M","Male", orders[[#This Row],[Customer Gender]]="F","Female", orders[[#This Row],[Customer Gender]]="O","Other", TRUE,"Unknown")</f>
        <v>Female</v>
      </c>
    </row>
    <row r="1678" spans="1:15">
      <c r="A1678" s="1" t="s">
        <v>1777</v>
      </c>
      <c r="B1678" s="1" t="s">
        <v>54</v>
      </c>
      <c r="C1678" s="1">
        <v>6</v>
      </c>
      <c r="D1678" s="1">
        <v>34.9</v>
      </c>
      <c r="E1678" s="11">
        <v>209.39999999999998</v>
      </c>
      <c r="F1678" s="3">
        <v>45720</v>
      </c>
      <c r="G1678" s="3">
        <v>45731</v>
      </c>
      <c r="H1678" s="1" t="s">
        <v>27</v>
      </c>
      <c r="I1678" s="1" t="s">
        <v>18</v>
      </c>
      <c r="J1678" s="1">
        <v>4</v>
      </c>
      <c r="K1678" s="1" t="s">
        <v>19</v>
      </c>
      <c r="L1678" s="1" t="s">
        <v>115</v>
      </c>
      <c r="M1678" s="1">
        <f>orders[[#This Row],[Ship Date]]-orders[[#This Row],[Order Date]]</f>
        <v>11</v>
      </c>
      <c r="N1678" s="1">
        <f>WEEKNUM(orders[[#This Row],[Order Date]])</f>
        <v>10</v>
      </c>
      <c r="O1678" s="1" t="str" cm="1">
        <f t="array" ref="O1678">_xlfn.IFS(orders[[#This Row],[Customer Gender]]="M","Male", orders[[#This Row],[Customer Gender]]="F","Female", orders[[#This Row],[Customer Gender]]="O","Other", TRUE,"Unknown")</f>
        <v>Female</v>
      </c>
    </row>
    <row r="1679" spans="1:15">
      <c r="A1679" s="1" t="s">
        <v>1778</v>
      </c>
      <c r="B1679" s="1" t="s">
        <v>39</v>
      </c>
      <c r="C1679" s="1">
        <v>2</v>
      </c>
      <c r="D1679" s="1">
        <v>53.9</v>
      </c>
      <c r="E1679" s="11">
        <v>107.8</v>
      </c>
      <c r="F1679" s="3">
        <v>45720</v>
      </c>
      <c r="G1679" s="3">
        <v>45723</v>
      </c>
      <c r="H1679" s="1" t="s">
        <v>89</v>
      </c>
      <c r="I1679" s="1" t="s">
        <v>18</v>
      </c>
      <c r="J1679" s="1">
        <v>2</v>
      </c>
      <c r="K1679" s="1" t="s">
        <v>19</v>
      </c>
      <c r="L1679" s="1" t="s">
        <v>24</v>
      </c>
      <c r="M1679" s="1">
        <f>orders[[#This Row],[Ship Date]]-orders[[#This Row],[Order Date]]</f>
        <v>3</v>
      </c>
      <c r="N1679" s="1">
        <f>WEEKNUM(orders[[#This Row],[Order Date]])</f>
        <v>10</v>
      </c>
      <c r="O1679" s="1" t="str" cm="1">
        <f t="array" ref="O1679">_xlfn.IFS(orders[[#This Row],[Customer Gender]]="M","Male", orders[[#This Row],[Customer Gender]]="F","Female", orders[[#This Row],[Customer Gender]]="O","Other", TRUE,"Unknown")</f>
        <v>Other</v>
      </c>
    </row>
    <row r="1680" spans="1:15">
      <c r="A1680" s="1" t="s">
        <v>1779</v>
      </c>
      <c r="B1680" s="1" t="s">
        <v>26</v>
      </c>
      <c r="C1680" s="1">
        <v>2</v>
      </c>
      <c r="D1680" s="1">
        <v>87.2</v>
      </c>
      <c r="E1680" s="11">
        <v>174.4</v>
      </c>
      <c r="F1680" s="3">
        <v>45720</v>
      </c>
      <c r="G1680" s="3">
        <v>45721</v>
      </c>
      <c r="H1680" s="1" t="s">
        <v>27</v>
      </c>
      <c r="I1680" s="1" t="s">
        <v>18</v>
      </c>
      <c r="J1680" s="1">
        <v>3</v>
      </c>
      <c r="K1680" s="1" t="s">
        <v>19</v>
      </c>
      <c r="L1680" s="1" t="s">
        <v>24</v>
      </c>
      <c r="M1680" s="1">
        <f>orders[[#This Row],[Ship Date]]-orders[[#This Row],[Order Date]]</f>
        <v>1</v>
      </c>
      <c r="N1680" s="1">
        <f>WEEKNUM(orders[[#This Row],[Order Date]])</f>
        <v>10</v>
      </c>
      <c r="O1680" s="1" t="str" cm="1">
        <f t="array" ref="O1680">_xlfn.IFS(orders[[#This Row],[Customer Gender]]="M","Male", orders[[#This Row],[Customer Gender]]="F","Female", orders[[#This Row],[Customer Gender]]="O","Other", TRUE,"Unknown")</f>
        <v>Female</v>
      </c>
    </row>
    <row r="1681" spans="1:15">
      <c r="A1681" s="1" t="s">
        <v>1780</v>
      </c>
      <c r="B1681" s="1" t="s">
        <v>123</v>
      </c>
      <c r="C1681" s="1">
        <v>1</v>
      </c>
      <c r="D1681" s="1">
        <v>58.8</v>
      </c>
      <c r="E1681" s="11">
        <v>58.8</v>
      </c>
      <c r="F1681" s="3">
        <v>45720</v>
      </c>
      <c r="G1681" s="3">
        <v>45722</v>
      </c>
      <c r="H1681" s="1" t="s">
        <v>27</v>
      </c>
      <c r="I1681" s="1" t="s">
        <v>40</v>
      </c>
      <c r="J1681" s="1">
        <v>4</v>
      </c>
      <c r="K1681" s="1" t="s">
        <v>19</v>
      </c>
      <c r="L1681" s="1" t="s">
        <v>587</v>
      </c>
      <c r="M1681" s="1">
        <f>orders[[#This Row],[Ship Date]]-orders[[#This Row],[Order Date]]</f>
        <v>2</v>
      </c>
      <c r="N1681" s="1">
        <f>WEEKNUM(orders[[#This Row],[Order Date]])</f>
        <v>10</v>
      </c>
      <c r="O1681" s="1" t="str" cm="1">
        <f t="array" ref="O1681">_xlfn.IFS(orders[[#This Row],[Customer Gender]]="M","Male", orders[[#This Row],[Customer Gender]]="F","Female", orders[[#This Row],[Customer Gender]]="O","Other", TRUE,"Unknown")</f>
        <v>Female</v>
      </c>
    </row>
    <row r="1682" spans="1:15">
      <c r="A1682" s="1" t="s">
        <v>1781</v>
      </c>
      <c r="B1682" s="1" t="s">
        <v>26</v>
      </c>
      <c r="C1682" s="1">
        <v>7</v>
      </c>
      <c r="D1682" s="1">
        <v>125.5</v>
      </c>
      <c r="E1682" s="11">
        <v>878.5</v>
      </c>
      <c r="F1682" s="3">
        <v>45720</v>
      </c>
      <c r="G1682" s="3">
        <v>45721</v>
      </c>
      <c r="H1682" s="1" t="s">
        <v>23</v>
      </c>
      <c r="I1682" s="1" t="s">
        <v>40</v>
      </c>
      <c r="J1682" s="1">
        <v>2</v>
      </c>
      <c r="K1682" s="1" t="s">
        <v>19</v>
      </c>
      <c r="L1682" s="1" t="s">
        <v>147</v>
      </c>
      <c r="M1682" s="1">
        <f>orders[[#This Row],[Ship Date]]-orders[[#This Row],[Order Date]]</f>
        <v>1</v>
      </c>
      <c r="N1682" s="1">
        <f>WEEKNUM(orders[[#This Row],[Order Date]])</f>
        <v>10</v>
      </c>
      <c r="O1682" s="1" t="str" cm="1">
        <f t="array" ref="O1682">_xlfn.IFS(orders[[#This Row],[Customer Gender]]="M","Male", orders[[#This Row],[Customer Gender]]="F","Female", orders[[#This Row],[Customer Gender]]="O","Other", TRUE,"Unknown")</f>
        <v>Male</v>
      </c>
    </row>
    <row r="1683" spans="1:15">
      <c r="A1683" s="1" t="s">
        <v>1782</v>
      </c>
      <c r="B1683" s="1" t="s">
        <v>22</v>
      </c>
      <c r="C1683" s="1">
        <v>4</v>
      </c>
      <c r="D1683" s="1">
        <v>124.6</v>
      </c>
      <c r="E1683" s="11">
        <v>498.4</v>
      </c>
      <c r="F1683" s="3">
        <v>45720</v>
      </c>
      <c r="G1683" s="3">
        <v>45722</v>
      </c>
      <c r="H1683" s="1" t="s">
        <v>27</v>
      </c>
      <c r="I1683" s="1" t="s">
        <v>18</v>
      </c>
      <c r="J1683" s="1">
        <v>3</v>
      </c>
      <c r="K1683" s="1" t="s">
        <v>19</v>
      </c>
      <c r="L1683" s="1" t="s">
        <v>147</v>
      </c>
      <c r="M1683" s="1">
        <f>orders[[#This Row],[Ship Date]]-orders[[#This Row],[Order Date]]</f>
        <v>2</v>
      </c>
      <c r="N1683" s="1">
        <f>WEEKNUM(orders[[#This Row],[Order Date]])</f>
        <v>10</v>
      </c>
      <c r="O1683" s="1" t="str" cm="1">
        <f t="array" ref="O1683">_xlfn.IFS(orders[[#This Row],[Customer Gender]]="M","Male", orders[[#This Row],[Customer Gender]]="F","Female", orders[[#This Row],[Customer Gender]]="O","Other", TRUE,"Unknown")</f>
        <v>Female</v>
      </c>
    </row>
    <row r="1684" spans="1:15">
      <c r="A1684" s="1" t="s">
        <v>1783</v>
      </c>
      <c r="B1684" s="1" t="s">
        <v>22</v>
      </c>
      <c r="C1684" s="1">
        <v>7</v>
      </c>
      <c r="D1684" s="1">
        <v>39.9</v>
      </c>
      <c r="E1684" s="11">
        <v>279.3</v>
      </c>
      <c r="F1684" s="3">
        <v>45720</v>
      </c>
      <c r="G1684" s="3">
        <v>45721</v>
      </c>
      <c r="H1684" s="1" t="s">
        <v>23</v>
      </c>
      <c r="I1684" s="1" t="s">
        <v>40</v>
      </c>
      <c r="J1684" s="1">
        <v>3</v>
      </c>
      <c r="K1684" s="1" t="s">
        <v>19</v>
      </c>
      <c r="L1684" s="1" t="s">
        <v>33</v>
      </c>
      <c r="M1684" s="1">
        <f>orders[[#This Row],[Ship Date]]-orders[[#This Row],[Order Date]]</f>
        <v>1</v>
      </c>
      <c r="N1684" s="1">
        <f>WEEKNUM(orders[[#This Row],[Order Date]])</f>
        <v>10</v>
      </c>
      <c r="O1684" s="1" t="str" cm="1">
        <f t="array" ref="O1684">_xlfn.IFS(orders[[#This Row],[Customer Gender]]="M","Male", orders[[#This Row],[Customer Gender]]="F","Female", orders[[#This Row],[Customer Gender]]="O","Other", TRUE,"Unknown")</f>
        <v>Male</v>
      </c>
    </row>
    <row r="1685" spans="1:15">
      <c r="A1685" s="1" t="s">
        <v>1784</v>
      </c>
      <c r="B1685" s="1" t="s">
        <v>39</v>
      </c>
      <c r="C1685" s="1">
        <v>1</v>
      </c>
      <c r="D1685" s="1">
        <v>94.6</v>
      </c>
      <c r="E1685" s="11">
        <v>94.6</v>
      </c>
      <c r="F1685" s="3">
        <v>45720</v>
      </c>
      <c r="G1685" s="3">
        <v>45734</v>
      </c>
      <c r="H1685" s="1" t="s">
        <v>27</v>
      </c>
      <c r="I1685" s="1" t="s">
        <v>18</v>
      </c>
      <c r="J1685" s="1">
        <v>3</v>
      </c>
      <c r="K1685" s="1" t="s">
        <v>19</v>
      </c>
      <c r="L1685" s="1" t="s">
        <v>33</v>
      </c>
      <c r="M1685" s="1">
        <f>orders[[#This Row],[Ship Date]]-orders[[#This Row],[Order Date]]</f>
        <v>14</v>
      </c>
      <c r="N1685" s="1">
        <f>WEEKNUM(orders[[#This Row],[Order Date]])</f>
        <v>10</v>
      </c>
      <c r="O1685" s="1" t="str" cm="1">
        <f t="array" ref="O1685">_xlfn.IFS(orders[[#This Row],[Customer Gender]]="M","Male", orders[[#This Row],[Customer Gender]]="F","Female", orders[[#This Row],[Customer Gender]]="O","Other", TRUE,"Unknown")</f>
        <v>Female</v>
      </c>
    </row>
    <row r="1686" spans="1:15">
      <c r="A1686" s="1" t="s">
        <v>1785</v>
      </c>
      <c r="B1686" s="1" t="s">
        <v>26</v>
      </c>
      <c r="C1686" s="1">
        <v>2</v>
      </c>
      <c r="D1686" s="1">
        <v>149.6</v>
      </c>
      <c r="E1686" s="11">
        <v>299.2</v>
      </c>
      <c r="F1686" s="3">
        <v>45720</v>
      </c>
      <c r="G1686" s="3">
        <v>45721</v>
      </c>
      <c r="H1686" s="1" t="s">
        <v>27</v>
      </c>
      <c r="I1686" s="1" t="s">
        <v>18</v>
      </c>
      <c r="J1686" s="1">
        <v>4</v>
      </c>
      <c r="K1686" s="1" t="s">
        <v>19</v>
      </c>
      <c r="L1686" s="1" t="s">
        <v>33</v>
      </c>
      <c r="M1686" s="1">
        <f>orders[[#This Row],[Ship Date]]-orders[[#This Row],[Order Date]]</f>
        <v>1</v>
      </c>
      <c r="N1686" s="1">
        <f>WEEKNUM(orders[[#This Row],[Order Date]])</f>
        <v>10</v>
      </c>
      <c r="O1686" s="1" t="str" cm="1">
        <f t="array" ref="O1686">_xlfn.IFS(orders[[#This Row],[Customer Gender]]="M","Male", orders[[#This Row],[Customer Gender]]="F","Female", orders[[#This Row],[Customer Gender]]="O","Other", TRUE,"Unknown")</f>
        <v>Female</v>
      </c>
    </row>
    <row r="1687" spans="1:15">
      <c r="A1687" s="1" t="s">
        <v>1786</v>
      </c>
      <c r="B1687" s="1" t="s">
        <v>44</v>
      </c>
      <c r="C1687" s="1">
        <v>1</v>
      </c>
      <c r="D1687" s="1">
        <v>52.2</v>
      </c>
      <c r="E1687" s="11">
        <v>52.2</v>
      </c>
      <c r="F1687" s="3">
        <v>45720</v>
      </c>
      <c r="G1687" s="3">
        <v>45721</v>
      </c>
      <c r="H1687" s="1" t="s">
        <v>17</v>
      </c>
      <c r="I1687" s="1" t="s">
        <v>35</v>
      </c>
      <c r="J1687" s="1">
        <v>4</v>
      </c>
      <c r="K1687" s="1" t="s">
        <v>19</v>
      </c>
      <c r="L1687" s="1" t="s">
        <v>33</v>
      </c>
      <c r="M1687" s="1">
        <f>orders[[#This Row],[Ship Date]]-orders[[#This Row],[Order Date]]</f>
        <v>1</v>
      </c>
      <c r="N1687" s="1">
        <f>WEEKNUM(orders[[#This Row],[Order Date]])</f>
        <v>10</v>
      </c>
      <c r="O1687" s="1" t="str" cm="1">
        <f t="array" ref="O1687">_xlfn.IFS(orders[[#This Row],[Customer Gender]]="M","Male", orders[[#This Row],[Customer Gender]]="F","Female", orders[[#This Row],[Customer Gender]]="O","Other", TRUE,"Unknown")</f>
        <v>Unknown</v>
      </c>
    </row>
    <row r="1688" spans="1:15">
      <c r="A1688" s="1" t="s">
        <v>1787</v>
      </c>
      <c r="B1688" s="1" t="s">
        <v>39</v>
      </c>
      <c r="C1688" s="1">
        <v>2</v>
      </c>
      <c r="D1688" s="1">
        <v>96.5</v>
      </c>
      <c r="E1688" s="11">
        <v>193</v>
      </c>
      <c r="F1688" s="3">
        <v>45720</v>
      </c>
      <c r="G1688" s="3">
        <v>45721</v>
      </c>
      <c r="H1688" s="1" t="s">
        <v>27</v>
      </c>
      <c r="I1688" s="1" t="s">
        <v>35</v>
      </c>
      <c r="J1688" s="1">
        <v>3</v>
      </c>
      <c r="K1688" s="1" t="s">
        <v>19</v>
      </c>
      <c r="L1688" s="1" t="s">
        <v>33</v>
      </c>
      <c r="M1688" s="1">
        <f>orders[[#This Row],[Ship Date]]-orders[[#This Row],[Order Date]]</f>
        <v>1</v>
      </c>
      <c r="N1688" s="1">
        <f>WEEKNUM(orders[[#This Row],[Order Date]])</f>
        <v>10</v>
      </c>
      <c r="O1688" s="1" t="str" cm="1">
        <f t="array" ref="O1688">_xlfn.IFS(orders[[#This Row],[Customer Gender]]="M","Male", orders[[#This Row],[Customer Gender]]="F","Female", orders[[#This Row],[Customer Gender]]="O","Other", TRUE,"Unknown")</f>
        <v>Female</v>
      </c>
    </row>
    <row r="1689" spans="1:15">
      <c r="A1689" s="1" t="s">
        <v>1788</v>
      </c>
      <c r="B1689" s="1" t="s">
        <v>44</v>
      </c>
      <c r="C1689" s="1">
        <v>2</v>
      </c>
      <c r="D1689" s="1">
        <v>79.8</v>
      </c>
      <c r="E1689" s="11">
        <v>159.6</v>
      </c>
      <c r="F1689" s="3">
        <v>45720</v>
      </c>
      <c r="G1689" s="3">
        <v>45722</v>
      </c>
      <c r="H1689" s="1" t="s">
        <v>27</v>
      </c>
      <c r="I1689" s="1" t="s">
        <v>18</v>
      </c>
      <c r="J1689" s="1">
        <v>3</v>
      </c>
      <c r="K1689" s="1" t="s">
        <v>19</v>
      </c>
      <c r="L1689" s="1" t="s">
        <v>33</v>
      </c>
      <c r="M1689" s="1">
        <f>orders[[#This Row],[Ship Date]]-orders[[#This Row],[Order Date]]</f>
        <v>2</v>
      </c>
      <c r="N1689" s="1">
        <f>WEEKNUM(orders[[#This Row],[Order Date]])</f>
        <v>10</v>
      </c>
      <c r="O1689" s="1" t="str" cm="1">
        <f t="array" ref="O1689">_xlfn.IFS(orders[[#This Row],[Customer Gender]]="M","Male", orders[[#This Row],[Customer Gender]]="F","Female", orders[[#This Row],[Customer Gender]]="O","Other", TRUE,"Unknown")</f>
        <v>Female</v>
      </c>
    </row>
    <row r="1690" spans="1:15">
      <c r="A1690" s="1" t="s">
        <v>1789</v>
      </c>
      <c r="B1690" s="1" t="s">
        <v>44</v>
      </c>
      <c r="C1690" s="1">
        <v>3</v>
      </c>
      <c r="D1690" s="1">
        <v>35.6</v>
      </c>
      <c r="E1690" s="11">
        <v>106.80000000000001</v>
      </c>
      <c r="F1690" s="3">
        <v>45720</v>
      </c>
      <c r="G1690" s="3">
        <v>45721</v>
      </c>
      <c r="H1690" s="1" t="s">
        <v>27</v>
      </c>
      <c r="I1690" s="1" t="s">
        <v>40</v>
      </c>
      <c r="J1690" s="1">
        <v>4</v>
      </c>
      <c r="K1690" s="1" t="s">
        <v>19</v>
      </c>
      <c r="L1690" s="1" t="s">
        <v>33</v>
      </c>
      <c r="M1690" s="1">
        <f>orders[[#This Row],[Ship Date]]-orders[[#This Row],[Order Date]]</f>
        <v>1</v>
      </c>
      <c r="N1690" s="1">
        <f>WEEKNUM(orders[[#This Row],[Order Date]])</f>
        <v>10</v>
      </c>
      <c r="O1690" s="1" t="str" cm="1">
        <f t="array" ref="O1690">_xlfn.IFS(orders[[#This Row],[Customer Gender]]="M","Male", orders[[#This Row],[Customer Gender]]="F","Female", orders[[#This Row],[Customer Gender]]="O","Other", TRUE,"Unknown")</f>
        <v>Female</v>
      </c>
    </row>
    <row r="1691" spans="1:15">
      <c r="A1691" s="1" t="s">
        <v>1790</v>
      </c>
      <c r="B1691" s="1" t="s">
        <v>128</v>
      </c>
      <c r="C1691" s="1">
        <v>1</v>
      </c>
      <c r="D1691" s="1">
        <v>50.2</v>
      </c>
      <c r="E1691" s="11">
        <v>50.2</v>
      </c>
      <c r="F1691" s="3">
        <v>45720</v>
      </c>
      <c r="G1691" s="3">
        <v>45721</v>
      </c>
      <c r="H1691" s="1" t="s">
        <v>27</v>
      </c>
      <c r="I1691" s="1" t="s">
        <v>35</v>
      </c>
      <c r="J1691" s="1">
        <v>5</v>
      </c>
      <c r="K1691" s="1" t="s">
        <v>19</v>
      </c>
      <c r="L1691" s="1" t="s">
        <v>33</v>
      </c>
      <c r="M1691" s="1">
        <f>orders[[#This Row],[Ship Date]]-orders[[#This Row],[Order Date]]</f>
        <v>1</v>
      </c>
      <c r="N1691" s="1">
        <f>WEEKNUM(orders[[#This Row],[Order Date]])</f>
        <v>10</v>
      </c>
      <c r="O1691" s="1" t="str" cm="1">
        <f t="array" ref="O1691">_xlfn.IFS(orders[[#This Row],[Customer Gender]]="M","Male", orders[[#This Row],[Customer Gender]]="F","Female", orders[[#This Row],[Customer Gender]]="O","Other", TRUE,"Unknown")</f>
        <v>Female</v>
      </c>
    </row>
    <row r="1692" spans="1:15">
      <c r="A1692" s="1" t="s">
        <v>1791</v>
      </c>
      <c r="B1692" s="1" t="s">
        <v>22</v>
      </c>
      <c r="C1692" s="1">
        <v>3</v>
      </c>
      <c r="D1692" s="1">
        <v>55.3</v>
      </c>
      <c r="E1692" s="11">
        <v>165.89999999999998</v>
      </c>
      <c r="F1692" s="3">
        <v>45720</v>
      </c>
      <c r="G1692" s="3">
        <v>45723</v>
      </c>
      <c r="H1692" s="1" t="s">
        <v>27</v>
      </c>
      <c r="I1692" s="1" t="s">
        <v>18</v>
      </c>
      <c r="J1692" s="1">
        <v>2</v>
      </c>
      <c r="K1692" s="1" t="s">
        <v>19</v>
      </c>
      <c r="L1692" s="1" t="s">
        <v>416</v>
      </c>
      <c r="M1692" s="1">
        <f>orders[[#This Row],[Ship Date]]-orders[[#This Row],[Order Date]]</f>
        <v>3</v>
      </c>
      <c r="N1692" s="1">
        <f>WEEKNUM(orders[[#This Row],[Order Date]])</f>
        <v>10</v>
      </c>
      <c r="O1692" s="1" t="str" cm="1">
        <f t="array" ref="O1692">_xlfn.IFS(orders[[#This Row],[Customer Gender]]="M","Male", orders[[#This Row],[Customer Gender]]="F","Female", orders[[#This Row],[Customer Gender]]="O","Other", TRUE,"Unknown")</f>
        <v>Female</v>
      </c>
    </row>
    <row r="1693" spans="1:15">
      <c r="A1693" s="1" t="s">
        <v>1792</v>
      </c>
      <c r="B1693" s="1" t="s">
        <v>39</v>
      </c>
      <c r="C1693" s="1">
        <v>7</v>
      </c>
      <c r="D1693" s="1">
        <v>104.5</v>
      </c>
      <c r="E1693" s="11">
        <v>731.5</v>
      </c>
      <c r="F1693" s="3">
        <v>45720</v>
      </c>
      <c r="G1693" s="3">
        <v>45724</v>
      </c>
      <c r="H1693" s="1" t="s">
        <v>27</v>
      </c>
      <c r="I1693" s="1" t="s">
        <v>35</v>
      </c>
      <c r="J1693" s="1">
        <v>4</v>
      </c>
      <c r="K1693" s="1" t="s">
        <v>19</v>
      </c>
      <c r="L1693" s="1" t="s">
        <v>59</v>
      </c>
      <c r="M1693" s="1">
        <f>orders[[#This Row],[Ship Date]]-orders[[#This Row],[Order Date]]</f>
        <v>4</v>
      </c>
      <c r="N1693" s="1">
        <f>WEEKNUM(orders[[#This Row],[Order Date]])</f>
        <v>10</v>
      </c>
      <c r="O1693" s="1" t="str" cm="1">
        <f t="array" ref="O1693">_xlfn.IFS(orders[[#This Row],[Customer Gender]]="M","Male", orders[[#This Row],[Customer Gender]]="F","Female", orders[[#This Row],[Customer Gender]]="O","Other", TRUE,"Unknown")</f>
        <v>Female</v>
      </c>
    </row>
    <row r="1694" spans="1:15">
      <c r="A1694" s="1" t="s">
        <v>1793</v>
      </c>
      <c r="B1694" s="1" t="s">
        <v>39</v>
      </c>
      <c r="C1694" s="1">
        <v>4</v>
      </c>
      <c r="D1694" s="1">
        <v>66.5</v>
      </c>
      <c r="E1694" s="11">
        <v>266</v>
      </c>
      <c r="F1694" s="3">
        <v>45720</v>
      </c>
      <c r="G1694" s="3">
        <v>45722</v>
      </c>
      <c r="H1694" s="1" t="s">
        <v>23</v>
      </c>
      <c r="I1694" s="1" t="s">
        <v>35</v>
      </c>
      <c r="J1694" s="1">
        <v>4</v>
      </c>
      <c r="K1694" s="1" t="s">
        <v>19</v>
      </c>
      <c r="L1694" s="1" t="s">
        <v>59</v>
      </c>
      <c r="M1694" s="1">
        <f>orders[[#This Row],[Ship Date]]-orders[[#This Row],[Order Date]]</f>
        <v>2</v>
      </c>
      <c r="N1694" s="1">
        <f>WEEKNUM(orders[[#This Row],[Order Date]])</f>
        <v>10</v>
      </c>
      <c r="O1694" s="1" t="str" cm="1">
        <f t="array" ref="O1694">_xlfn.IFS(orders[[#This Row],[Customer Gender]]="M","Male", orders[[#This Row],[Customer Gender]]="F","Female", orders[[#This Row],[Customer Gender]]="O","Other", TRUE,"Unknown")</f>
        <v>Male</v>
      </c>
    </row>
    <row r="1695" spans="1:15">
      <c r="A1695" s="1" t="s">
        <v>1794</v>
      </c>
      <c r="B1695" s="1" t="s">
        <v>54</v>
      </c>
      <c r="C1695" s="1">
        <v>8</v>
      </c>
      <c r="D1695" s="1">
        <v>38.299999999999997</v>
      </c>
      <c r="E1695" s="11">
        <v>306.39999999999998</v>
      </c>
      <c r="F1695" s="3">
        <v>45720</v>
      </c>
      <c r="G1695" s="3">
        <v>45721</v>
      </c>
      <c r="H1695" s="1" t="s">
        <v>27</v>
      </c>
      <c r="I1695" s="1" t="s">
        <v>18</v>
      </c>
      <c r="J1695" s="1">
        <v>4</v>
      </c>
      <c r="K1695" s="1" t="s">
        <v>19</v>
      </c>
      <c r="L1695" s="1" t="s">
        <v>59</v>
      </c>
      <c r="M1695" s="1">
        <f>orders[[#This Row],[Ship Date]]-orders[[#This Row],[Order Date]]</f>
        <v>1</v>
      </c>
      <c r="N1695" s="1">
        <f>WEEKNUM(orders[[#This Row],[Order Date]])</f>
        <v>10</v>
      </c>
      <c r="O1695" s="1" t="str" cm="1">
        <f t="array" ref="O1695">_xlfn.IFS(orders[[#This Row],[Customer Gender]]="M","Male", orders[[#This Row],[Customer Gender]]="F","Female", orders[[#This Row],[Customer Gender]]="O","Other", TRUE,"Unknown")</f>
        <v>Female</v>
      </c>
    </row>
    <row r="1696" spans="1:15">
      <c r="A1696" s="1" t="s">
        <v>1795</v>
      </c>
      <c r="B1696" s="1" t="s">
        <v>39</v>
      </c>
      <c r="C1696" s="1">
        <v>3</v>
      </c>
      <c r="D1696" s="1">
        <v>63.8</v>
      </c>
      <c r="E1696" s="11">
        <v>191.39999999999998</v>
      </c>
      <c r="F1696" s="3">
        <v>45720</v>
      </c>
      <c r="G1696" s="3">
        <v>45723</v>
      </c>
      <c r="H1696" s="1" t="s">
        <v>27</v>
      </c>
      <c r="I1696" s="1" t="s">
        <v>35</v>
      </c>
      <c r="J1696" s="1">
        <v>4</v>
      </c>
      <c r="K1696" s="1" t="s">
        <v>19</v>
      </c>
      <c r="L1696" s="1" t="s">
        <v>62</v>
      </c>
      <c r="M1696" s="1">
        <f>orders[[#This Row],[Ship Date]]-orders[[#This Row],[Order Date]]</f>
        <v>3</v>
      </c>
      <c r="N1696" s="1">
        <f>WEEKNUM(orders[[#This Row],[Order Date]])</f>
        <v>10</v>
      </c>
      <c r="O1696" s="1" t="str" cm="1">
        <f t="array" ref="O1696">_xlfn.IFS(orders[[#This Row],[Customer Gender]]="M","Male", orders[[#This Row],[Customer Gender]]="F","Female", orders[[#This Row],[Customer Gender]]="O","Other", TRUE,"Unknown")</f>
        <v>Female</v>
      </c>
    </row>
    <row r="1697" spans="1:15">
      <c r="A1697" s="1" t="s">
        <v>1796</v>
      </c>
      <c r="B1697" s="1" t="s">
        <v>123</v>
      </c>
      <c r="C1697" s="1">
        <v>1</v>
      </c>
      <c r="D1697" s="1">
        <v>21.4</v>
      </c>
      <c r="E1697" s="11">
        <v>21.4</v>
      </c>
      <c r="F1697" s="3">
        <v>45720</v>
      </c>
      <c r="G1697" s="3">
        <v>45720</v>
      </c>
      <c r="H1697" s="1" t="s">
        <v>23</v>
      </c>
      <c r="I1697" s="1" t="s">
        <v>70</v>
      </c>
      <c r="J1697" s="1">
        <v>4</v>
      </c>
      <c r="K1697" s="1" t="s">
        <v>19</v>
      </c>
      <c r="L1697" s="1" t="s">
        <v>62</v>
      </c>
      <c r="M1697" s="1">
        <f>orders[[#This Row],[Ship Date]]-orders[[#This Row],[Order Date]]</f>
        <v>0</v>
      </c>
      <c r="N1697" s="1">
        <f>WEEKNUM(orders[[#This Row],[Order Date]])</f>
        <v>10</v>
      </c>
      <c r="O1697" s="1" t="str" cm="1">
        <f t="array" ref="O1697">_xlfn.IFS(orders[[#This Row],[Customer Gender]]="M","Male", orders[[#This Row],[Customer Gender]]="F","Female", orders[[#This Row],[Customer Gender]]="O","Other", TRUE,"Unknown")</f>
        <v>Male</v>
      </c>
    </row>
    <row r="1698" spans="1:15">
      <c r="A1698" s="1" t="s">
        <v>1797</v>
      </c>
      <c r="B1698" s="1" t="s">
        <v>44</v>
      </c>
      <c r="C1698" s="1">
        <v>4</v>
      </c>
      <c r="D1698" s="1">
        <v>44.1</v>
      </c>
      <c r="E1698" s="11">
        <v>176.4</v>
      </c>
      <c r="F1698" s="3">
        <v>45720</v>
      </c>
      <c r="G1698" s="3">
        <v>45722</v>
      </c>
      <c r="H1698" s="1" t="s">
        <v>27</v>
      </c>
      <c r="I1698" s="1" t="s">
        <v>40</v>
      </c>
      <c r="J1698" s="1">
        <v>4</v>
      </c>
      <c r="K1698" s="1" t="s">
        <v>19</v>
      </c>
      <c r="L1698" s="1" t="s">
        <v>62</v>
      </c>
      <c r="M1698" s="1">
        <f>orders[[#This Row],[Ship Date]]-orders[[#This Row],[Order Date]]</f>
        <v>2</v>
      </c>
      <c r="N1698" s="1">
        <f>WEEKNUM(orders[[#This Row],[Order Date]])</f>
        <v>10</v>
      </c>
      <c r="O1698" s="1" t="str" cm="1">
        <f t="array" ref="O1698">_xlfn.IFS(orders[[#This Row],[Customer Gender]]="M","Male", orders[[#This Row],[Customer Gender]]="F","Female", orders[[#This Row],[Customer Gender]]="O","Other", TRUE,"Unknown")</f>
        <v>Female</v>
      </c>
    </row>
    <row r="1699" spans="1:15">
      <c r="A1699" s="1" t="s">
        <v>1798</v>
      </c>
      <c r="B1699" s="1" t="s">
        <v>37</v>
      </c>
      <c r="C1699" s="1">
        <v>8</v>
      </c>
      <c r="D1699" s="1">
        <v>57.6</v>
      </c>
      <c r="E1699" s="11">
        <v>460.8</v>
      </c>
      <c r="F1699" s="3">
        <v>45720</v>
      </c>
      <c r="G1699" s="3">
        <v>45722</v>
      </c>
      <c r="H1699" s="1" t="s">
        <v>23</v>
      </c>
      <c r="I1699" s="1" t="s">
        <v>35</v>
      </c>
      <c r="J1699" s="1">
        <v>5</v>
      </c>
      <c r="K1699" s="1" t="s">
        <v>19</v>
      </c>
      <c r="L1699" s="1" t="s">
        <v>62</v>
      </c>
      <c r="M1699" s="1">
        <f>orders[[#This Row],[Ship Date]]-orders[[#This Row],[Order Date]]</f>
        <v>2</v>
      </c>
      <c r="N1699" s="1">
        <f>WEEKNUM(orders[[#This Row],[Order Date]])</f>
        <v>10</v>
      </c>
      <c r="O1699" s="1" t="str" cm="1">
        <f t="array" ref="O1699">_xlfn.IFS(orders[[#This Row],[Customer Gender]]="M","Male", orders[[#This Row],[Customer Gender]]="F","Female", orders[[#This Row],[Customer Gender]]="O","Other", TRUE,"Unknown")</f>
        <v>Male</v>
      </c>
    </row>
    <row r="1700" spans="1:15">
      <c r="A1700" s="1" t="s">
        <v>1799</v>
      </c>
      <c r="B1700" s="1" t="s">
        <v>46</v>
      </c>
      <c r="C1700" s="1">
        <v>2</v>
      </c>
      <c r="D1700" s="1">
        <v>20.3</v>
      </c>
      <c r="E1700" s="11">
        <v>40.6</v>
      </c>
      <c r="F1700" s="3">
        <v>45720</v>
      </c>
      <c r="G1700" s="3">
        <v>45726</v>
      </c>
      <c r="H1700" s="1" t="s">
        <v>27</v>
      </c>
      <c r="I1700" s="1" t="s">
        <v>51</v>
      </c>
      <c r="J1700" s="1">
        <v>4</v>
      </c>
      <c r="K1700" s="1" t="s">
        <v>19</v>
      </c>
      <c r="L1700" s="1" t="s">
        <v>62</v>
      </c>
      <c r="M1700" s="1">
        <f>orders[[#This Row],[Ship Date]]-orders[[#This Row],[Order Date]]</f>
        <v>6</v>
      </c>
      <c r="N1700" s="1">
        <f>WEEKNUM(orders[[#This Row],[Order Date]])</f>
        <v>10</v>
      </c>
      <c r="O1700" s="1" t="str" cm="1">
        <f t="array" ref="O1700">_xlfn.IFS(orders[[#This Row],[Customer Gender]]="M","Male", orders[[#This Row],[Customer Gender]]="F","Female", orders[[#This Row],[Customer Gender]]="O","Other", TRUE,"Unknown")</f>
        <v>Female</v>
      </c>
    </row>
    <row r="1701" spans="1:15">
      <c r="A1701" s="1" t="s">
        <v>1800</v>
      </c>
      <c r="B1701" s="1" t="s">
        <v>44</v>
      </c>
      <c r="C1701" s="1">
        <v>1</v>
      </c>
      <c r="D1701" s="1">
        <v>22.9</v>
      </c>
      <c r="E1701" s="11">
        <v>22.9</v>
      </c>
      <c r="F1701" s="3">
        <v>45720</v>
      </c>
      <c r="G1701" s="3">
        <v>45722</v>
      </c>
      <c r="H1701" s="1" t="s">
        <v>27</v>
      </c>
      <c r="I1701" s="1" t="s">
        <v>40</v>
      </c>
      <c r="J1701" s="1">
        <v>5</v>
      </c>
      <c r="K1701" s="1" t="s">
        <v>19</v>
      </c>
      <c r="L1701" s="1" t="s">
        <v>62</v>
      </c>
      <c r="M1701" s="1">
        <f>orders[[#This Row],[Ship Date]]-orders[[#This Row],[Order Date]]</f>
        <v>2</v>
      </c>
      <c r="N1701" s="1">
        <f>WEEKNUM(orders[[#This Row],[Order Date]])</f>
        <v>10</v>
      </c>
      <c r="O1701" s="1" t="str" cm="1">
        <f t="array" ref="O1701">_xlfn.IFS(orders[[#This Row],[Customer Gender]]="M","Male", orders[[#This Row],[Customer Gender]]="F","Female", orders[[#This Row],[Customer Gender]]="O","Other", TRUE,"Unknown")</f>
        <v>Female</v>
      </c>
    </row>
    <row r="1702" spans="1:15">
      <c r="A1702" s="1" t="s">
        <v>1801</v>
      </c>
      <c r="B1702" s="1" t="s">
        <v>39</v>
      </c>
      <c r="C1702" s="1">
        <v>4</v>
      </c>
      <c r="D1702" s="1">
        <v>105.9</v>
      </c>
      <c r="E1702" s="11">
        <v>423.6</v>
      </c>
      <c r="F1702" s="3">
        <v>45720</v>
      </c>
      <c r="G1702" s="3">
        <v>45721</v>
      </c>
      <c r="H1702" s="1" t="s">
        <v>27</v>
      </c>
      <c r="I1702" s="1" t="s">
        <v>35</v>
      </c>
      <c r="J1702" s="1">
        <v>5</v>
      </c>
      <c r="K1702" s="1" t="s">
        <v>19</v>
      </c>
      <c r="L1702" s="1" t="s">
        <v>103</v>
      </c>
      <c r="M1702" s="1">
        <f>orders[[#This Row],[Ship Date]]-orders[[#This Row],[Order Date]]</f>
        <v>1</v>
      </c>
      <c r="N1702" s="1">
        <f>WEEKNUM(orders[[#This Row],[Order Date]])</f>
        <v>10</v>
      </c>
      <c r="O1702" s="1" t="str" cm="1">
        <f t="array" ref="O1702">_xlfn.IFS(orders[[#This Row],[Customer Gender]]="M","Male", orders[[#This Row],[Customer Gender]]="F","Female", orders[[#This Row],[Customer Gender]]="O","Other", TRUE,"Unknown")</f>
        <v>Female</v>
      </c>
    </row>
    <row r="1703" spans="1:15">
      <c r="A1703" s="1" t="s">
        <v>1802</v>
      </c>
      <c r="B1703" s="1" t="s">
        <v>22</v>
      </c>
      <c r="C1703" s="1">
        <v>9</v>
      </c>
      <c r="D1703" s="1">
        <v>37.4</v>
      </c>
      <c r="E1703" s="11">
        <v>336.59999999999997</v>
      </c>
      <c r="F1703" s="3">
        <v>45720</v>
      </c>
      <c r="G1703" s="3">
        <v>45724</v>
      </c>
      <c r="H1703" s="1" t="s">
        <v>23</v>
      </c>
      <c r="I1703" s="1" t="s">
        <v>35</v>
      </c>
      <c r="J1703" s="1">
        <v>4</v>
      </c>
      <c r="K1703" s="1" t="s">
        <v>19</v>
      </c>
      <c r="L1703" s="1" t="s">
        <v>77</v>
      </c>
      <c r="M1703" s="1">
        <f>orders[[#This Row],[Ship Date]]-orders[[#This Row],[Order Date]]</f>
        <v>4</v>
      </c>
      <c r="N1703" s="1">
        <f>WEEKNUM(orders[[#This Row],[Order Date]])</f>
        <v>10</v>
      </c>
      <c r="O1703" s="1" t="str" cm="1">
        <f t="array" ref="O1703">_xlfn.IFS(orders[[#This Row],[Customer Gender]]="M","Male", orders[[#This Row],[Customer Gender]]="F","Female", orders[[#This Row],[Customer Gender]]="O","Other", TRUE,"Unknown")</f>
        <v>Male</v>
      </c>
    </row>
    <row r="1704" spans="1:15">
      <c r="A1704" s="1" t="s">
        <v>1803</v>
      </c>
      <c r="B1704" s="1" t="s">
        <v>146</v>
      </c>
      <c r="C1704" s="1">
        <v>2</v>
      </c>
      <c r="D1704" s="1">
        <v>79</v>
      </c>
      <c r="E1704" s="11">
        <v>158</v>
      </c>
      <c r="F1704" s="3">
        <v>45720</v>
      </c>
      <c r="G1704" s="3">
        <v>45721</v>
      </c>
      <c r="H1704" s="1" t="s">
        <v>23</v>
      </c>
      <c r="I1704" s="1" t="s">
        <v>40</v>
      </c>
      <c r="J1704" s="1">
        <v>4</v>
      </c>
      <c r="K1704" s="1" t="s">
        <v>19</v>
      </c>
      <c r="L1704" s="1" t="s">
        <v>243</v>
      </c>
      <c r="M1704" s="1">
        <f>orders[[#This Row],[Ship Date]]-orders[[#This Row],[Order Date]]</f>
        <v>1</v>
      </c>
      <c r="N1704" s="1">
        <f>WEEKNUM(orders[[#This Row],[Order Date]])</f>
        <v>10</v>
      </c>
      <c r="O1704" s="1" t="str" cm="1">
        <f t="array" ref="O1704">_xlfn.IFS(orders[[#This Row],[Customer Gender]]="M","Male", orders[[#This Row],[Customer Gender]]="F","Female", orders[[#This Row],[Customer Gender]]="O","Other", TRUE,"Unknown")</f>
        <v>Male</v>
      </c>
    </row>
    <row r="1705" spans="1:15">
      <c r="A1705" s="1" t="s">
        <v>1804</v>
      </c>
      <c r="B1705" s="1" t="s">
        <v>16</v>
      </c>
      <c r="C1705" s="1">
        <v>3</v>
      </c>
      <c r="D1705" s="1">
        <v>19.3</v>
      </c>
      <c r="E1705" s="11">
        <v>57.900000000000006</v>
      </c>
      <c r="F1705" s="3">
        <v>45720</v>
      </c>
      <c r="G1705" s="3">
        <v>45721</v>
      </c>
      <c r="H1705" s="1" t="s">
        <v>27</v>
      </c>
      <c r="I1705" s="1" t="s">
        <v>70</v>
      </c>
      <c r="J1705" s="1">
        <v>4</v>
      </c>
      <c r="K1705" s="1" t="s">
        <v>19</v>
      </c>
      <c r="L1705" s="1" t="s">
        <v>115</v>
      </c>
      <c r="M1705" s="1">
        <f>orders[[#This Row],[Ship Date]]-orders[[#This Row],[Order Date]]</f>
        <v>1</v>
      </c>
      <c r="N1705" s="1">
        <f>WEEKNUM(orders[[#This Row],[Order Date]])</f>
        <v>10</v>
      </c>
      <c r="O1705" s="1" t="str" cm="1">
        <f t="array" ref="O1705">_xlfn.IFS(orders[[#This Row],[Customer Gender]]="M","Male", orders[[#This Row],[Customer Gender]]="F","Female", orders[[#This Row],[Customer Gender]]="O","Other", TRUE,"Unknown")</f>
        <v>Female</v>
      </c>
    </row>
    <row r="1706" spans="1:15">
      <c r="A1706" s="1" t="s">
        <v>1805</v>
      </c>
      <c r="B1706" s="1" t="s">
        <v>16</v>
      </c>
      <c r="C1706" s="1">
        <v>1</v>
      </c>
      <c r="D1706" s="1">
        <v>24</v>
      </c>
      <c r="E1706" s="11">
        <v>24</v>
      </c>
      <c r="F1706" s="3">
        <v>45720</v>
      </c>
      <c r="G1706" s="3">
        <v>45721</v>
      </c>
      <c r="H1706" s="1" t="s">
        <v>27</v>
      </c>
      <c r="I1706" s="1" t="s">
        <v>35</v>
      </c>
      <c r="J1706" s="1">
        <v>4</v>
      </c>
      <c r="K1706" s="1" t="s">
        <v>19</v>
      </c>
      <c r="L1706" s="1" t="s">
        <v>24</v>
      </c>
      <c r="M1706" s="1">
        <f>orders[[#This Row],[Ship Date]]-orders[[#This Row],[Order Date]]</f>
        <v>1</v>
      </c>
      <c r="N1706" s="1">
        <f>WEEKNUM(orders[[#This Row],[Order Date]])</f>
        <v>10</v>
      </c>
      <c r="O1706" s="1" t="str" cm="1">
        <f t="array" ref="O1706">_xlfn.IFS(orders[[#This Row],[Customer Gender]]="M","Male", orders[[#This Row],[Customer Gender]]="F","Female", orders[[#This Row],[Customer Gender]]="O","Other", TRUE,"Unknown")</f>
        <v>Female</v>
      </c>
    </row>
    <row r="1707" spans="1:15">
      <c r="A1707" s="1" t="s">
        <v>1806</v>
      </c>
      <c r="B1707" s="1" t="s">
        <v>39</v>
      </c>
      <c r="C1707" s="1">
        <v>5</v>
      </c>
      <c r="D1707" s="1">
        <v>71.3</v>
      </c>
      <c r="E1707" s="11">
        <v>356.5</v>
      </c>
      <c r="F1707" s="3">
        <v>45720</v>
      </c>
      <c r="G1707" s="3">
        <v>45723</v>
      </c>
      <c r="H1707" s="1" t="s">
        <v>27</v>
      </c>
      <c r="I1707" s="1" t="s">
        <v>40</v>
      </c>
      <c r="J1707" s="1">
        <v>4</v>
      </c>
      <c r="K1707" s="1" t="s">
        <v>19</v>
      </c>
      <c r="L1707" s="1" t="s">
        <v>28</v>
      </c>
      <c r="M1707" s="1">
        <f>orders[[#This Row],[Ship Date]]-orders[[#This Row],[Order Date]]</f>
        <v>3</v>
      </c>
      <c r="N1707" s="1">
        <f>WEEKNUM(orders[[#This Row],[Order Date]])</f>
        <v>10</v>
      </c>
      <c r="O1707" s="1" t="str" cm="1">
        <f t="array" ref="O1707">_xlfn.IFS(orders[[#This Row],[Customer Gender]]="M","Male", orders[[#This Row],[Customer Gender]]="F","Female", orders[[#This Row],[Customer Gender]]="O","Other", TRUE,"Unknown")</f>
        <v>Female</v>
      </c>
    </row>
    <row r="1708" spans="1:15">
      <c r="A1708" s="1" t="s">
        <v>1807</v>
      </c>
      <c r="B1708" s="1" t="s">
        <v>37</v>
      </c>
      <c r="C1708" s="1">
        <v>2</v>
      </c>
      <c r="D1708" s="1">
        <v>166.2</v>
      </c>
      <c r="E1708" s="11">
        <v>332.4</v>
      </c>
      <c r="F1708" s="3">
        <v>45720</v>
      </c>
      <c r="G1708" s="3">
        <v>45721</v>
      </c>
      <c r="H1708" s="1" t="s">
        <v>23</v>
      </c>
      <c r="I1708" s="1" t="s">
        <v>18</v>
      </c>
      <c r="J1708" s="1">
        <v>5</v>
      </c>
      <c r="K1708" s="1" t="s">
        <v>19</v>
      </c>
      <c r="L1708" s="1" t="s">
        <v>949</v>
      </c>
      <c r="M1708" s="1">
        <f>orders[[#This Row],[Ship Date]]-orders[[#This Row],[Order Date]]</f>
        <v>1</v>
      </c>
      <c r="N1708" s="1">
        <f>WEEKNUM(orders[[#This Row],[Order Date]])</f>
        <v>10</v>
      </c>
      <c r="O1708" s="1" t="str" cm="1">
        <f t="array" ref="O1708">_xlfn.IFS(orders[[#This Row],[Customer Gender]]="M","Male", orders[[#This Row],[Customer Gender]]="F","Female", orders[[#This Row],[Customer Gender]]="O","Other", TRUE,"Unknown")</f>
        <v>Male</v>
      </c>
    </row>
    <row r="1709" spans="1:15">
      <c r="A1709" s="1" t="s">
        <v>1808</v>
      </c>
      <c r="B1709" s="1" t="s">
        <v>39</v>
      </c>
      <c r="C1709" s="1">
        <v>1</v>
      </c>
      <c r="D1709" s="1">
        <v>81</v>
      </c>
      <c r="E1709" s="11">
        <v>81</v>
      </c>
      <c r="F1709" s="3">
        <v>45720</v>
      </c>
      <c r="G1709" s="3">
        <v>45721</v>
      </c>
      <c r="H1709" s="1" t="s">
        <v>27</v>
      </c>
      <c r="I1709" s="1" t="s">
        <v>40</v>
      </c>
      <c r="J1709" s="1">
        <v>3</v>
      </c>
      <c r="K1709" s="1" t="s">
        <v>19</v>
      </c>
      <c r="L1709" s="1" t="s">
        <v>33</v>
      </c>
      <c r="M1709" s="1">
        <f>orders[[#This Row],[Ship Date]]-orders[[#This Row],[Order Date]]</f>
        <v>1</v>
      </c>
      <c r="N1709" s="1">
        <f>WEEKNUM(orders[[#This Row],[Order Date]])</f>
        <v>10</v>
      </c>
      <c r="O1709" s="1" t="str" cm="1">
        <f t="array" ref="O1709">_xlfn.IFS(orders[[#This Row],[Customer Gender]]="M","Male", orders[[#This Row],[Customer Gender]]="F","Female", orders[[#This Row],[Customer Gender]]="O","Other", TRUE,"Unknown")</f>
        <v>Female</v>
      </c>
    </row>
    <row r="1710" spans="1:15">
      <c r="A1710" s="1" t="s">
        <v>1809</v>
      </c>
      <c r="B1710" s="1" t="s">
        <v>54</v>
      </c>
      <c r="C1710" s="1">
        <v>6</v>
      </c>
      <c r="D1710" s="1">
        <v>38.5</v>
      </c>
      <c r="E1710" s="11">
        <v>231</v>
      </c>
      <c r="F1710" s="3">
        <v>45720</v>
      </c>
      <c r="G1710" s="3">
        <v>45724</v>
      </c>
      <c r="H1710" s="1" t="s">
        <v>27</v>
      </c>
      <c r="I1710" s="1" t="s">
        <v>18</v>
      </c>
      <c r="J1710" s="1">
        <v>4</v>
      </c>
      <c r="K1710" s="1" t="s">
        <v>19</v>
      </c>
      <c r="L1710" s="1" t="s">
        <v>33</v>
      </c>
      <c r="M1710" s="1">
        <f>orders[[#This Row],[Ship Date]]-orders[[#This Row],[Order Date]]</f>
        <v>4</v>
      </c>
      <c r="N1710" s="1">
        <f>WEEKNUM(orders[[#This Row],[Order Date]])</f>
        <v>10</v>
      </c>
      <c r="O1710" s="1" t="str" cm="1">
        <f t="array" ref="O1710">_xlfn.IFS(orders[[#This Row],[Customer Gender]]="M","Male", orders[[#This Row],[Customer Gender]]="F","Female", orders[[#This Row],[Customer Gender]]="O","Other", TRUE,"Unknown")</f>
        <v>Female</v>
      </c>
    </row>
    <row r="1711" spans="1:15">
      <c r="A1711" s="1" t="s">
        <v>1810</v>
      </c>
      <c r="B1711" s="1" t="s">
        <v>39</v>
      </c>
      <c r="C1711" s="1">
        <v>1</v>
      </c>
      <c r="D1711" s="1">
        <v>86.1</v>
      </c>
      <c r="E1711" s="11">
        <v>86.1</v>
      </c>
      <c r="F1711" s="3">
        <v>45720</v>
      </c>
      <c r="G1711" s="3">
        <v>45722</v>
      </c>
      <c r="H1711" s="1" t="s">
        <v>27</v>
      </c>
      <c r="I1711" s="1" t="s">
        <v>51</v>
      </c>
      <c r="J1711" s="1">
        <v>4</v>
      </c>
      <c r="K1711" s="1" t="s">
        <v>19</v>
      </c>
      <c r="L1711" s="1" t="s">
        <v>33</v>
      </c>
      <c r="M1711" s="1">
        <f>orders[[#This Row],[Ship Date]]-orders[[#This Row],[Order Date]]</f>
        <v>2</v>
      </c>
      <c r="N1711" s="1">
        <f>WEEKNUM(orders[[#This Row],[Order Date]])</f>
        <v>10</v>
      </c>
      <c r="O1711" s="1" t="str" cm="1">
        <f t="array" ref="O1711">_xlfn.IFS(orders[[#This Row],[Customer Gender]]="M","Male", orders[[#This Row],[Customer Gender]]="F","Female", orders[[#This Row],[Customer Gender]]="O","Other", TRUE,"Unknown")</f>
        <v>Female</v>
      </c>
    </row>
    <row r="1712" spans="1:15">
      <c r="A1712" s="1" t="s">
        <v>1811</v>
      </c>
      <c r="B1712" s="1" t="s">
        <v>26</v>
      </c>
      <c r="C1712" s="1">
        <v>5</v>
      </c>
      <c r="D1712" s="1">
        <v>51</v>
      </c>
      <c r="E1712" s="11">
        <v>255</v>
      </c>
      <c r="F1712" s="3">
        <v>45720</v>
      </c>
      <c r="G1712" s="3">
        <v>45721</v>
      </c>
      <c r="H1712" s="1" t="s">
        <v>23</v>
      </c>
      <c r="I1712" s="1" t="s">
        <v>18</v>
      </c>
      <c r="J1712" s="1">
        <v>3</v>
      </c>
      <c r="K1712" s="1" t="s">
        <v>19</v>
      </c>
      <c r="L1712" s="1" t="s">
        <v>33</v>
      </c>
      <c r="M1712" s="1">
        <f>orders[[#This Row],[Ship Date]]-orders[[#This Row],[Order Date]]</f>
        <v>1</v>
      </c>
      <c r="N1712" s="1">
        <f>WEEKNUM(orders[[#This Row],[Order Date]])</f>
        <v>10</v>
      </c>
      <c r="O1712" s="1" t="str" cm="1">
        <f t="array" ref="O1712">_xlfn.IFS(orders[[#This Row],[Customer Gender]]="M","Male", orders[[#This Row],[Customer Gender]]="F","Female", orders[[#This Row],[Customer Gender]]="O","Other", TRUE,"Unknown")</f>
        <v>Male</v>
      </c>
    </row>
    <row r="1713" spans="1:15">
      <c r="A1713" s="1" t="s">
        <v>1812</v>
      </c>
      <c r="B1713" s="1" t="s">
        <v>30</v>
      </c>
      <c r="C1713" s="1">
        <v>5</v>
      </c>
      <c r="D1713" s="1">
        <v>115.4</v>
      </c>
      <c r="E1713" s="11">
        <v>577</v>
      </c>
      <c r="F1713" s="3">
        <v>45720</v>
      </c>
      <c r="G1713" s="3">
        <v>45721</v>
      </c>
      <c r="H1713" s="1" t="s">
        <v>23</v>
      </c>
      <c r="I1713" s="1" t="s">
        <v>18</v>
      </c>
      <c r="J1713" s="1">
        <v>4</v>
      </c>
      <c r="K1713" s="1" t="s">
        <v>19</v>
      </c>
      <c r="L1713" s="1" t="s">
        <v>33</v>
      </c>
      <c r="M1713" s="1">
        <f>orders[[#This Row],[Ship Date]]-orders[[#This Row],[Order Date]]</f>
        <v>1</v>
      </c>
      <c r="N1713" s="1">
        <f>WEEKNUM(orders[[#This Row],[Order Date]])</f>
        <v>10</v>
      </c>
      <c r="O1713" s="1" t="str" cm="1">
        <f t="array" ref="O1713">_xlfn.IFS(orders[[#This Row],[Customer Gender]]="M","Male", orders[[#This Row],[Customer Gender]]="F","Female", orders[[#This Row],[Customer Gender]]="O","Other", TRUE,"Unknown")</f>
        <v>Male</v>
      </c>
    </row>
    <row r="1714" spans="1:15">
      <c r="A1714" s="1" t="s">
        <v>1813</v>
      </c>
      <c r="B1714" s="1" t="s">
        <v>39</v>
      </c>
      <c r="C1714" s="1">
        <v>4</v>
      </c>
      <c r="D1714" s="1">
        <v>176.5</v>
      </c>
      <c r="E1714" s="11">
        <v>706</v>
      </c>
      <c r="F1714" s="3">
        <v>45720</v>
      </c>
      <c r="G1714" s="3">
        <v>45721</v>
      </c>
      <c r="H1714" s="1" t="s">
        <v>27</v>
      </c>
      <c r="I1714" s="1" t="s">
        <v>40</v>
      </c>
      <c r="J1714" s="1">
        <v>5</v>
      </c>
      <c r="K1714" s="1" t="s">
        <v>19</v>
      </c>
      <c r="L1714" s="1" t="s">
        <v>33</v>
      </c>
      <c r="M1714" s="1">
        <f>orders[[#This Row],[Ship Date]]-orders[[#This Row],[Order Date]]</f>
        <v>1</v>
      </c>
      <c r="N1714" s="1">
        <f>WEEKNUM(orders[[#This Row],[Order Date]])</f>
        <v>10</v>
      </c>
      <c r="O1714" s="1" t="str" cm="1">
        <f t="array" ref="O1714">_xlfn.IFS(orders[[#This Row],[Customer Gender]]="M","Male", orders[[#This Row],[Customer Gender]]="F","Female", orders[[#This Row],[Customer Gender]]="O","Other", TRUE,"Unknown")</f>
        <v>Female</v>
      </c>
    </row>
    <row r="1715" spans="1:15">
      <c r="A1715" s="1" t="s">
        <v>1814</v>
      </c>
      <c r="B1715" s="1" t="s">
        <v>42</v>
      </c>
      <c r="C1715" s="1">
        <v>3</v>
      </c>
      <c r="D1715" s="1">
        <v>48.9</v>
      </c>
      <c r="E1715" s="11">
        <v>146.69999999999999</v>
      </c>
      <c r="F1715" s="3">
        <v>45720</v>
      </c>
      <c r="G1715" s="3">
        <v>45721</v>
      </c>
      <c r="H1715" s="1" t="s">
        <v>23</v>
      </c>
      <c r="I1715" s="1" t="s">
        <v>70</v>
      </c>
      <c r="J1715" s="1">
        <v>4</v>
      </c>
      <c r="K1715" s="1" t="s">
        <v>19</v>
      </c>
      <c r="L1715" s="1" t="s">
        <v>33</v>
      </c>
      <c r="M1715" s="1">
        <f>orders[[#This Row],[Ship Date]]-orders[[#This Row],[Order Date]]</f>
        <v>1</v>
      </c>
      <c r="N1715" s="1">
        <f>WEEKNUM(orders[[#This Row],[Order Date]])</f>
        <v>10</v>
      </c>
      <c r="O1715" s="1" t="str" cm="1">
        <f t="array" ref="O1715">_xlfn.IFS(orders[[#This Row],[Customer Gender]]="M","Male", orders[[#This Row],[Customer Gender]]="F","Female", orders[[#This Row],[Customer Gender]]="O","Other", TRUE,"Unknown")</f>
        <v>Male</v>
      </c>
    </row>
    <row r="1716" spans="1:15">
      <c r="A1716" s="1" t="s">
        <v>1815</v>
      </c>
      <c r="B1716" s="1" t="s">
        <v>44</v>
      </c>
      <c r="C1716" s="1">
        <v>3</v>
      </c>
      <c r="D1716" s="1">
        <v>18.100000000000001</v>
      </c>
      <c r="E1716" s="11">
        <v>54.300000000000004</v>
      </c>
      <c r="F1716" s="3">
        <v>45720</v>
      </c>
      <c r="G1716" s="3">
        <v>45727</v>
      </c>
      <c r="H1716" s="1" t="s">
        <v>27</v>
      </c>
      <c r="I1716" s="1" t="s">
        <v>35</v>
      </c>
      <c r="J1716" s="1">
        <v>5</v>
      </c>
      <c r="K1716" s="1" t="s">
        <v>19</v>
      </c>
      <c r="L1716" s="1" t="s">
        <v>258</v>
      </c>
      <c r="M1716" s="1">
        <f>orders[[#This Row],[Ship Date]]-orders[[#This Row],[Order Date]]</f>
        <v>7</v>
      </c>
      <c r="N1716" s="1">
        <f>WEEKNUM(orders[[#This Row],[Order Date]])</f>
        <v>10</v>
      </c>
      <c r="O1716" s="1" t="str" cm="1">
        <f t="array" ref="O1716">_xlfn.IFS(orders[[#This Row],[Customer Gender]]="M","Male", orders[[#This Row],[Customer Gender]]="F","Female", orders[[#This Row],[Customer Gender]]="O","Other", TRUE,"Unknown")</f>
        <v>Female</v>
      </c>
    </row>
    <row r="1717" spans="1:15">
      <c r="A1717" s="1" t="s">
        <v>1816</v>
      </c>
      <c r="B1717" s="1" t="s">
        <v>26</v>
      </c>
      <c r="C1717" s="1">
        <v>2</v>
      </c>
      <c r="D1717" s="1">
        <v>118.5</v>
      </c>
      <c r="E1717" s="11">
        <v>237</v>
      </c>
      <c r="F1717" s="3">
        <v>45720</v>
      </c>
      <c r="G1717" s="3">
        <v>45723</v>
      </c>
      <c r="H1717" s="1" t="s">
        <v>23</v>
      </c>
      <c r="I1717" s="1" t="s">
        <v>35</v>
      </c>
      <c r="J1717" s="1">
        <v>5</v>
      </c>
      <c r="K1717" s="1" t="s">
        <v>19</v>
      </c>
      <c r="L1717" s="1" t="s">
        <v>98</v>
      </c>
      <c r="M1717" s="1">
        <f>orders[[#This Row],[Ship Date]]-orders[[#This Row],[Order Date]]</f>
        <v>3</v>
      </c>
      <c r="N1717" s="1">
        <f>WEEKNUM(orders[[#This Row],[Order Date]])</f>
        <v>10</v>
      </c>
      <c r="O1717" s="1" t="str" cm="1">
        <f t="array" ref="O1717">_xlfn.IFS(orders[[#This Row],[Customer Gender]]="M","Male", orders[[#This Row],[Customer Gender]]="F","Female", orders[[#This Row],[Customer Gender]]="O","Other", TRUE,"Unknown")</f>
        <v>Male</v>
      </c>
    </row>
    <row r="1718" spans="1:15">
      <c r="A1718" s="1" t="s">
        <v>1817</v>
      </c>
      <c r="B1718" s="1" t="s">
        <v>123</v>
      </c>
      <c r="C1718" s="1">
        <v>7</v>
      </c>
      <c r="D1718" s="1">
        <v>59.1</v>
      </c>
      <c r="E1718" s="11">
        <v>413.7</v>
      </c>
      <c r="F1718" s="3">
        <v>45720</v>
      </c>
      <c r="G1718" s="3">
        <v>45721</v>
      </c>
      <c r="H1718" s="1" t="s">
        <v>27</v>
      </c>
      <c r="I1718" s="1" t="s">
        <v>51</v>
      </c>
      <c r="J1718" s="1">
        <v>4</v>
      </c>
      <c r="K1718" s="1" t="s">
        <v>19</v>
      </c>
      <c r="L1718" s="1" t="s">
        <v>188</v>
      </c>
      <c r="M1718" s="1">
        <f>orders[[#This Row],[Ship Date]]-orders[[#This Row],[Order Date]]</f>
        <v>1</v>
      </c>
      <c r="N1718" s="1">
        <f>WEEKNUM(orders[[#This Row],[Order Date]])</f>
        <v>10</v>
      </c>
      <c r="O1718" s="1" t="str" cm="1">
        <f t="array" ref="O1718">_xlfn.IFS(orders[[#This Row],[Customer Gender]]="M","Male", orders[[#This Row],[Customer Gender]]="F","Female", orders[[#This Row],[Customer Gender]]="O","Other", TRUE,"Unknown")</f>
        <v>Female</v>
      </c>
    </row>
    <row r="1719" spans="1:15">
      <c r="A1719" s="1" t="s">
        <v>1818</v>
      </c>
      <c r="B1719" s="1" t="s">
        <v>32</v>
      </c>
      <c r="C1719" s="1">
        <v>1</v>
      </c>
      <c r="D1719" s="1">
        <v>21.2</v>
      </c>
      <c r="E1719" s="11">
        <v>21.2</v>
      </c>
      <c r="F1719" s="3">
        <v>45720</v>
      </c>
      <c r="G1719" s="3">
        <v>45721</v>
      </c>
      <c r="H1719" s="1" t="s">
        <v>27</v>
      </c>
      <c r="I1719" s="1" t="s">
        <v>18</v>
      </c>
      <c r="J1719" s="1">
        <v>3</v>
      </c>
      <c r="K1719" s="1" t="s">
        <v>19</v>
      </c>
      <c r="L1719" s="1" t="s">
        <v>55</v>
      </c>
      <c r="M1719" s="1">
        <f>orders[[#This Row],[Ship Date]]-orders[[#This Row],[Order Date]]</f>
        <v>1</v>
      </c>
      <c r="N1719" s="1">
        <f>WEEKNUM(orders[[#This Row],[Order Date]])</f>
        <v>10</v>
      </c>
      <c r="O1719" s="1" t="str" cm="1">
        <f t="array" ref="O1719">_xlfn.IFS(orders[[#This Row],[Customer Gender]]="M","Male", orders[[#This Row],[Customer Gender]]="F","Female", orders[[#This Row],[Customer Gender]]="O","Other", TRUE,"Unknown")</f>
        <v>Female</v>
      </c>
    </row>
    <row r="1720" spans="1:15">
      <c r="A1720" s="1" t="s">
        <v>1819</v>
      </c>
      <c r="B1720" s="1" t="s">
        <v>39</v>
      </c>
      <c r="C1720" s="1">
        <v>2</v>
      </c>
      <c r="D1720" s="1">
        <v>68.8</v>
      </c>
      <c r="E1720" s="11">
        <v>137.6</v>
      </c>
      <c r="F1720" s="3">
        <v>45720</v>
      </c>
      <c r="G1720" s="3">
        <v>45725</v>
      </c>
      <c r="H1720" s="1" t="s">
        <v>27</v>
      </c>
      <c r="I1720" s="1" t="s">
        <v>51</v>
      </c>
      <c r="J1720" s="1">
        <v>5</v>
      </c>
      <c r="K1720" s="1" t="s">
        <v>19</v>
      </c>
      <c r="L1720" s="1" t="s">
        <v>55</v>
      </c>
      <c r="M1720" s="1">
        <f>orders[[#This Row],[Ship Date]]-orders[[#This Row],[Order Date]]</f>
        <v>5</v>
      </c>
      <c r="N1720" s="1">
        <f>WEEKNUM(orders[[#This Row],[Order Date]])</f>
        <v>10</v>
      </c>
      <c r="O1720" s="1" t="str" cm="1">
        <f t="array" ref="O1720">_xlfn.IFS(orders[[#This Row],[Customer Gender]]="M","Male", orders[[#This Row],[Customer Gender]]="F","Female", orders[[#This Row],[Customer Gender]]="O","Other", TRUE,"Unknown")</f>
        <v>Female</v>
      </c>
    </row>
    <row r="1721" spans="1:15">
      <c r="A1721" s="1" t="s">
        <v>1820</v>
      </c>
      <c r="B1721" s="1" t="s">
        <v>39</v>
      </c>
      <c r="C1721" s="1">
        <v>2</v>
      </c>
      <c r="D1721" s="1">
        <v>65.400000000000006</v>
      </c>
      <c r="E1721" s="11">
        <v>130.80000000000001</v>
      </c>
      <c r="F1721" s="3">
        <v>45720</v>
      </c>
      <c r="G1721" s="3">
        <v>45724</v>
      </c>
      <c r="H1721" s="1" t="s">
        <v>27</v>
      </c>
      <c r="I1721" s="1" t="s">
        <v>18</v>
      </c>
      <c r="J1721" s="1">
        <v>4</v>
      </c>
      <c r="K1721" s="1" t="s">
        <v>19</v>
      </c>
      <c r="L1721" s="1" t="s">
        <v>55</v>
      </c>
      <c r="M1721" s="1">
        <f>orders[[#This Row],[Ship Date]]-orders[[#This Row],[Order Date]]</f>
        <v>4</v>
      </c>
      <c r="N1721" s="1">
        <f>WEEKNUM(orders[[#This Row],[Order Date]])</f>
        <v>10</v>
      </c>
      <c r="O1721" s="1" t="str" cm="1">
        <f t="array" ref="O1721">_xlfn.IFS(orders[[#This Row],[Customer Gender]]="M","Male", orders[[#This Row],[Customer Gender]]="F","Female", orders[[#This Row],[Customer Gender]]="O","Other", TRUE,"Unknown")</f>
        <v>Female</v>
      </c>
    </row>
    <row r="1722" spans="1:15">
      <c r="A1722" s="1" t="s">
        <v>1821</v>
      </c>
      <c r="B1722" s="1" t="s">
        <v>69</v>
      </c>
      <c r="C1722" s="1">
        <v>5</v>
      </c>
      <c r="D1722" s="1">
        <v>66.3</v>
      </c>
      <c r="E1722" s="11">
        <v>331.5</v>
      </c>
      <c r="F1722" s="3">
        <v>45721</v>
      </c>
      <c r="G1722" s="3">
        <v>45724</v>
      </c>
      <c r="H1722" s="1" t="s">
        <v>27</v>
      </c>
      <c r="I1722" s="1" t="s">
        <v>70</v>
      </c>
      <c r="J1722" s="1">
        <v>4</v>
      </c>
      <c r="K1722" s="1" t="s">
        <v>19</v>
      </c>
      <c r="L1722" s="1" t="s">
        <v>55</v>
      </c>
      <c r="M1722" s="1">
        <f>orders[[#This Row],[Ship Date]]-orders[[#This Row],[Order Date]]</f>
        <v>3</v>
      </c>
      <c r="N1722" s="1">
        <f>WEEKNUM(orders[[#This Row],[Order Date]])</f>
        <v>10</v>
      </c>
      <c r="O1722" s="1" t="str" cm="1">
        <f t="array" ref="O1722">_xlfn.IFS(orders[[#This Row],[Customer Gender]]="M","Male", orders[[#This Row],[Customer Gender]]="F","Female", orders[[#This Row],[Customer Gender]]="O","Other", TRUE,"Unknown")</f>
        <v>Female</v>
      </c>
    </row>
    <row r="1723" spans="1:15">
      <c r="A1723" s="1" t="s">
        <v>1822</v>
      </c>
      <c r="B1723" s="1" t="s">
        <v>39</v>
      </c>
      <c r="C1723" s="1">
        <v>3</v>
      </c>
      <c r="D1723" s="1">
        <v>97.5</v>
      </c>
      <c r="E1723" s="11">
        <v>292.5</v>
      </c>
      <c r="F1723" s="3">
        <v>45721</v>
      </c>
      <c r="G1723" s="3">
        <v>45721</v>
      </c>
      <c r="H1723" s="1" t="s">
        <v>23</v>
      </c>
      <c r="I1723" s="1" t="s">
        <v>51</v>
      </c>
      <c r="J1723" s="1">
        <v>4</v>
      </c>
      <c r="K1723" s="1" t="s">
        <v>19</v>
      </c>
      <c r="L1723" s="1" t="s">
        <v>62</v>
      </c>
      <c r="M1723" s="1">
        <f>orders[[#This Row],[Ship Date]]-orders[[#This Row],[Order Date]]</f>
        <v>0</v>
      </c>
      <c r="N1723" s="1">
        <f>WEEKNUM(orders[[#This Row],[Order Date]])</f>
        <v>10</v>
      </c>
      <c r="O1723" s="1" t="str" cm="1">
        <f t="array" ref="O1723">_xlfn.IFS(orders[[#This Row],[Customer Gender]]="M","Male", orders[[#This Row],[Customer Gender]]="F","Female", orders[[#This Row],[Customer Gender]]="O","Other", TRUE,"Unknown")</f>
        <v>Male</v>
      </c>
    </row>
    <row r="1724" spans="1:15">
      <c r="A1724" s="1" t="s">
        <v>1823</v>
      </c>
      <c r="B1724" s="1" t="s">
        <v>22</v>
      </c>
      <c r="C1724" s="1">
        <v>2</v>
      </c>
      <c r="D1724" s="1">
        <v>44</v>
      </c>
      <c r="E1724" s="11">
        <v>88</v>
      </c>
      <c r="F1724" s="3">
        <v>45721</v>
      </c>
      <c r="G1724" s="3">
        <v>45724</v>
      </c>
      <c r="H1724" s="1" t="s">
        <v>27</v>
      </c>
      <c r="I1724" s="1" t="s">
        <v>35</v>
      </c>
      <c r="J1724" s="1">
        <v>5</v>
      </c>
      <c r="K1724" s="1" t="s">
        <v>19</v>
      </c>
      <c r="L1724" s="1" t="s">
        <v>62</v>
      </c>
      <c r="M1724" s="1">
        <f>orders[[#This Row],[Ship Date]]-orders[[#This Row],[Order Date]]</f>
        <v>3</v>
      </c>
      <c r="N1724" s="1">
        <f>WEEKNUM(orders[[#This Row],[Order Date]])</f>
        <v>10</v>
      </c>
      <c r="O1724" s="1" t="str" cm="1">
        <f t="array" ref="O1724">_xlfn.IFS(orders[[#This Row],[Customer Gender]]="M","Male", orders[[#This Row],[Customer Gender]]="F","Female", orders[[#This Row],[Customer Gender]]="O","Other", TRUE,"Unknown")</f>
        <v>Female</v>
      </c>
    </row>
    <row r="1725" spans="1:15">
      <c r="A1725" s="1" t="s">
        <v>1824</v>
      </c>
      <c r="B1725" s="1" t="s">
        <v>16</v>
      </c>
      <c r="C1725" s="1">
        <v>1</v>
      </c>
      <c r="D1725" s="1">
        <v>21.9</v>
      </c>
      <c r="E1725" s="11">
        <v>21.9</v>
      </c>
      <c r="F1725" s="3">
        <v>45721</v>
      </c>
      <c r="G1725" s="3">
        <v>45722</v>
      </c>
      <c r="H1725" s="1" t="s">
        <v>23</v>
      </c>
      <c r="I1725" s="1" t="s">
        <v>18</v>
      </c>
      <c r="J1725" s="1">
        <v>4</v>
      </c>
      <c r="K1725" s="1" t="s">
        <v>19</v>
      </c>
      <c r="L1725" s="1" t="s">
        <v>62</v>
      </c>
      <c r="M1725" s="1">
        <f>orders[[#This Row],[Ship Date]]-orders[[#This Row],[Order Date]]</f>
        <v>1</v>
      </c>
      <c r="N1725" s="1">
        <f>WEEKNUM(orders[[#This Row],[Order Date]])</f>
        <v>10</v>
      </c>
      <c r="O1725" s="1" t="str" cm="1">
        <f t="array" ref="O1725">_xlfn.IFS(orders[[#This Row],[Customer Gender]]="M","Male", orders[[#This Row],[Customer Gender]]="F","Female", orders[[#This Row],[Customer Gender]]="O","Other", TRUE,"Unknown")</f>
        <v>Male</v>
      </c>
    </row>
    <row r="1726" spans="1:15">
      <c r="A1726" s="1" t="s">
        <v>1825</v>
      </c>
      <c r="B1726" s="1" t="s">
        <v>32</v>
      </c>
      <c r="C1726" s="1">
        <v>7</v>
      </c>
      <c r="D1726" s="1">
        <v>21.5</v>
      </c>
      <c r="E1726" s="11">
        <v>150.5</v>
      </c>
      <c r="F1726" s="3">
        <v>45721</v>
      </c>
      <c r="G1726" s="3">
        <v>45723</v>
      </c>
      <c r="H1726" s="1" t="s">
        <v>27</v>
      </c>
      <c r="I1726" s="1" t="s">
        <v>35</v>
      </c>
      <c r="J1726" s="1">
        <v>5</v>
      </c>
      <c r="K1726" s="1" t="s">
        <v>19</v>
      </c>
      <c r="L1726" s="1" t="s">
        <v>72</v>
      </c>
      <c r="M1726" s="1">
        <f>orders[[#This Row],[Ship Date]]-orders[[#This Row],[Order Date]]</f>
        <v>2</v>
      </c>
      <c r="N1726" s="1">
        <f>WEEKNUM(orders[[#This Row],[Order Date]])</f>
        <v>10</v>
      </c>
      <c r="O1726" s="1" t="str" cm="1">
        <f t="array" ref="O1726">_xlfn.IFS(orders[[#This Row],[Customer Gender]]="M","Male", orders[[#This Row],[Customer Gender]]="F","Female", orders[[#This Row],[Customer Gender]]="O","Other", TRUE,"Unknown")</f>
        <v>Female</v>
      </c>
    </row>
    <row r="1727" spans="1:15">
      <c r="A1727" s="1" t="s">
        <v>1826</v>
      </c>
      <c r="B1727" s="1" t="s">
        <v>69</v>
      </c>
      <c r="C1727" s="1">
        <v>6</v>
      </c>
      <c r="D1727" s="1">
        <v>133</v>
      </c>
      <c r="E1727" s="11">
        <v>798</v>
      </c>
      <c r="F1727" s="3">
        <v>45721</v>
      </c>
      <c r="G1727" s="3">
        <v>45722</v>
      </c>
      <c r="H1727" s="1" t="s">
        <v>89</v>
      </c>
      <c r="I1727" s="1" t="s">
        <v>18</v>
      </c>
      <c r="J1727" s="1">
        <v>5</v>
      </c>
      <c r="K1727" s="1" t="s">
        <v>19</v>
      </c>
      <c r="L1727" s="1" t="s">
        <v>74</v>
      </c>
      <c r="M1727" s="1">
        <f>orders[[#This Row],[Ship Date]]-orders[[#This Row],[Order Date]]</f>
        <v>1</v>
      </c>
      <c r="N1727" s="1">
        <f>WEEKNUM(orders[[#This Row],[Order Date]])</f>
        <v>10</v>
      </c>
      <c r="O1727" s="1" t="str" cm="1">
        <f t="array" ref="O1727">_xlfn.IFS(orders[[#This Row],[Customer Gender]]="M","Male", orders[[#This Row],[Customer Gender]]="F","Female", orders[[#This Row],[Customer Gender]]="O","Other", TRUE,"Unknown")</f>
        <v>Other</v>
      </c>
    </row>
    <row r="1728" spans="1:15">
      <c r="A1728" s="1" t="s">
        <v>1827</v>
      </c>
      <c r="B1728" s="1" t="s">
        <v>44</v>
      </c>
      <c r="C1728" s="1">
        <v>2</v>
      </c>
      <c r="D1728" s="1">
        <v>47.7</v>
      </c>
      <c r="E1728" s="11">
        <v>95.4</v>
      </c>
      <c r="F1728" s="3">
        <v>45721</v>
      </c>
      <c r="G1728" s="3">
        <v>45725</v>
      </c>
      <c r="H1728" s="1" t="s">
        <v>23</v>
      </c>
      <c r="I1728" s="1" t="s">
        <v>18</v>
      </c>
      <c r="J1728" s="1">
        <v>5</v>
      </c>
      <c r="K1728" s="1" t="s">
        <v>19</v>
      </c>
      <c r="L1728" s="1" t="s">
        <v>74</v>
      </c>
      <c r="M1728" s="1">
        <f>orders[[#This Row],[Ship Date]]-orders[[#This Row],[Order Date]]</f>
        <v>4</v>
      </c>
      <c r="N1728" s="1">
        <f>WEEKNUM(orders[[#This Row],[Order Date]])</f>
        <v>10</v>
      </c>
      <c r="O1728" s="1" t="str" cm="1">
        <f t="array" ref="O1728">_xlfn.IFS(orders[[#This Row],[Customer Gender]]="M","Male", orders[[#This Row],[Customer Gender]]="F","Female", orders[[#This Row],[Customer Gender]]="O","Other", TRUE,"Unknown")</f>
        <v>Male</v>
      </c>
    </row>
    <row r="1729" spans="1:15">
      <c r="A1729" s="1" t="s">
        <v>1828</v>
      </c>
      <c r="B1729" s="1" t="s">
        <v>128</v>
      </c>
      <c r="C1729" s="1">
        <v>3</v>
      </c>
      <c r="D1729" s="1">
        <v>58.1</v>
      </c>
      <c r="E1729" s="11">
        <v>174.3</v>
      </c>
      <c r="F1729" s="3">
        <v>45721</v>
      </c>
      <c r="G1729" s="3">
        <v>45722</v>
      </c>
      <c r="H1729" s="1" t="s">
        <v>27</v>
      </c>
      <c r="I1729" s="1" t="s">
        <v>18</v>
      </c>
      <c r="J1729" s="1">
        <v>4</v>
      </c>
      <c r="K1729" s="1" t="s">
        <v>19</v>
      </c>
      <c r="L1729" s="1" t="s">
        <v>77</v>
      </c>
      <c r="M1729" s="1">
        <f>orders[[#This Row],[Ship Date]]-orders[[#This Row],[Order Date]]</f>
        <v>1</v>
      </c>
      <c r="N1729" s="1">
        <f>WEEKNUM(orders[[#This Row],[Order Date]])</f>
        <v>10</v>
      </c>
      <c r="O1729" s="1" t="str" cm="1">
        <f t="array" ref="O1729">_xlfn.IFS(orders[[#This Row],[Customer Gender]]="M","Male", orders[[#This Row],[Customer Gender]]="F","Female", orders[[#This Row],[Customer Gender]]="O","Other", TRUE,"Unknown")</f>
        <v>Female</v>
      </c>
    </row>
    <row r="1730" spans="1:15">
      <c r="A1730" s="1" t="s">
        <v>1829</v>
      </c>
      <c r="B1730" s="1" t="s">
        <v>69</v>
      </c>
      <c r="C1730" s="1">
        <v>4</v>
      </c>
      <c r="D1730" s="1">
        <v>66.599999999999994</v>
      </c>
      <c r="E1730" s="11">
        <v>266.39999999999998</v>
      </c>
      <c r="F1730" s="3">
        <v>45721</v>
      </c>
      <c r="G1730" s="3">
        <v>45722</v>
      </c>
      <c r="H1730" s="1" t="s">
        <v>17</v>
      </c>
      <c r="I1730" s="1" t="s">
        <v>18</v>
      </c>
      <c r="J1730" s="1">
        <v>4</v>
      </c>
      <c r="K1730" s="1" t="s">
        <v>19</v>
      </c>
      <c r="L1730" s="1" t="s">
        <v>77</v>
      </c>
      <c r="M1730" s="1">
        <f>orders[[#This Row],[Ship Date]]-orders[[#This Row],[Order Date]]</f>
        <v>1</v>
      </c>
      <c r="N1730" s="1">
        <f>WEEKNUM(orders[[#This Row],[Order Date]])</f>
        <v>10</v>
      </c>
      <c r="O1730" s="1" t="str" cm="1">
        <f t="array" ref="O1730">_xlfn.IFS(orders[[#This Row],[Customer Gender]]="M","Male", orders[[#This Row],[Customer Gender]]="F","Female", orders[[#This Row],[Customer Gender]]="O","Other", TRUE,"Unknown")</f>
        <v>Unknown</v>
      </c>
    </row>
    <row r="1731" spans="1:15">
      <c r="A1731" s="1" t="s">
        <v>1830</v>
      </c>
      <c r="B1731" s="1" t="s">
        <v>46</v>
      </c>
      <c r="C1731" s="1">
        <v>1</v>
      </c>
      <c r="D1731" s="1">
        <v>24.1</v>
      </c>
      <c r="E1731" s="11">
        <v>24.1</v>
      </c>
      <c r="F1731" s="3">
        <v>45721</v>
      </c>
      <c r="G1731" s="3">
        <v>45724</v>
      </c>
      <c r="H1731" s="1" t="s">
        <v>23</v>
      </c>
      <c r="I1731" s="1" t="s">
        <v>40</v>
      </c>
      <c r="J1731" s="1">
        <v>3</v>
      </c>
      <c r="K1731" s="1" t="s">
        <v>19</v>
      </c>
      <c r="L1731" s="1" t="s">
        <v>110</v>
      </c>
      <c r="M1731" s="1">
        <f>orders[[#This Row],[Ship Date]]-orders[[#This Row],[Order Date]]</f>
        <v>3</v>
      </c>
      <c r="N1731" s="1">
        <f>WEEKNUM(orders[[#This Row],[Order Date]])</f>
        <v>10</v>
      </c>
      <c r="O1731" s="1" t="str" cm="1">
        <f t="array" ref="O1731">_xlfn.IFS(orders[[#This Row],[Customer Gender]]="M","Male", orders[[#This Row],[Customer Gender]]="F","Female", orders[[#This Row],[Customer Gender]]="O","Other", TRUE,"Unknown")</f>
        <v>Male</v>
      </c>
    </row>
    <row r="1732" spans="1:15">
      <c r="A1732" s="1" t="s">
        <v>1831</v>
      </c>
      <c r="B1732" s="1" t="s">
        <v>54</v>
      </c>
      <c r="C1732" s="1">
        <v>5</v>
      </c>
      <c r="D1732" s="1">
        <v>51.5</v>
      </c>
      <c r="E1732" s="11">
        <v>257.5</v>
      </c>
      <c r="F1732" s="3">
        <v>45721</v>
      </c>
      <c r="G1732" s="3">
        <v>45726</v>
      </c>
      <c r="H1732" s="1" t="s">
        <v>27</v>
      </c>
      <c r="I1732" s="1" t="s">
        <v>18</v>
      </c>
      <c r="J1732" s="1">
        <v>4</v>
      </c>
      <c r="K1732" s="1" t="s">
        <v>19</v>
      </c>
      <c r="L1732" s="1" t="s">
        <v>82</v>
      </c>
      <c r="M1732" s="1">
        <f>orders[[#This Row],[Ship Date]]-orders[[#This Row],[Order Date]]</f>
        <v>5</v>
      </c>
      <c r="N1732" s="1">
        <f>WEEKNUM(orders[[#This Row],[Order Date]])</f>
        <v>10</v>
      </c>
      <c r="O1732" s="1" t="str" cm="1">
        <f t="array" ref="O1732">_xlfn.IFS(orders[[#This Row],[Customer Gender]]="M","Male", orders[[#This Row],[Customer Gender]]="F","Female", orders[[#This Row],[Customer Gender]]="O","Other", TRUE,"Unknown")</f>
        <v>Female</v>
      </c>
    </row>
    <row r="1733" spans="1:15">
      <c r="A1733" s="1" t="s">
        <v>1832</v>
      </c>
      <c r="B1733" s="1" t="s">
        <v>16</v>
      </c>
      <c r="C1733" s="1">
        <v>11</v>
      </c>
      <c r="D1733" s="1">
        <v>25.8</v>
      </c>
      <c r="E1733" s="11">
        <v>283.8</v>
      </c>
      <c r="F1733" s="3">
        <v>45721</v>
      </c>
      <c r="G1733" s="3">
        <v>45725</v>
      </c>
      <c r="H1733" s="1" t="s">
        <v>27</v>
      </c>
      <c r="I1733" s="1" t="s">
        <v>51</v>
      </c>
      <c r="J1733" s="1">
        <v>2</v>
      </c>
      <c r="K1733" s="1" t="s">
        <v>19</v>
      </c>
      <c r="L1733" s="1" t="s">
        <v>115</v>
      </c>
      <c r="M1733" s="1">
        <f>orders[[#This Row],[Ship Date]]-orders[[#This Row],[Order Date]]</f>
        <v>4</v>
      </c>
      <c r="N1733" s="1">
        <f>WEEKNUM(orders[[#This Row],[Order Date]])</f>
        <v>10</v>
      </c>
      <c r="O1733" s="1" t="str" cm="1">
        <f t="array" ref="O1733">_xlfn.IFS(orders[[#This Row],[Customer Gender]]="M","Male", orders[[#This Row],[Customer Gender]]="F","Female", orders[[#This Row],[Customer Gender]]="O","Other", TRUE,"Unknown")</f>
        <v>Female</v>
      </c>
    </row>
    <row r="1734" spans="1:15">
      <c r="A1734" s="1" t="s">
        <v>1833</v>
      </c>
      <c r="B1734" s="1" t="s">
        <v>46</v>
      </c>
      <c r="C1734" s="1">
        <v>4</v>
      </c>
      <c r="D1734" s="1">
        <v>47.7</v>
      </c>
      <c r="E1734" s="11">
        <v>190.8</v>
      </c>
      <c r="F1734" s="3">
        <v>45721</v>
      </c>
      <c r="G1734" s="3">
        <v>45721</v>
      </c>
      <c r="H1734" s="1" t="s">
        <v>27</v>
      </c>
      <c r="I1734" s="1" t="s">
        <v>18</v>
      </c>
      <c r="J1734" s="1">
        <v>3</v>
      </c>
      <c r="K1734" s="1" t="s">
        <v>19</v>
      </c>
      <c r="L1734" s="1" t="s">
        <v>115</v>
      </c>
      <c r="M1734" s="1">
        <f>orders[[#This Row],[Ship Date]]-orders[[#This Row],[Order Date]]</f>
        <v>0</v>
      </c>
      <c r="N1734" s="1">
        <f>WEEKNUM(orders[[#This Row],[Order Date]])</f>
        <v>10</v>
      </c>
      <c r="O1734" s="1" t="str" cm="1">
        <f t="array" ref="O1734">_xlfn.IFS(orders[[#This Row],[Customer Gender]]="M","Male", orders[[#This Row],[Customer Gender]]="F","Female", orders[[#This Row],[Customer Gender]]="O","Other", TRUE,"Unknown")</f>
        <v>Female</v>
      </c>
    </row>
    <row r="1735" spans="1:15">
      <c r="A1735" s="1" t="s">
        <v>1834</v>
      </c>
      <c r="B1735" s="1" t="s">
        <v>42</v>
      </c>
      <c r="C1735" s="1">
        <v>5</v>
      </c>
      <c r="D1735" s="1">
        <v>73.599999999999994</v>
      </c>
      <c r="E1735" s="11">
        <v>368</v>
      </c>
      <c r="F1735" s="3">
        <v>45721</v>
      </c>
      <c r="G1735" s="3">
        <v>45725</v>
      </c>
      <c r="H1735" s="1" t="s">
        <v>23</v>
      </c>
      <c r="I1735" s="1" t="s">
        <v>35</v>
      </c>
      <c r="J1735" s="1">
        <v>4</v>
      </c>
      <c r="K1735" s="1" t="s">
        <v>19</v>
      </c>
      <c r="L1735" s="1" t="s">
        <v>115</v>
      </c>
      <c r="M1735" s="1">
        <f>orders[[#This Row],[Ship Date]]-orders[[#This Row],[Order Date]]</f>
        <v>4</v>
      </c>
      <c r="N1735" s="1">
        <f>WEEKNUM(orders[[#This Row],[Order Date]])</f>
        <v>10</v>
      </c>
      <c r="O1735" s="1" t="str" cm="1">
        <f t="array" ref="O1735">_xlfn.IFS(orders[[#This Row],[Customer Gender]]="M","Male", orders[[#This Row],[Customer Gender]]="F","Female", orders[[#This Row],[Customer Gender]]="O","Other", TRUE,"Unknown")</f>
        <v>Male</v>
      </c>
    </row>
    <row r="1736" spans="1:15">
      <c r="A1736" s="1" t="s">
        <v>1835</v>
      </c>
      <c r="B1736" s="1" t="s">
        <v>37</v>
      </c>
      <c r="C1736" s="1">
        <v>7</v>
      </c>
      <c r="D1736" s="1">
        <v>91.2</v>
      </c>
      <c r="E1736" s="11">
        <v>638.4</v>
      </c>
      <c r="F1736" s="3">
        <v>45721</v>
      </c>
      <c r="G1736" s="3">
        <v>45722</v>
      </c>
      <c r="H1736" s="1" t="s">
        <v>23</v>
      </c>
      <c r="I1736" s="1" t="s">
        <v>35</v>
      </c>
      <c r="J1736" s="1">
        <v>5</v>
      </c>
      <c r="K1736" s="1" t="s">
        <v>19</v>
      </c>
      <c r="L1736" s="1" t="s">
        <v>115</v>
      </c>
      <c r="M1736" s="1">
        <f>orders[[#This Row],[Ship Date]]-orders[[#This Row],[Order Date]]</f>
        <v>1</v>
      </c>
      <c r="N1736" s="1">
        <f>WEEKNUM(orders[[#This Row],[Order Date]])</f>
        <v>10</v>
      </c>
      <c r="O1736" s="1" t="str" cm="1">
        <f t="array" ref="O1736">_xlfn.IFS(orders[[#This Row],[Customer Gender]]="M","Male", orders[[#This Row],[Customer Gender]]="F","Female", orders[[#This Row],[Customer Gender]]="O","Other", TRUE,"Unknown")</f>
        <v>Male</v>
      </c>
    </row>
    <row r="1737" spans="1:15">
      <c r="A1737" s="1" t="s">
        <v>1836</v>
      </c>
      <c r="B1737" s="1" t="s">
        <v>22</v>
      </c>
      <c r="C1737" s="1">
        <v>8</v>
      </c>
      <c r="D1737" s="1">
        <v>36.200000000000003</v>
      </c>
      <c r="E1737" s="11">
        <v>289.60000000000002</v>
      </c>
      <c r="F1737" s="3">
        <v>45721</v>
      </c>
      <c r="G1737" s="3">
        <v>45721</v>
      </c>
      <c r="H1737" s="1" t="s">
        <v>23</v>
      </c>
      <c r="I1737" s="1" t="s">
        <v>40</v>
      </c>
      <c r="J1737" s="1">
        <v>5</v>
      </c>
      <c r="K1737" s="1" t="s">
        <v>19</v>
      </c>
      <c r="L1737" s="1" t="s">
        <v>24</v>
      </c>
      <c r="M1737" s="1">
        <f>orders[[#This Row],[Ship Date]]-orders[[#This Row],[Order Date]]</f>
        <v>0</v>
      </c>
      <c r="N1737" s="1">
        <f>WEEKNUM(orders[[#This Row],[Order Date]])</f>
        <v>10</v>
      </c>
      <c r="O1737" s="1" t="str" cm="1">
        <f t="array" ref="O1737">_xlfn.IFS(orders[[#This Row],[Customer Gender]]="M","Male", orders[[#This Row],[Customer Gender]]="F","Female", orders[[#This Row],[Customer Gender]]="O","Other", TRUE,"Unknown")</f>
        <v>Male</v>
      </c>
    </row>
    <row r="1738" spans="1:15">
      <c r="A1738" s="1" t="s">
        <v>1837</v>
      </c>
      <c r="B1738" s="1" t="s">
        <v>46</v>
      </c>
      <c r="C1738" s="1">
        <v>8</v>
      </c>
      <c r="D1738" s="1">
        <v>98</v>
      </c>
      <c r="E1738" s="11">
        <v>784</v>
      </c>
      <c r="F1738" s="3">
        <v>45721</v>
      </c>
      <c r="G1738" s="3">
        <v>45725</v>
      </c>
      <c r="H1738" s="1" t="s">
        <v>27</v>
      </c>
      <c r="I1738" s="1" t="s">
        <v>40</v>
      </c>
      <c r="J1738" s="1">
        <v>4</v>
      </c>
      <c r="K1738" s="1" t="s">
        <v>19</v>
      </c>
      <c r="L1738" s="1" t="s">
        <v>28</v>
      </c>
      <c r="M1738" s="1">
        <f>orders[[#This Row],[Ship Date]]-orders[[#This Row],[Order Date]]</f>
        <v>4</v>
      </c>
      <c r="N1738" s="1">
        <f>WEEKNUM(orders[[#This Row],[Order Date]])</f>
        <v>10</v>
      </c>
      <c r="O1738" s="1" t="str" cm="1">
        <f t="array" ref="O1738">_xlfn.IFS(orders[[#This Row],[Customer Gender]]="M","Male", orders[[#This Row],[Customer Gender]]="F","Female", orders[[#This Row],[Customer Gender]]="O","Other", TRUE,"Unknown")</f>
        <v>Female</v>
      </c>
    </row>
    <row r="1739" spans="1:15">
      <c r="A1739" s="1" t="s">
        <v>1838</v>
      </c>
      <c r="B1739" s="1" t="s">
        <v>22</v>
      </c>
      <c r="C1739" s="1">
        <v>8</v>
      </c>
      <c r="D1739" s="1">
        <v>43.6</v>
      </c>
      <c r="E1739" s="11">
        <v>348.8</v>
      </c>
      <c r="F1739" s="3">
        <v>45721</v>
      </c>
      <c r="G1739" s="3">
        <v>45722</v>
      </c>
      <c r="H1739" s="1" t="s">
        <v>27</v>
      </c>
      <c r="I1739" s="1" t="s">
        <v>40</v>
      </c>
      <c r="J1739" s="1">
        <v>4</v>
      </c>
      <c r="K1739" s="1" t="s">
        <v>19</v>
      </c>
      <c r="L1739" s="1" t="s">
        <v>147</v>
      </c>
      <c r="M1739" s="1">
        <f>orders[[#This Row],[Ship Date]]-orders[[#This Row],[Order Date]]</f>
        <v>1</v>
      </c>
      <c r="N1739" s="1">
        <f>WEEKNUM(orders[[#This Row],[Order Date]])</f>
        <v>10</v>
      </c>
      <c r="O1739" s="1" t="str" cm="1">
        <f t="array" ref="O1739">_xlfn.IFS(orders[[#This Row],[Customer Gender]]="M","Male", orders[[#This Row],[Customer Gender]]="F","Female", orders[[#This Row],[Customer Gender]]="O","Other", TRUE,"Unknown")</f>
        <v>Female</v>
      </c>
    </row>
    <row r="1740" spans="1:15">
      <c r="A1740" s="1" t="s">
        <v>1839</v>
      </c>
      <c r="B1740" s="1" t="s">
        <v>44</v>
      </c>
      <c r="C1740" s="1">
        <v>10</v>
      </c>
      <c r="D1740" s="1">
        <v>37.799999999999997</v>
      </c>
      <c r="E1740" s="11">
        <v>378</v>
      </c>
      <c r="F1740" s="3">
        <v>45721</v>
      </c>
      <c r="G1740" s="3">
        <v>45721</v>
      </c>
      <c r="H1740" s="1" t="s">
        <v>89</v>
      </c>
      <c r="I1740" s="1" t="s">
        <v>18</v>
      </c>
      <c r="J1740" s="1">
        <v>4</v>
      </c>
      <c r="K1740" s="1" t="s">
        <v>19</v>
      </c>
      <c r="L1740" s="1" t="s">
        <v>949</v>
      </c>
      <c r="M1740" s="1">
        <f>orders[[#This Row],[Ship Date]]-orders[[#This Row],[Order Date]]</f>
        <v>0</v>
      </c>
      <c r="N1740" s="1">
        <f>WEEKNUM(orders[[#This Row],[Order Date]])</f>
        <v>10</v>
      </c>
      <c r="O1740" s="1" t="str" cm="1">
        <f t="array" ref="O1740">_xlfn.IFS(orders[[#This Row],[Customer Gender]]="M","Male", orders[[#This Row],[Customer Gender]]="F","Female", orders[[#This Row],[Customer Gender]]="O","Other", TRUE,"Unknown")</f>
        <v>Other</v>
      </c>
    </row>
    <row r="1741" spans="1:15">
      <c r="A1741" s="1" t="s">
        <v>1840</v>
      </c>
      <c r="B1741" s="1" t="s">
        <v>135</v>
      </c>
      <c r="C1741" s="1">
        <v>5</v>
      </c>
      <c r="D1741" s="1">
        <v>63.7</v>
      </c>
      <c r="E1741" s="11">
        <v>318.5</v>
      </c>
      <c r="F1741" s="3">
        <v>45721</v>
      </c>
      <c r="G1741" s="3">
        <v>45724</v>
      </c>
      <c r="H1741" s="1" t="s">
        <v>27</v>
      </c>
      <c r="I1741" s="1" t="s">
        <v>40</v>
      </c>
      <c r="J1741" s="1">
        <v>3</v>
      </c>
      <c r="K1741" s="1" t="s">
        <v>19</v>
      </c>
      <c r="L1741" s="1" t="s">
        <v>33</v>
      </c>
      <c r="M1741" s="1">
        <f>orders[[#This Row],[Ship Date]]-orders[[#This Row],[Order Date]]</f>
        <v>3</v>
      </c>
      <c r="N1741" s="1">
        <f>WEEKNUM(orders[[#This Row],[Order Date]])</f>
        <v>10</v>
      </c>
      <c r="O1741" s="1" t="str" cm="1">
        <f t="array" ref="O1741">_xlfn.IFS(orders[[#This Row],[Customer Gender]]="M","Male", orders[[#This Row],[Customer Gender]]="F","Female", orders[[#This Row],[Customer Gender]]="O","Other", TRUE,"Unknown")</f>
        <v>Female</v>
      </c>
    </row>
    <row r="1742" spans="1:15">
      <c r="A1742" s="1" t="s">
        <v>1841</v>
      </c>
      <c r="B1742" s="1" t="s">
        <v>37</v>
      </c>
      <c r="C1742" s="1">
        <v>9</v>
      </c>
      <c r="D1742" s="1">
        <v>62.9</v>
      </c>
      <c r="E1742" s="11">
        <v>566.1</v>
      </c>
      <c r="F1742" s="3">
        <v>45721</v>
      </c>
      <c r="G1742" s="3">
        <v>45726</v>
      </c>
      <c r="H1742" s="1" t="s">
        <v>23</v>
      </c>
      <c r="I1742" s="1" t="s">
        <v>51</v>
      </c>
      <c r="J1742" s="1">
        <v>5</v>
      </c>
      <c r="K1742" s="1" t="s">
        <v>19</v>
      </c>
      <c r="L1742" s="1" t="s">
        <v>33</v>
      </c>
      <c r="M1742" s="1">
        <f>orders[[#This Row],[Ship Date]]-orders[[#This Row],[Order Date]]</f>
        <v>5</v>
      </c>
      <c r="N1742" s="1">
        <f>WEEKNUM(orders[[#This Row],[Order Date]])</f>
        <v>10</v>
      </c>
      <c r="O1742" s="1" t="str" cm="1">
        <f t="array" ref="O1742">_xlfn.IFS(orders[[#This Row],[Customer Gender]]="M","Male", orders[[#This Row],[Customer Gender]]="F","Female", orders[[#This Row],[Customer Gender]]="O","Other", TRUE,"Unknown")</f>
        <v>Male</v>
      </c>
    </row>
    <row r="1743" spans="1:15">
      <c r="A1743" s="1" t="s">
        <v>1842</v>
      </c>
      <c r="B1743" s="1" t="s">
        <v>39</v>
      </c>
      <c r="C1743" s="1">
        <v>7</v>
      </c>
      <c r="D1743" s="1">
        <v>61.7</v>
      </c>
      <c r="E1743" s="11">
        <v>431.90000000000003</v>
      </c>
      <c r="F1743" s="3">
        <v>45721</v>
      </c>
      <c r="G1743" s="3">
        <v>45724</v>
      </c>
      <c r="H1743" s="1" t="s">
        <v>27</v>
      </c>
      <c r="I1743" s="1" t="s">
        <v>40</v>
      </c>
      <c r="J1743" s="1">
        <v>5</v>
      </c>
      <c r="K1743" s="1" t="s">
        <v>19</v>
      </c>
      <c r="L1743" s="1" t="s">
        <v>33</v>
      </c>
      <c r="M1743" s="1">
        <f>orders[[#This Row],[Ship Date]]-orders[[#This Row],[Order Date]]</f>
        <v>3</v>
      </c>
      <c r="N1743" s="1">
        <f>WEEKNUM(orders[[#This Row],[Order Date]])</f>
        <v>10</v>
      </c>
      <c r="O1743" s="1" t="str" cm="1">
        <f t="array" ref="O1743">_xlfn.IFS(orders[[#This Row],[Customer Gender]]="M","Male", orders[[#This Row],[Customer Gender]]="F","Female", orders[[#This Row],[Customer Gender]]="O","Other", TRUE,"Unknown")</f>
        <v>Female</v>
      </c>
    </row>
    <row r="1744" spans="1:15">
      <c r="A1744" s="1" t="s">
        <v>1843</v>
      </c>
      <c r="B1744" s="1" t="s">
        <v>146</v>
      </c>
      <c r="C1744" s="1">
        <v>14</v>
      </c>
      <c r="D1744" s="1">
        <v>36.5</v>
      </c>
      <c r="E1744" s="11">
        <v>511</v>
      </c>
      <c r="F1744" s="3">
        <v>45721</v>
      </c>
      <c r="G1744" s="3">
        <v>45722</v>
      </c>
      <c r="H1744" s="1" t="s">
        <v>23</v>
      </c>
      <c r="I1744" s="1" t="s">
        <v>18</v>
      </c>
      <c r="J1744" s="1">
        <v>5</v>
      </c>
      <c r="K1744" s="1" t="s">
        <v>19</v>
      </c>
      <c r="L1744" s="1" t="s">
        <v>33</v>
      </c>
      <c r="M1744" s="1">
        <f>orders[[#This Row],[Ship Date]]-orders[[#This Row],[Order Date]]</f>
        <v>1</v>
      </c>
      <c r="N1744" s="1">
        <f>WEEKNUM(orders[[#This Row],[Order Date]])</f>
        <v>10</v>
      </c>
      <c r="O1744" s="1" t="str" cm="1">
        <f t="array" ref="O1744">_xlfn.IFS(orders[[#This Row],[Customer Gender]]="M","Male", orders[[#This Row],[Customer Gender]]="F","Female", orders[[#This Row],[Customer Gender]]="O","Other", TRUE,"Unknown")</f>
        <v>Male</v>
      </c>
    </row>
    <row r="1745" spans="1:15">
      <c r="A1745" s="1" t="s">
        <v>1844</v>
      </c>
      <c r="B1745" s="1" t="s">
        <v>67</v>
      </c>
      <c r="C1745" s="1">
        <v>3</v>
      </c>
      <c r="D1745" s="1">
        <v>98.6</v>
      </c>
      <c r="E1745" s="11">
        <v>295.79999999999995</v>
      </c>
      <c r="F1745" s="3">
        <v>45721</v>
      </c>
      <c r="G1745" s="3">
        <v>45724</v>
      </c>
      <c r="H1745" s="1" t="s">
        <v>89</v>
      </c>
      <c r="I1745" s="1" t="s">
        <v>18</v>
      </c>
      <c r="J1745" s="1">
        <v>2</v>
      </c>
      <c r="K1745" s="1" t="s">
        <v>19</v>
      </c>
      <c r="L1745" s="1" t="s">
        <v>33</v>
      </c>
      <c r="M1745" s="1">
        <f>orders[[#This Row],[Ship Date]]-orders[[#This Row],[Order Date]]</f>
        <v>3</v>
      </c>
      <c r="N1745" s="1">
        <f>WEEKNUM(orders[[#This Row],[Order Date]])</f>
        <v>10</v>
      </c>
      <c r="O1745" s="1" t="str" cm="1">
        <f t="array" ref="O1745">_xlfn.IFS(orders[[#This Row],[Customer Gender]]="M","Male", orders[[#This Row],[Customer Gender]]="F","Female", orders[[#This Row],[Customer Gender]]="O","Other", TRUE,"Unknown")</f>
        <v>Other</v>
      </c>
    </row>
    <row r="1746" spans="1:15">
      <c r="A1746" s="1" t="s">
        <v>1845</v>
      </c>
      <c r="B1746" s="1" t="s">
        <v>44</v>
      </c>
      <c r="C1746" s="1">
        <v>2</v>
      </c>
      <c r="D1746" s="1">
        <v>19.2</v>
      </c>
      <c r="E1746" s="11">
        <v>38.4</v>
      </c>
      <c r="F1746" s="3">
        <v>45721</v>
      </c>
      <c r="G1746" s="3">
        <v>45731</v>
      </c>
      <c r="H1746" s="1" t="s">
        <v>23</v>
      </c>
      <c r="I1746" s="1" t="s">
        <v>18</v>
      </c>
      <c r="J1746" s="1">
        <v>4</v>
      </c>
      <c r="K1746" s="1" t="s">
        <v>19</v>
      </c>
      <c r="L1746" s="1" t="s">
        <v>33</v>
      </c>
      <c r="M1746" s="1">
        <f>orders[[#This Row],[Ship Date]]-orders[[#This Row],[Order Date]]</f>
        <v>10</v>
      </c>
      <c r="N1746" s="1">
        <f>WEEKNUM(orders[[#This Row],[Order Date]])</f>
        <v>10</v>
      </c>
      <c r="O1746" s="1" t="str" cm="1">
        <f t="array" ref="O1746">_xlfn.IFS(orders[[#This Row],[Customer Gender]]="M","Male", orders[[#This Row],[Customer Gender]]="F","Female", orders[[#This Row],[Customer Gender]]="O","Other", TRUE,"Unknown")</f>
        <v>Male</v>
      </c>
    </row>
    <row r="1747" spans="1:15">
      <c r="A1747" s="1" t="s">
        <v>1846</v>
      </c>
      <c r="B1747" s="1" t="s">
        <v>30</v>
      </c>
      <c r="C1747" s="1">
        <v>6</v>
      </c>
      <c r="D1747" s="1">
        <v>55.6</v>
      </c>
      <c r="E1747" s="11">
        <v>333.6</v>
      </c>
      <c r="F1747" s="3">
        <v>45721</v>
      </c>
      <c r="G1747" s="3">
        <v>45725</v>
      </c>
      <c r="H1747" s="1" t="s">
        <v>27</v>
      </c>
      <c r="I1747" s="1" t="s">
        <v>18</v>
      </c>
      <c r="J1747" s="1">
        <v>5</v>
      </c>
      <c r="K1747" s="1" t="s">
        <v>19</v>
      </c>
      <c r="L1747" s="1" t="s">
        <v>33</v>
      </c>
      <c r="M1747" s="1">
        <f>orders[[#This Row],[Ship Date]]-orders[[#This Row],[Order Date]]</f>
        <v>4</v>
      </c>
      <c r="N1747" s="1">
        <f>WEEKNUM(orders[[#This Row],[Order Date]])</f>
        <v>10</v>
      </c>
      <c r="O1747" s="1" t="str" cm="1">
        <f t="array" ref="O1747">_xlfn.IFS(orders[[#This Row],[Customer Gender]]="M","Male", orders[[#This Row],[Customer Gender]]="F","Female", orders[[#This Row],[Customer Gender]]="O","Other", TRUE,"Unknown")</f>
        <v>Female</v>
      </c>
    </row>
    <row r="1748" spans="1:15">
      <c r="A1748" s="1" t="s">
        <v>1847</v>
      </c>
      <c r="B1748" s="1" t="s">
        <v>37</v>
      </c>
      <c r="C1748" s="1">
        <v>6</v>
      </c>
      <c r="D1748" s="1">
        <v>56.4</v>
      </c>
      <c r="E1748" s="11">
        <v>338.4</v>
      </c>
      <c r="F1748" s="3">
        <v>45721</v>
      </c>
      <c r="G1748" s="3">
        <v>45722</v>
      </c>
      <c r="H1748" s="1" t="s">
        <v>27</v>
      </c>
      <c r="I1748" s="1" t="s">
        <v>35</v>
      </c>
      <c r="J1748" s="1">
        <v>4</v>
      </c>
      <c r="K1748" s="1" t="s">
        <v>19</v>
      </c>
      <c r="L1748" s="1" t="s">
        <v>33</v>
      </c>
      <c r="M1748" s="1">
        <f>orders[[#This Row],[Ship Date]]-orders[[#This Row],[Order Date]]</f>
        <v>1</v>
      </c>
      <c r="N1748" s="1">
        <f>WEEKNUM(orders[[#This Row],[Order Date]])</f>
        <v>10</v>
      </c>
      <c r="O1748" s="1" t="str" cm="1">
        <f t="array" ref="O1748">_xlfn.IFS(orders[[#This Row],[Customer Gender]]="M","Male", orders[[#This Row],[Customer Gender]]="F","Female", orders[[#This Row],[Customer Gender]]="O","Other", TRUE,"Unknown")</f>
        <v>Female</v>
      </c>
    </row>
    <row r="1749" spans="1:15">
      <c r="A1749" s="1" t="s">
        <v>1848</v>
      </c>
      <c r="B1749" s="1" t="s">
        <v>32</v>
      </c>
      <c r="C1749" s="1">
        <v>8</v>
      </c>
      <c r="D1749" s="1">
        <v>43.1</v>
      </c>
      <c r="E1749" s="11">
        <v>344.8</v>
      </c>
      <c r="F1749" s="3">
        <v>45721</v>
      </c>
      <c r="G1749" s="3">
        <v>45725</v>
      </c>
      <c r="H1749" s="1" t="s">
        <v>27</v>
      </c>
      <c r="I1749" s="1" t="s">
        <v>70</v>
      </c>
      <c r="J1749" s="1">
        <v>4</v>
      </c>
      <c r="K1749" s="1" t="s">
        <v>19</v>
      </c>
      <c r="L1749" s="1" t="s">
        <v>33</v>
      </c>
      <c r="M1749" s="1">
        <f>orders[[#This Row],[Ship Date]]-orders[[#This Row],[Order Date]]</f>
        <v>4</v>
      </c>
      <c r="N1749" s="1">
        <f>WEEKNUM(orders[[#This Row],[Order Date]])</f>
        <v>10</v>
      </c>
      <c r="O1749" s="1" t="str" cm="1">
        <f t="array" ref="O1749">_xlfn.IFS(orders[[#This Row],[Customer Gender]]="M","Male", orders[[#This Row],[Customer Gender]]="F","Female", orders[[#This Row],[Customer Gender]]="O","Other", TRUE,"Unknown")</f>
        <v>Female</v>
      </c>
    </row>
    <row r="1750" spans="1:15">
      <c r="A1750" s="1" t="s">
        <v>1849</v>
      </c>
      <c r="B1750" s="1" t="s">
        <v>22</v>
      </c>
      <c r="C1750" s="1">
        <v>2</v>
      </c>
      <c r="D1750" s="1">
        <v>77.3</v>
      </c>
      <c r="E1750" s="11">
        <v>154.6</v>
      </c>
      <c r="F1750" s="3">
        <v>45721</v>
      </c>
      <c r="G1750" s="3">
        <v>45723</v>
      </c>
      <c r="H1750" s="1" t="s">
        <v>23</v>
      </c>
      <c r="I1750" s="1" t="s">
        <v>18</v>
      </c>
      <c r="J1750" s="1">
        <v>4</v>
      </c>
      <c r="K1750" s="1" t="s">
        <v>19</v>
      </c>
      <c r="L1750" s="1" t="s">
        <v>55</v>
      </c>
      <c r="M1750" s="1">
        <f>orders[[#This Row],[Ship Date]]-orders[[#This Row],[Order Date]]</f>
        <v>2</v>
      </c>
      <c r="N1750" s="1">
        <f>WEEKNUM(orders[[#This Row],[Order Date]])</f>
        <v>10</v>
      </c>
      <c r="O1750" s="1" t="str" cm="1">
        <f t="array" ref="O1750">_xlfn.IFS(orders[[#This Row],[Customer Gender]]="M","Male", orders[[#This Row],[Customer Gender]]="F","Female", orders[[#This Row],[Customer Gender]]="O","Other", TRUE,"Unknown")</f>
        <v>Male</v>
      </c>
    </row>
    <row r="1751" spans="1:15">
      <c r="A1751" s="1" t="s">
        <v>1850</v>
      </c>
      <c r="B1751" s="1" t="s">
        <v>46</v>
      </c>
      <c r="C1751" s="1">
        <v>8</v>
      </c>
      <c r="D1751" s="1">
        <v>38.299999999999997</v>
      </c>
      <c r="E1751" s="11">
        <v>306.39999999999998</v>
      </c>
      <c r="F1751" s="3">
        <v>45721</v>
      </c>
      <c r="G1751" s="3">
        <v>45722</v>
      </c>
      <c r="H1751" s="1" t="s">
        <v>23</v>
      </c>
      <c r="I1751" s="1" t="s">
        <v>18</v>
      </c>
      <c r="J1751" s="1">
        <v>4</v>
      </c>
      <c r="K1751" s="1" t="s">
        <v>19</v>
      </c>
      <c r="L1751" s="1" t="s">
        <v>59</v>
      </c>
      <c r="M1751" s="1">
        <f>orders[[#This Row],[Ship Date]]-orders[[#This Row],[Order Date]]</f>
        <v>1</v>
      </c>
      <c r="N1751" s="1">
        <f>WEEKNUM(orders[[#This Row],[Order Date]])</f>
        <v>10</v>
      </c>
      <c r="O1751" s="1" t="str" cm="1">
        <f t="array" ref="O1751">_xlfn.IFS(orders[[#This Row],[Customer Gender]]="M","Male", orders[[#This Row],[Customer Gender]]="F","Female", orders[[#This Row],[Customer Gender]]="O","Other", TRUE,"Unknown")</f>
        <v>Male</v>
      </c>
    </row>
    <row r="1752" spans="1:15">
      <c r="A1752" s="1" t="s">
        <v>1851</v>
      </c>
      <c r="B1752" s="1" t="s">
        <v>16</v>
      </c>
      <c r="C1752" s="1">
        <v>7</v>
      </c>
      <c r="D1752" s="1">
        <v>16.8</v>
      </c>
      <c r="E1752" s="11">
        <v>117.60000000000001</v>
      </c>
      <c r="F1752" s="3">
        <v>45721</v>
      </c>
      <c r="G1752" s="3">
        <v>45724</v>
      </c>
      <c r="H1752" s="1" t="s">
        <v>23</v>
      </c>
      <c r="I1752" s="1" t="s">
        <v>40</v>
      </c>
      <c r="J1752" s="1">
        <v>3</v>
      </c>
      <c r="K1752" s="1" t="s">
        <v>19</v>
      </c>
      <c r="L1752" s="1" t="s">
        <v>62</v>
      </c>
      <c r="M1752" s="1">
        <f>orders[[#This Row],[Ship Date]]-orders[[#This Row],[Order Date]]</f>
        <v>3</v>
      </c>
      <c r="N1752" s="1">
        <f>WEEKNUM(orders[[#This Row],[Order Date]])</f>
        <v>10</v>
      </c>
      <c r="O1752" s="1" t="str" cm="1">
        <f t="array" ref="O1752">_xlfn.IFS(orders[[#This Row],[Customer Gender]]="M","Male", orders[[#This Row],[Customer Gender]]="F","Female", orders[[#This Row],[Customer Gender]]="O","Other", TRUE,"Unknown")</f>
        <v>Male</v>
      </c>
    </row>
    <row r="1753" spans="1:15">
      <c r="A1753" s="1" t="s">
        <v>1852</v>
      </c>
      <c r="B1753" s="1" t="s">
        <v>26</v>
      </c>
      <c r="C1753" s="1">
        <v>3</v>
      </c>
      <c r="D1753" s="1">
        <v>63.2</v>
      </c>
      <c r="E1753" s="11">
        <v>189.60000000000002</v>
      </c>
      <c r="F1753" s="3">
        <v>45721</v>
      </c>
      <c r="G1753" s="3">
        <v>45722</v>
      </c>
      <c r="H1753" s="1" t="s">
        <v>27</v>
      </c>
      <c r="I1753" s="1" t="s">
        <v>18</v>
      </c>
      <c r="J1753" s="1">
        <v>5</v>
      </c>
      <c r="K1753" s="1" t="s">
        <v>19</v>
      </c>
      <c r="L1753" s="1" t="s">
        <v>62</v>
      </c>
      <c r="M1753" s="1">
        <f>orders[[#This Row],[Ship Date]]-orders[[#This Row],[Order Date]]</f>
        <v>1</v>
      </c>
      <c r="N1753" s="1">
        <f>WEEKNUM(orders[[#This Row],[Order Date]])</f>
        <v>10</v>
      </c>
      <c r="O1753" s="1" t="str" cm="1">
        <f t="array" ref="O1753">_xlfn.IFS(orders[[#This Row],[Customer Gender]]="M","Male", orders[[#This Row],[Customer Gender]]="F","Female", orders[[#This Row],[Customer Gender]]="O","Other", TRUE,"Unknown")</f>
        <v>Female</v>
      </c>
    </row>
    <row r="1754" spans="1:15">
      <c r="A1754" s="1" t="s">
        <v>1853</v>
      </c>
      <c r="B1754" s="1" t="s">
        <v>81</v>
      </c>
      <c r="C1754" s="1">
        <v>23</v>
      </c>
      <c r="D1754" s="1">
        <v>39.700000000000003</v>
      </c>
      <c r="E1754" s="11">
        <v>913.1</v>
      </c>
      <c r="F1754" s="3">
        <v>45721</v>
      </c>
      <c r="G1754" s="3">
        <v>45722</v>
      </c>
      <c r="H1754" s="1" t="s">
        <v>23</v>
      </c>
      <c r="I1754" s="1" t="s">
        <v>18</v>
      </c>
      <c r="J1754" s="1">
        <v>4</v>
      </c>
      <c r="K1754" s="1" t="s">
        <v>19</v>
      </c>
      <c r="L1754" s="1" t="s">
        <v>62</v>
      </c>
      <c r="M1754" s="1">
        <f>orders[[#This Row],[Ship Date]]-orders[[#This Row],[Order Date]]</f>
        <v>1</v>
      </c>
      <c r="N1754" s="1">
        <f>WEEKNUM(orders[[#This Row],[Order Date]])</f>
        <v>10</v>
      </c>
      <c r="O1754" s="1" t="str" cm="1">
        <f t="array" ref="O1754">_xlfn.IFS(orders[[#This Row],[Customer Gender]]="M","Male", orders[[#This Row],[Customer Gender]]="F","Female", orders[[#This Row],[Customer Gender]]="O","Other", TRUE,"Unknown")</f>
        <v>Male</v>
      </c>
    </row>
    <row r="1755" spans="1:15">
      <c r="A1755" s="1" t="s">
        <v>1854</v>
      </c>
      <c r="B1755" s="1" t="s">
        <v>54</v>
      </c>
      <c r="C1755" s="1">
        <v>3</v>
      </c>
      <c r="D1755" s="1">
        <v>45.8</v>
      </c>
      <c r="E1755" s="11">
        <v>137.39999999999998</v>
      </c>
      <c r="F1755" s="3">
        <v>45721</v>
      </c>
      <c r="G1755" s="3">
        <v>45722</v>
      </c>
      <c r="H1755" s="1" t="s">
        <v>27</v>
      </c>
      <c r="I1755" s="1" t="s">
        <v>35</v>
      </c>
      <c r="J1755" s="1">
        <v>5</v>
      </c>
      <c r="K1755" s="1" t="s">
        <v>19</v>
      </c>
      <c r="L1755" s="1" t="s">
        <v>62</v>
      </c>
      <c r="M1755" s="1">
        <f>orders[[#This Row],[Ship Date]]-orders[[#This Row],[Order Date]]</f>
        <v>1</v>
      </c>
      <c r="N1755" s="1">
        <f>WEEKNUM(orders[[#This Row],[Order Date]])</f>
        <v>10</v>
      </c>
      <c r="O1755" s="1" t="str" cm="1">
        <f t="array" ref="O1755">_xlfn.IFS(orders[[#This Row],[Customer Gender]]="M","Male", orders[[#This Row],[Customer Gender]]="F","Female", orders[[#This Row],[Customer Gender]]="O","Other", TRUE,"Unknown")</f>
        <v>Female</v>
      </c>
    </row>
    <row r="1756" spans="1:15">
      <c r="A1756" s="1" t="s">
        <v>1855</v>
      </c>
      <c r="B1756" s="1" t="s">
        <v>16</v>
      </c>
      <c r="C1756" s="1">
        <v>6</v>
      </c>
      <c r="D1756" s="1">
        <v>12.4</v>
      </c>
      <c r="E1756" s="11">
        <v>74.400000000000006</v>
      </c>
      <c r="F1756" s="3">
        <v>45721</v>
      </c>
      <c r="G1756" s="3">
        <v>45724</v>
      </c>
      <c r="H1756" s="1" t="s">
        <v>23</v>
      </c>
      <c r="I1756" s="1" t="s">
        <v>18</v>
      </c>
      <c r="J1756" s="1">
        <v>4</v>
      </c>
      <c r="K1756" s="1" t="s">
        <v>19</v>
      </c>
      <c r="L1756" s="1" t="s">
        <v>62</v>
      </c>
      <c r="M1756" s="1">
        <f>orders[[#This Row],[Ship Date]]-orders[[#This Row],[Order Date]]</f>
        <v>3</v>
      </c>
      <c r="N1756" s="1">
        <f>WEEKNUM(orders[[#This Row],[Order Date]])</f>
        <v>10</v>
      </c>
      <c r="O1756" s="1" t="str" cm="1">
        <f t="array" ref="O1756">_xlfn.IFS(orders[[#This Row],[Customer Gender]]="M","Male", orders[[#This Row],[Customer Gender]]="F","Female", orders[[#This Row],[Customer Gender]]="O","Other", TRUE,"Unknown")</f>
        <v>Male</v>
      </c>
    </row>
    <row r="1757" spans="1:15">
      <c r="A1757" s="1" t="s">
        <v>1856</v>
      </c>
      <c r="B1757" s="1" t="s">
        <v>81</v>
      </c>
      <c r="C1757" s="1">
        <v>3</v>
      </c>
      <c r="D1757" s="1">
        <v>50.8</v>
      </c>
      <c r="E1757" s="11">
        <v>152.39999999999998</v>
      </c>
      <c r="F1757" s="3">
        <v>45722</v>
      </c>
      <c r="G1757" s="3">
        <v>45722</v>
      </c>
      <c r="H1757" s="1" t="s">
        <v>27</v>
      </c>
      <c r="I1757" s="1" t="s">
        <v>70</v>
      </c>
      <c r="J1757" s="1">
        <v>4</v>
      </c>
      <c r="K1757" s="1" t="s">
        <v>19</v>
      </c>
      <c r="L1757" s="1" t="s">
        <v>103</v>
      </c>
      <c r="M1757" s="1">
        <f>orders[[#This Row],[Ship Date]]-orders[[#This Row],[Order Date]]</f>
        <v>0</v>
      </c>
      <c r="N1757" s="1">
        <f>WEEKNUM(orders[[#This Row],[Order Date]])</f>
        <v>10</v>
      </c>
      <c r="O1757" s="1" t="str" cm="1">
        <f t="array" ref="O1757">_xlfn.IFS(orders[[#This Row],[Customer Gender]]="M","Male", orders[[#This Row],[Customer Gender]]="F","Female", orders[[#This Row],[Customer Gender]]="O","Other", TRUE,"Unknown")</f>
        <v>Female</v>
      </c>
    </row>
    <row r="1758" spans="1:15">
      <c r="A1758" s="1" t="s">
        <v>1857</v>
      </c>
      <c r="B1758" s="1" t="s">
        <v>46</v>
      </c>
      <c r="C1758" s="1">
        <v>1</v>
      </c>
      <c r="D1758" s="1">
        <v>76</v>
      </c>
      <c r="E1758" s="11">
        <v>76</v>
      </c>
      <c r="F1758" s="3">
        <v>45722</v>
      </c>
      <c r="G1758" s="3">
        <v>45726</v>
      </c>
      <c r="H1758" s="1" t="s">
        <v>89</v>
      </c>
      <c r="I1758" s="1" t="s">
        <v>40</v>
      </c>
      <c r="J1758" s="1">
        <v>5</v>
      </c>
      <c r="K1758" s="1" t="s">
        <v>19</v>
      </c>
      <c r="L1758" s="1" t="s">
        <v>103</v>
      </c>
      <c r="M1758" s="1">
        <f>orders[[#This Row],[Ship Date]]-orders[[#This Row],[Order Date]]</f>
        <v>4</v>
      </c>
      <c r="N1758" s="1">
        <f>WEEKNUM(orders[[#This Row],[Order Date]])</f>
        <v>10</v>
      </c>
      <c r="O1758" s="1" t="str" cm="1">
        <f t="array" ref="O1758">_xlfn.IFS(orders[[#This Row],[Customer Gender]]="M","Male", orders[[#This Row],[Customer Gender]]="F","Female", orders[[#This Row],[Customer Gender]]="O","Other", TRUE,"Unknown")</f>
        <v>Other</v>
      </c>
    </row>
    <row r="1759" spans="1:15">
      <c r="A1759" s="1" t="s">
        <v>1858</v>
      </c>
      <c r="B1759" s="1" t="s">
        <v>22</v>
      </c>
      <c r="C1759" s="1">
        <v>2</v>
      </c>
      <c r="D1759" s="1">
        <v>51.9</v>
      </c>
      <c r="E1759" s="11">
        <v>103.8</v>
      </c>
      <c r="F1759" s="3">
        <v>45722</v>
      </c>
      <c r="G1759" s="3">
        <v>45723</v>
      </c>
      <c r="H1759" s="1" t="s">
        <v>23</v>
      </c>
      <c r="I1759" s="1" t="s">
        <v>35</v>
      </c>
      <c r="J1759" s="1">
        <v>5</v>
      </c>
      <c r="K1759" s="1" t="s">
        <v>19</v>
      </c>
      <c r="L1759" s="1" t="s">
        <v>201</v>
      </c>
      <c r="M1759" s="1">
        <f>orders[[#This Row],[Ship Date]]-orders[[#This Row],[Order Date]]</f>
        <v>1</v>
      </c>
      <c r="N1759" s="1">
        <f>WEEKNUM(orders[[#This Row],[Order Date]])</f>
        <v>10</v>
      </c>
      <c r="O1759" s="1" t="str" cm="1">
        <f t="array" ref="O1759">_xlfn.IFS(orders[[#This Row],[Customer Gender]]="M","Male", orders[[#This Row],[Customer Gender]]="F","Female", orders[[#This Row],[Customer Gender]]="O","Other", TRUE,"Unknown")</f>
        <v>Male</v>
      </c>
    </row>
    <row r="1760" spans="1:15">
      <c r="A1760" s="1" t="s">
        <v>1859</v>
      </c>
      <c r="B1760" s="1" t="s">
        <v>26</v>
      </c>
      <c r="C1760" s="1">
        <v>2</v>
      </c>
      <c r="D1760" s="1">
        <v>93.4</v>
      </c>
      <c r="E1760" s="11">
        <v>186.8</v>
      </c>
      <c r="F1760" s="3">
        <v>45722</v>
      </c>
      <c r="G1760" s="3">
        <v>45729</v>
      </c>
      <c r="H1760" s="1" t="s">
        <v>23</v>
      </c>
      <c r="I1760" s="1" t="s">
        <v>18</v>
      </c>
      <c r="J1760" s="1">
        <v>1</v>
      </c>
      <c r="K1760" s="1" t="s">
        <v>19</v>
      </c>
      <c r="L1760" s="1" t="s">
        <v>77</v>
      </c>
      <c r="M1760" s="1">
        <f>orders[[#This Row],[Ship Date]]-orders[[#This Row],[Order Date]]</f>
        <v>7</v>
      </c>
      <c r="N1760" s="1">
        <f>WEEKNUM(orders[[#This Row],[Order Date]])</f>
        <v>10</v>
      </c>
      <c r="O1760" s="1" t="str" cm="1">
        <f t="array" ref="O1760">_xlfn.IFS(orders[[#This Row],[Customer Gender]]="M","Male", orders[[#This Row],[Customer Gender]]="F","Female", orders[[#This Row],[Customer Gender]]="O","Other", TRUE,"Unknown")</f>
        <v>Male</v>
      </c>
    </row>
    <row r="1761" spans="1:15">
      <c r="A1761" s="1" t="s">
        <v>1860</v>
      </c>
      <c r="B1761" s="1" t="s">
        <v>42</v>
      </c>
      <c r="C1761" s="1">
        <v>6</v>
      </c>
      <c r="D1761" s="1">
        <v>30.8</v>
      </c>
      <c r="E1761" s="11">
        <v>184.8</v>
      </c>
      <c r="F1761" s="3">
        <v>45722</v>
      </c>
      <c r="G1761" s="3">
        <v>45725</v>
      </c>
      <c r="H1761" s="1" t="s">
        <v>27</v>
      </c>
      <c r="I1761" s="1" t="s">
        <v>35</v>
      </c>
      <c r="J1761" s="1">
        <v>4</v>
      </c>
      <c r="K1761" s="1" t="s">
        <v>19</v>
      </c>
      <c r="L1761" s="1" t="s">
        <v>77</v>
      </c>
      <c r="M1761" s="1">
        <f>orders[[#This Row],[Ship Date]]-orders[[#This Row],[Order Date]]</f>
        <v>3</v>
      </c>
      <c r="N1761" s="1">
        <f>WEEKNUM(orders[[#This Row],[Order Date]])</f>
        <v>10</v>
      </c>
      <c r="O1761" s="1" t="str" cm="1">
        <f t="array" ref="O1761">_xlfn.IFS(orders[[#This Row],[Customer Gender]]="M","Male", orders[[#This Row],[Customer Gender]]="F","Female", orders[[#This Row],[Customer Gender]]="O","Other", TRUE,"Unknown")</f>
        <v>Female</v>
      </c>
    </row>
    <row r="1762" spans="1:15">
      <c r="A1762" s="1" t="s">
        <v>1861</v>
      </c>
      <c r="B1762" s="1" t="s">
        <v>26</v>
      </c>
      <c r="C1762" s="1">
        <v>1</v>
      </c>
      <c r="D1762" s="1">
        <v>143.19999999999999</v>
      </c>
      <c r="E1762" s="11">
        <v>143.19999999999999</v>
      </c>
      <c r="F1762" s="3">
        <v>45722</v>
      </c>
      <c r="G1762" s="3">
        <v>45725</v>
      </c>
      <c r="H1762" s="1" t="s">
        <v>23</v>
      </c>
      <c r="I1762" s="1" t="s">
        <v>40</v>
      </c>
      <c r="J1762" s="1">
        <v>4</v>
      </c>
      <c r="K1762" s="1" t="s">
        <v>19</v>
      </c>
      <c r="L1762" s="1" t="s">
        <v>77</v>
      </c>
      <c r="M1762" s="1">
        <f>orders[[#This Row],[Ship Date]]-orders[[#This Row],[Order Date]]</f>
        <v>3</v>
      </c>
      <c r="N1762" s="1">
        <f>WEEKNUM(orders[[#This Row],[Order Date]])</f>
        <v>10</v>
      </c>
      <c r="O1762" s="1" t="str" cm="1">
        <f t="array" ref="O1762">_xlfn.IFS(orders[[#This Row],[Customer Gender]]="M","Male", orders[[#This Row],[Customer Gender]]="F","Female", orders[[#This Row],[Customer Gender]]="O","Other", TRUE,"Unknown")</f>
        <v>Male</v>
      </c>
    </row>
    <row r="1763" spans="1:15">
      <c r="A1763" s="1" t="s">
        <v>1862</v>
      </c>
      <c r="B1763" s="1" t="s">
        <v>39</v>
      </c>
      <c r="C1763" s="1">
        <v>11</v>
      </c>
      <c r="D1763" s="1">
        <v>40.4</v>
      </c>
      <c r="E1763" s="11">
        <v>444.4</v>
      </c>
      <c r="F1763" s="3">
        <v>45722</v>
      </c>
      <c r="G1763" s="3">
        <v>45724</v>
      </c>
      <c r="H1763" s="1" t="s">
        <v>23</v>
      </c>
      <c r="I1763" s="1" t="s">
        <v>40</v>
      </c>
      <c r="J1763" s="1">
        <v>5</v>
      </c>
      <c r="K1763" s="1" t="s">
        <v>19</v>
      </c>
      <c r="L1763" s="1" t="s">
        <v>108</v>
      </c>
      <c r="M1763" s="1">
        <f>orders[[#This Row],[Ship Date]]-orders[[#This Row],[Order Date]]</f>
        <v>2</v>
      </c>
      <c r="N1763" s="1">
        <f>WEEKNUM(orders[[#This Row],[Order Date]])</f>
        <v>10</v>
      </c>
      <c r="O1763" s="1" t="str" cm="1">
        <f t="array" ref="O1763">_xlfn.IFS(orders[[#This Row],[Customer Gender]]="M","Male", orders[[#This Row],[Customer Gender]]="F","Female", orders[[#This Row],[Customer Gender]]="O","Other", TRUE,"Unknown")</f>
        <v>Male</v>
      </c>
    </row>
    <row r="1764" spans="1:15">
      <c r="A1764" s="1" t="s">
        <v>1863</v>
      </c>
      <c r="B1764" s="1" t="s">
        <v>26</v>
      </c>
      <c r="C1764" s="1">
        <v>19</v>
      </c>
      <c r="D1764" s="1">
        <v>131.5</v>
      </c>
      <c r="E1764" s="11">
        <v>2498.5</v>
      </c>
      <c r="F1764" s="3">
        <v>45722</v>
      </c>
      <c r="G1764" s="3">
        <v>45724</v>
      </c>
      <c r="H1764" s="1" t="s">
        <v>23</v>
      </c>
      <c r="I1764" s="1" t="s">
        <v>35</v>
      </c>
      <c r="J1764" s="1">
        <v>3</v>
      </c>
      <c r="K1764" s="1" t="s">
        <v>19</v>
      </c>
      <c r="L1764" s="1" t="s">
        <v>108</v>
      </c>
      <c r="M1764" s="1">
        <f>orders[[#This Row],[Ship Date]]-orders[[#This Row],[Order Date]]</f>
        <v>2</v>
      </c>
      <c r="N1764" s="1">
        <f>WEEKNUM(orders[[#This Row],[Order Date]])</f>
        <v>10</v>
      </c>
      <c r="O1764" s="1" t="str" cm="1">
        <f t="array" ref="O1764">_xlfn.IFS(orders[[#This Row],[Customer Gender]]="M","Male", orders[[#This Row],[Customer Gender]]="F","Female", orders[[#This Row],[Customer Gender]]="O","Other", TRUE,"Unknown")</f>
        <v>Male</v>
      </c>
    </row>
    <row r="1765" spans="1:15">
      <c r="A1765" s="1" t="s">
        <v>1864</v>
      </c>
      <c r="B1765" s="1" t="s">
        <v>146</v>
      </c>
      <c r="C1765" s="1">
        <v>7</v>
      </c>
      <c r="D1765" s="1">
        <v>61.6</v>
      </c>
      <c r="E1765" s="11">
        <v>431.2</v>
      </c>
      <c r="F1765" s="3">
        <v>45722</v>
      </c>
      <c r="G1765" s="3">
        <v>45723</v>
      </c>
      <c r="H1765" s="1" t="s">
        <v>23</v>
      </c>
      <c r="I1765" s="1" t="s">
        <v>40</v>
      </c>
      <c r="J1765" s="1">
        <v>4</v>
      </c>
      <c r="K1765" s="1" t="s">
        <v>19</v>
      </c>
      <c r="L1765" s="1" t="s">
        <v>115</v>
      </c>
      <c r="M1765" s="1">
        <f>orders[[#This Row],[Ship Date]]-orders[[#This Row],[Order Date]]</f>
        <v>1</v>
      </c>
      <c r="N1765" s="1">
        <f>WEEKNUM(orders[[#This Row],[Order Date]])</f>
        <v>10</v>
      </c>
      <c r="O1765" s="1" t="str" cm="1">
        <f t="array" ref="O1765">_xlfn.IFS(orders[[#This Row],[Customer Gender]]="M","Male", orders[[#This Row],[Customer Gender]]="F","Female", orders[[#This Row],[Customer Gender]]="O","Other", TRUE,"Unknown")</f>
        <v>Male</v>
      </c>
    </row>
    <row r="1766" spans="1:15">
      <c r="A1766" s="1" t="s">
        <v>1865</v>
      </c>
      <c r="B1766" s="1" t="s">
        <v>46</v>
      </c>
      <c r="C1766" s="1">
        <v>5</v>
      </c>
      <c r="D1766" s="1">
        <v>32.700000000000003</v>
      </c>
      <c r="E1766" s="11">
        <v>163.5</v>
      </c>
      <c r="F1766" s="3">
        <v>45722</v>
      </c>
      <c r="G1766" s="3">
        <v>45724</v>
      </c>
      <c r="H1766" s="1" t="s">
        <v>23</v>
      </c>
      <c r="I1766" s="1" t="s">
        <v>40</v>
      </c>
      <c r="J1766" s="1">
        <v>4</v>
      </c>
      <c r="K1766" s="1" t="s">
        <v>19</v>
      </c>
      <c r="L1766" s="1" t="s">
        <v>24</v>
      </c>
      <c r="M1766" s="1">
        <f>orders[[#This Row],[Ship Date]]-orders[[#This Row],[Order Date]]</f>
        <v>2</v>
      </c>
      <c r="N1766" s="1">
        <f>WEEKNUM(orders[[#This Row],[Order Date]])</f>
        <v>10</v>
      </c>
      <c r="O1766" s="1" t="str" cm="1">
        <f t="array" ref="O1766">_xlfn.IFS(orders[[#This Row],[Customer Gender]]="M","Male", orders[[#This Row],[Customer Gender]]="F","Female", orders[[#This Row],[Customer Gender]]="O","Other", TRUE,"Unknown")</f>
        <v>Male</v>
      </c>
    </row>
    <row r="1767" spans="1:15">
      <c r="A1767" s="1" t="s">
        <v>1866</v>
      </c>
      <c r="B1767" s="1" t="s">
        <v>16</v>
      </c>
      <c r="C1767" s="1">
        <v>10</v>
      </c>
      <c r="D1767" s="1">
        <v>13.7</v>
      </c>
      <c r="E1767" s="11">
        <v>137</v>
      </c>
      <c r="F1767" s="3">
        <v>45722</v>
      </c>
      <c r="G1767" s="3">
        <v>45723</v>
      </c>
      <c r="H1767" s="1" t="s">
        <v>23</v>
      </c>
      <c r="I1767" s="1" t="s">
        <v>18</v>
      </c>
      <c r="J1767" s="1">
        <v>5</v>
      </c>
      <c r="K1767" s="1" t="s">
        <v>19</v>
      </c>
      <c r="L1767" s="1" t="s">
        <v>33</v>
      </c>
      <c r="M1767" s="1">
        <f>orders[[#This Row],[Ship Date]]-orders[[#This Row],[Order Date]]</f>
        <v>1</v>
      </c>
      <c r="N1767" s="1">
        <f>WEEKNUM(orders[[#This Row],[Order Date]])</f>
        <v>10</v>
      </c>
      <c r="O1767" s="1" t="str" cm="1">
        <f t="array" ref="O1767">_xlfn.IFS(orders[[#This Row],[Customer Gender]]="M","Male", orders[[#This Row],[Customer Gender]]="F","Female", orders[[#This Row],[Customer Gender]]="O","Other", TRUE,"Unknown")</f>
        <v>Male</v>
      </c>
    </row>
    <row r="1768" spans="1:15">
      <c r="A1768" s="1" t="s">
        <v>1867</v>
      </c>
      <c r="B1768" s="1" t="s">
        <v>16</v>
      </c>
      <c r="C1768" s="1">
        <v>4</v>
      </c>
      <c r="D1768" s="1">
        <v>32.1</v>
      </c>
      <c r="E1768" s="11">
        <v>128.4</v>
      </c>
      <c r="F1768" s="3">
        <v>45722</v>
      </c>
      <c r="G1768" s="3">
        <v>45723</v>
      </c>
      <c r="H1768" s="1" t="s">
        <v>23</v>
      </c>
      <c r="I1768" s="1" t="s">
        <v>70</v>
      </c>
      <c r="J1768" s="1">
        <v>3</v>
      </c>
      <c r="K1768" s="1" t="s">
        <v>19</v>
      </c>
      <c r="L1768" s="1" t="s">
        <v>33</v>
      </c>
      <c r="M1768" s="1">
        <f>orders[[#This Row],[Ship Date]]-orders[[#This Row],[Order Date]]</f>
        <v>1</v>
      </c>
      <c r="N1768" s="1">
        <f>WEEKNUM(orders[[#This Row],[Order Date]])</f>
        <v>10</v>
      </c>
      <c r="O1768" s="1" t="str" cm="1">
        <f t="array" ref="O1768">_xlfn.IFS(orders[[#This Row],[Customer Gender]]="M","Male", orders[[#This Row],[Customer Gender]]="F","Female", orders[[#This Row],[Customer Gender]]="O","Other", TRUE,"Unknown")</f>
        <v>Male</v>
      </c>
    </row>
    <row r="1769" spans="1:15">
      <c r="A1769" s="1" t="s">
        <v>1868</v>
      </c>
      <c r="B1769" s="1" t="s">
        <v>81</v>
      </c>
      <c r="C1769" s="1">
        <v>8</v>
      </c>
      <c r="D1769" s="1">
        <v>12</v>
      </c>
      <c r="E1769" s="11">
        <v>96</v>
      </c>
      <c r="F1769" s="3">
        <v>45722</v>
      </c>
      <c r="G1769" s="3">
        <v>45723</v>
      </c>
      <c r="H1769" s="1" t="s">
        <v>23</v>
      </c>
      <c r="I1769" s="1" t="s">
        <v>35</v>
      </c>
      <c r="J1769" s="1">
        <v>4</v>
      </c>
      <c r="K1769" s="1" t="s">
        <v>19</v>
      </c>
      <c r="L1769" s="1" t="s">
        <v>186</v>
      </c>
      <c r="M1769" s="1">
        <f>orders[[#This Row],[Ship Date]]-orders[[#This Row],[Order Date]]</f>
        <v>1</v>
      </c>
      <c r="N1769" s="1">
        <f>WEEKNUM(orders[[#This Row],[Order Date]])</f>
        <v>10</v>
      </c>
      <c r="O1769" s="1" t="str" cm="1">
        <f t="array" ref="O1769">_xlfn.IFS(orders[[#This Row],[Customer Gender]]="M","Male", orders[[#This Row],[Customer Gender]]="F","Female", orders[[#This Row],[Customer Gender]]="O","Other", TRUE,"Unknown")</f>
        <v>Male</v>
      </c>
    </row>
    <row r="1770" spans="1:15">
      <c r="A1770" s="1" t="s">
        <v>1869</v>
      </c>
      <c r="B1770" s="1" t="s">
        <v>69</v>
      </c>
      <c r="C1770" s="1">
        <v>1</v>
      </c>
      <c r="D1770" s="1">
        <v>64.3</v>
      </c>
      <c r="E1770" s="11">
        <v>64.3</v>
      </c>
      <c r="F1770" s="3">
        <v>45722</v>
      </c>
      <c r="G1770" s="3">
        <v>45724</v>
      </c>
      <c r="H1770" s="1" t="s">
        <v>27</v>
      </c>
      <c r="I1770" s="1" t="s">
        <v>40</v>
      </c>
      <c r="J1770" s="1">
        <v>5</v>
      </c>
      <c r="K1770" s="1" t="s">
        <v>19</v>
      </c>
      <c r="L1770" s="1" t="s">
        <v>55</v>
      </c>
      <c r="M1770" s="1">
        <f>orders[[#This Row],[Ship Date]]-orders[[#This Row],[Order Date]]</f>
        <v>2</v>
      </c>
      <c r="N1770" s="1">
        <f>WEEKNUM(orders[[#This Row],[Order Date]])</f>
        <v>10</v>
      </c>
      <c r="O1770" s="1" t="str" cm="1">
        <f t="array" ref="O1770">_xlfn.IFS(orders[[#This Row],[Customer Gender]]="M","Male", orders[[#This Row],[Customer Gender]]="F","Female", orders[[#This Row],[Customer Gender]]="O","Other", TRUE,"Unknown")</f>
        <v>Female</v>
      </c>
    </row>
    <row r="1771" spans="1:15">
      <c r="A1771" s="1" t="s">
        <v>1870</v>
      </c>
      <c r="B1771" s="1" t="s">
        <v>22</v>
      </c>
      <c r="C1771" s="1">
        <v>3</v>
      </c>
      <c r="D1771" s="1">
        <v>58.2</v>
      </c>
      <c r="E1771" s="11">
        <v>174.60000000000002</v>
      </c>
      <c r="F1771" s="3">
        <v>45722</v>
      </c>
      <c r="G1771" s="3">
        <v>45724</v>
      </c>
      <c r="H1771" s="1" t="s">
        <v>27</v>
      </c>
      <c r="I1771" s="1" t="s">
        <v>35</v>
      </c>
      <c r="J1771" s="1">
        <v>5</v>
      </c>
      <c r="K1771" s="1" t="s">
        <v>19</v>
      </c>
      <c r="L1771" s="1" t="s">
        <v>55</v>
      </c>
      <c r="M1771" s="1">
        <f>orders[[#This Row],[Ship Date]]-orders[[#This Row],[Order Date]]</f>
        <v>2</v>
      </c>
      <c r="N1771" s="1">
        <f>WEEKNUM(orders[[#This Row],[Order Date]])</f>
        <v>10</v>
      </c>
      <c r="O1771" s="1" t="str" cm="1">
        <f t="array" ref="O1771">_xlfn.IFS(orders[[#This Row],[Customer Gender]]="M","Male", orders[[#This Row],[Customer Gender]]="F","Female", orders[[#This Row],[Customer Gender]]="O","Other", TRUE,"Unknown")</f>
        <v>Female</v>
      </c>
    </row>
    <row r="1772" spans="1:15">
      <c r="A1772" s="1" t="s">
        <v>1871</v>
      </c>
      <c r="B1772" s="1" t="s">
        <v>39</v>
      </c>
      <c r="C1772" s="1">
        <v>4</v>
      </c>
      <c r="D1772" s="1">
        <v>59.2</v>
      </c>
      <c r="E1772" s="11">
        <v>236.8</v>
      </c>
      <c r="F1772" s="3">
        <v>45722</v>
      </c>
      <c r="G1772" s="3">
        <v>45722</v>
      </c>
      <c r="H1772" s="1" t="s">
        <v>23</v>
      </c>
      <c r="I1772" s="1" t="s">
        <v>35</v>
      </c>
      <c r="J1772" s="1">
        <v>5</v>
      </c>
      <c r="K1772" s="1" t="s">
        <v>19</v>
      </c>
      <c r="L1772" s="1" t="s">
        <v>55</v>
      </c>
      <c r="M1772" s="1">
        <f>orders[[#This Row],[Ship Date]]-orders[[#This Row],[Order Date]]</f>
        <v>0</v>
      </c>
      <c r="N1772" s="1">
        <f>WEEKNUM(orders[[#This Row],[Order Date]])</f>
        <v>10</v>
      </c>
      <c r="O1772" s="1" t="str" cm="1">
        <f t="array" ref="O1772">_xlfn.IFS(orders[[#This Row],[Customer Gender]]="M","Male", orders[[#This Row],[Customer Gender]]="F","Female", orders[[#This Row],[Customer Gender]]="O","Other", TRUE,"Unknown")</f>
        <v>Male</v>
      </c>
    </row>
    <row r="1773" spans="1:15">
      <c r="A1773" s="1" t="s">
        <v>1872</v>
      </c>
      <c r="B1773" s="1" t="s">
        <v>54</v>
      </c>
      <c r="C1773" s="1">
        <v>11</v>
      </c>
      <c r="D1773" s="1">
        <v>35.6</v>
      </c>
      <c r="E1773" s="11">
        <v>391.6</v>
      </c>
      <c r="F1773" s="3">
        <v>45722</v>
      </c>
      <c r="G1773" s="3">
        <v>45729</v>
      </c>
      <c r="H1773" s="1" t="s">
        <v>23</v>
      </c>
      <c r="I1773" s="1" t="s">
        <v>18</v>
      </c>
      <c r="J1773" s="1">
        <v>5</v>
      </c>
      <c r="K1773" s="1" t="s">
        <v>19</v>
      </c>
      <c r="L1773" s="1" t="s">
        <v>62</v>
      </c>
      <c r="M1773" s="1">
        <f>orders[[#This Row],[Ship Date]]-orders[[#This Row],[Order Date]]</f>
        <v>7</v>
      </c>
      <c r="N1773" s="1">
        <f>WEEKNUM(orders[[#This Row],[Order Date]])</f>
        <v>10</v>
      </c>
      <c r="O1773" s="1" t="str" cm="1">
        <f t="array" ref="O1773">_xlfn.IFS(orders[[#This Row],[Customer Gender]]="M","Male", orders[[#This Row],[Customer Gender]]="F","Female", orders[[#This Row],[Customer Gender]]="O","Other", TRUE,"Unknown")</f>
        <v>Male</v>
      </c>
    </row>
    <row r="1774" spans="1:15">
      <c r="A1774" s="1" t="s">
        <v>1873</v>
      </c>
      <c r="B1774" s="1" t="s">
        <v>128</v>
      </c>
      <c r="C1774" s="1">
        <v>8</v>
      </c>
      <c r="D1774" s="1">
        <v>37</v>
      </c>
      <c r="E1774" s="11">
        <v>296</v>
      </c>
      <c r="F1774" s="3">
        <v>45722</v>
      </c>
      <c r="G1774" s="3">
        <v>45726</v>
      </c>
      <c r="H1774" s="1" t="s">
        <v>27</v>
      </c>
      <c r="I1774" s="1" t="s">
        <v>40</v>
      </c>
      <c r="J1774" s="1">
        <v>3</v>
      </c>
      <c r="K1774" s="1" t="s">
        <v>19</v>
      </c>
      <c r="L1774" s="1" t="s">
        <v>62</v>
      </c>
      <c r="M1774" s="1">
        <f>orders[[#This Row],[Ship Date]]-orders[[#This Row],[Order Date]]</f>
        <v>4</v>
      </c>
      <c r="N1774" s="1">
        <f>WEEKNUM(orders[[#This Row],[Order Date]])</f>
        <v>10</v>
      </c>
      <c r="O1774" s="1" t="str" cm="1">
        <f t="array" ref="O1774">_xlfn.IFS(orders[[#This Row],[Customer Gender]]="M","Male", orders[[#This Row],[Customer Gender]]="F","Female", orders[[#This Row],[Customer Gender]]="O","Other", TRUE,"Unknown")</f>
        <v>Female</v>
      </c>
    </row>
    <row r="1775" spans="1:15">
      <c r="A1775" s="1" t="s">
        <v>1874</v>
      </c>
      <c r="B1775" s="1" t="s">
        <v>22</v>
      </c>
      <c r="C1775" s="1">
        <v>13</v>
      </c>
      <c r="D1775" s="1">
        <v>80.8</v>
      </c>
      <c r="E1775" s="11">
        <v>1050.3999999999999</v>
      </c>
      <c r="F1775" s="3">
        <v>45722</v>
      </c>
      <c r="G1775" s="3">
        <v>45724</v>
      </c>
      <c r="H1775" s="1" t="s">
        <v>27</v>
      </c>
      <c r="I1775" s="1" t="s">
        <v>18</v>
      </c>
      <c r="J1775" s="1">
        <v>4</v>
      </c>
      <c r="K1775" s="1" t="s">
        <v>19</v>
      </c>
      <c r="L1775" s="1" t="s">
        <v>62</v>
      </c>
      <c r="M1775" s="1">
        <f>orders[[#This Row],[Ship Date]]-orders[[#This Row],[Order Date]]</f>
        <v>2</v>
      </c>
      <c r="N1775" s="1">
        <f>WEEKNUM(orders[[#This Row],[Order Date]])</f>
        <v>10</v>
      </c>
      <c r="O1775" s="1" t="str" cm="1">
        <f t="array" ref="O1775">_xlfn.IFS(orders[[#This Row],[Customer Gender]]="M","Male", orders[[#This Row],[Customer Gender]]="F","Female", orders[[#This Row],[Customer Gender]]="O","Other", TRUE,"Unknown")</f>
        <v>Female</v>
      </c>
    </row>
    <row r="1776" spans="1:15">
      <c r="A1776" s="1" t="s">
        <v>1875</v>
      </c>
      <c r="B1776" s="1" t="s">
        <v>44</v>
      </c>
      <c r="C1776" s="1">
        <v>2</v>
      </c>
      <c r="D1776" s="1">
        <v>63.2</v>
      </c>
      <c r="E1776" s="11">
        <v>126.4</v>
      </c>
      <c r="F1776" s="3">
        <v>45722</v>
      </c>
      <c r="G1776" s="3">
        <v>45723</v>
      </c>
      <c r="H1776" s="1" t="s">
        <v>23</v>
      </c>
      <c r="I1776" s="1" t="s">
        <v>18</v>
      </c>
      <c r="J1776" s="1">
        <v>3</v>
      </c>
      <c r="K1776" s="1" t="s">
        <v>19</v>
      </c>
      <c r="L1776" s="1" t="s">
        <v>62</v>
      </c>
      <c r="M1776" s="1">
        <f>orders[[#This Row],[Ship Date]]-orders[[#This Row],[Order Date]]</f>
        <v>1</v>
      </c>
      <c r="N1776" s="1">
        <f>WEEKNUM(orders[[#This Row],[Order Date]])</f>
        <v>10</v>
      </c>
      <c r="O1776" s="1" t="str" cm="1">
        <f t="array" ref="O1776">_xlfn.IFS(orders[[#This Row],[Customer Gender]]="M","Male", orders[[#This Row],[Customer Gender]]="F","Female", orders[[#This Row],[Customer Gender]]="O","Other", TRUE,"Unknown")</f>
        <v>Male</v>
      </c>
    </row>
    <row r="1777" spans="1:15">
      <c r="A1777" s="1" t="s">
        <v>1876</v>
      </c>
      <c r="B1777" s="1" t="s">
        <v>30</v>
      </c>
      <c r="C1777" s="1">
        <v>2</v>
      </c>
      <c r="D1777" s="1">
        <v>40.799999999999997</v>
      </c>
      <c r="E1777" s="11">
        <v>81.599999999999994</v>
      </c>
      <c r="F1777" s="3">
        <v>45722</v>
      </c>
      <c r="G1777" s="3">
        <v>45724</v>
      </c>
      <c r="H1777" s="1" t="s">
        <v>23</v>
      </c>
      <c r="I1777" s="1" t="s">
        <v>18</v>
      </c>
      <c r="J1777" s="1">
        <v>3</v>
      </c>
      <c r="K1777" s="1" t="s">
        <v>19</v>
      </c>
      <c r="L1777" s="1" t="s">
        <v>103</v>
      </c>
      <c r="M1777" s="1">
        <f>orders[[#This Row],[Ship Date]]-orders[[#This Row],[Order Date]]</f>
        <v>2</v>
      </c>
      <c r="N1777" s="1">
        <f>WEEKNUM(orders[[#This Row],[Order Date]])</f>
        <v>10</v>
      </c>
      <c r="O1777" s="1" t="str" cm="1">
        <f t="array" ref="O1777">_xlfn.IFS(orders[[#This Row],[Customer Gender]]="M","Male", orders[[#This Row],[Customer Gender]]="F","Female", orders[[#This Row],[Customer Gender]]="O","Other", TRUE,"Unknown")</f>
        <v>Male</v>
      </c>
    </row>
    <row r="1778" spans="1:15">
      <c r="A1778" s="1" t="s">
        <v>1877</v>
      </c>
      <c r="B1778" s="1" t="s">
        <v>76</v>
      </c>
      <c r="C1778" s="1">
        <v>6</v>
      </c>
      <c r="D1778" s="1">
        <v>25.7</v>
      </c>
      <c r="E1778" s="11">
        <v>154.19999999999999</v>
      </c>
      <c r="F1778" s="3">
        <v>45722</v>
      </c>
      <c r="G1778" s="3">
        <v>45724</v>
      </c>
      <c r="H1778" s="1" t="s">
        <v>23</v>
      </c>
      <c r="I1778" s="1" t="s">
        <v>70</v>
      </c>
      <c r="J1778" s="1">
        <v>4</v>
      </c>
      <c r="K1778" s="1" t="s">
        <v>19</v>
      </c>
      <c r="L1778" s="1" t="s">
        <v>108</v>
      </c>
      <c r="M1778" s="1">
        <f>orders[[#This Row],[Ship Date]]-orders[[#This Row],[Order Date]]</f>
        <v>2</v>
      </c>
      <c r="N1778" s="1">
        <f>WEEKNUM(orders[[#This Row],[Order Date]])</f>
        <v>10</v>
      </c>
      <c r="O1778" s="1" t="str" cm="1">
        <f t="array" ref="O1778">_xlfn.IFS(orders[[#This Row],[Customer Gender]]="M","Male", orders[[#This Row],[Customer Gender]]="F","Female", orders[[#This Row],[Customer Gender]]="O","Other", TRUE,"Unknown")</f>
        <v>Male</v>
      </c>
    </row>
    <row r="1779" spans="1:15">
      <c r="A1779" s="1" t="s">
        <v>1878</v>
      </c>
      <c r="B1779" s="1" t="s">
        <v>128</v>
      </c>
      <c r="C1779" s="1">
        <v>2</v>
      </c>
      <c r="D1779" s="1">
        <v>49.9</v>
      </c>
      <c r="E1779" s="11">
        <v>99.8</v>
      </c>
      <c r="F1779" s="3">
        <v>45722</v>
      </c>
      <c r="G1779" s="3">
        <v>45725</v>
      </c>
      <c r="H1779" s="1" t="s">
        <v>23</v>
      </c>
      <c r="I1779" s="1" t="s">
        <v>18</v>
      </c>
      <c r="J1779" s="1">
        <v>4</v>
      </c>
      <c r="K1779" s="1" t="s">
        <v>19</v>
      </c>
      <c r="L1779" s="1" t="s">
        <v>113</v>
      </c>
      <c r="M1779" s="1">
        <f>orders[[#This Row],[Ship Date]]-orders[[#This Row],[Order Date]]</f>
        <v>3</v>
      </c>
      <c r="N1779" s="1">
        <f>WEEKNUM(orders[[#This Row],[Order Date]])</f>
        <v>10</v>
      </c>
      <c r="O1779" s="1" t="str" cm="1">
        <f t="array" ref="O1779">_xlfn.IFS(orders[[#This Row],[Customer Gender]]="M","Male", orders[[#This Row],[Customer Gender]]="F","Female", orders[[#This Row],[Customer Gender]]="O","Other", TRUE,"Unknown")</f>
        <v>Male</v>
      </c>
    </row>
    <row r="1780" spans="1:15">
      <c r="A1780" s="1" t="s">
        <v>1879</v>
      </c>
      <c r="B1780" s="1" t="s">
        <v>44</v>
      </c>
      <c r="C1780" s="1">
        <v>2</v>
      </c>
      <c r="D1780" s="1">
        <v>20.2</v>
      </c>
      <c r="E1780" s="11">
        <v>40.4</v>
      </c>
      <c r="F1780" s="3">
        <v>45722</v>
      </c>
      <c r="G1780" s="3">
        <v>45724</v>
      </c>
      <c r="H1780" s="1" t="s">
        <v>27</v>
      </c>
      <c r="I1780" s="1" t="s">
        <v>51</v>
      </c>
      <c r="J1780" s="1">
        <v>4</v>
      </c>
      <c r="K1780" s="1" t="s">
        <v>19</v>
      </c>
      <c r="L1780" s="1" t="s">
        <v>115</v>
      </c>
      <c r="M1780" s="1">
        <f>orders[[#This Row],[Ship Date]]-orders[[#This Row],[Order Date]]</f>
        <v>2</v>
      </c>
      <c r="N1780" s="1">
        <f>WEEKNUM(orders[[#This Row],[Order Date]])</f>
        <v>10</v>
      </c>
      <c r="O1780" s="1" t="str" cm="1">
        <f t="array" ref="O1780">_xlfn.IFS(orders[[#This Row],[Customer Gender]]="M","Male", orders[[#This Row],[Customer Gender]]="F","Female", orders[[#This Row],[Customer Gender]]="O","Other", TRUE,"Unknown")</f>
        <v>Female</v>
      </c>
    </row>
    <row r="1781" spans="1:15">
      <c r="A1781" s="1" t="s">
        <v>1880</v>
      </c>
      <c r="B1781" s="1" t="s">
        <v>39</v>
      </c>
      <c r="C1781" s="1">
        <v>3</v>
      </c>
      <c r="D1781" s="1">
        <v>48.4</v>
      </c>
      <c r="E1781" s="11">
        <v>145.19999999999999</v>
      </c>
      <c r="F1781" s="3">
        <v>45722</v>
      </c>
      <c r="G1781" s="3">
        <v>45727</v>
      </c>
      <c r="H1781" s="1" t="s">
        <v>27</v>
      </c>
      <c r="I1781" s="1" t="s">
        <v>18</v>
      </c>
      <c r="J1781" s="1">
        <v>5</v>
      </c>
      <c r="K1781" s="1" t="s">
        <v>19</v>
      </c>
      <c r="L1781" s="1" t="s">
        <v>115</v>
      </c>
      <c r="M1781" s="1">
        <f>orders[[#This Row],[Ship Date]]-orders[[#This Row],[Order Date]]</f>
        <v>5</v>
      </c>
      <c r="N1781" s="1">
        <f>WEEKNUM(orders[[#This Row],[Order Date]])</f>
        <v>10</v>
      </c>
      <c r="O1781" s="1" t="str" cm="1">
        <f t="array" ref="O1781">_xlfn.IFS(orders[[#This Row],[Customer Gender]]="M","Male", orders[[#This Row],[Customer Gender]]="F","Female", orders[[#This Row],[Customer Gender]]="O","Other", TRUE,"Unknown")</f>
        <v>Female</v>
      </c>
    </row>
    <row r="1782" spans="1:15">
      <c r="A1782" s="1" t="s">
        <v>1881</v>
      </c>
      <c r="B1782" s="1" t="s">
        <v>39</v>
      </c>
      <c r="C1782" s="1">
        <v>2</v>
      </c>
      <c r="D1782" s="1">
        <v>81</v>
      </c>
      <c r="E1782" s="11">
        <v>162</v>
      </c>
      <c r="F1782" s="3">
        <v>45722</v>
      </c>
      <c r="G1782" s="3">
        <v>45723</v>
      </c>
      <c r="H1782" s="1" t="s">
        <v>27</v>
      </c>
      <c r="I1782" s="1" t="s">
        <v>35</v>
      </c>
      <c r="J1782" s="1">
        <v>5</v>
      </c>
      <c r="K1782" s="1" t="s">
        <v>19</v>
      </c>
      <c r="L1782" s="1" t="s">
        <v>115</v>
      </c>
      <c r="M1782" s="1">
        <f>orders[[#This Row],[Ship Date]]-orders[[#This Row],[Order Date]]</f>
        <v>1</v>
      </c>
      <c r="N1782" s="1">
        <f>WEEKNUM(orders[[#This Row],[Order Date]])</f>
        <v>10</v>
      </c>
      <c r="O1782" s="1" t="str" cm="1">
        <f t="array" ref="O1782">_xlfn.IFS(orders[[#This Row],[Customer Gender]]="M","Male", orders[[#This Row],[Customer Gender]]="F","Female", orders[[#This Row],[Customer Gender]]="O","Other", TRUE,"Unknown")</f>
        <v>Female</v>
      </c>
    </row>
    <row r="1783" spans="1:15">
      <c r="A1783" s="1" t="s">
        <v>1882</v>
      </c>
      <c r="B1783" s="1" t="s">
        <v>44</v>
      </c>
      <c r="C1783" s="1">
        <v>6</v>
      </c>
      <c r="D1783" s="1">
        <v>19.899999999999999</v>
      </c>
      <c r="E1783" s="11">
        <v>119.39999999999999</v>
      </c>
      <c r="F1783" s="3">
        <v>45722</v>
      </c>
      <c r="G1783" s="3">
        <v>45725</v>
      </c>
      <c r="H1783" s="1" t="s">
        <v>27</v>
      </c>
      <c r="I1783" s="1" t="s">
        <v>18</v>
      </c>
      <c r="J1783" s="1">
        <v>3</v>
      </c>
      <c r="K1783" s="1" t="s">
        <v>19</v>
      </c>
      <c r="L1783" s="1" t="s">
        <v>147</v>
      </c>
      <c r="M1783" s="1">
        <f>orders[[#This Row],[Ship Date]]-orders[[#This Row],[Order Date]]</f>
        <v>3</v>
      </c>
      <c r="N1783" s="1">
        <f>WEEKNUM(orders[[#This Row],[Order Date]])</f>
        <v>10</v>
      </c>
      <c r="O1783" s="1" t="str" cm="1">
        <f t="array" ref="O1783">_xlfn.IFS(orders[[#This Row],[Customer Gender]]="M","Male", orders[[#This Row],[Customer Gender]]="F","Female", orders[[#This Row],[Customer Gender]]="O","Other", TRUE,"Unknown")</f>
        <v>Female</v>
      </c>
    </row>
    <row r="1784" spans="1:15">
      <c r="A1784" s="1" t="s">
        <v>1883</v>
      </c>
      <c r="B1784" s="1" t="s">
        <v>32</v>
      </c>
      <c r="C1784" s="1">
        <v>4</v>
      </c>
      <c r="D1784" s="1">
        <v>32.200000000000003</v>
      </c>
      <c r="E1784" s="11">
        <v>128.80000000000001</v>
      </c>
      <c r="F1784" s="3">
        <v>45722</v>
      </c>
      <c r="G1784" s="3">
        <v>45732</v>
      </c>
      <c r="H1784" s="1" t="s">
        <v>23</v>
      </c>
      <c r="I1784" s="1" t="s">
        <v>18</v>
      </c>
      <c r="J1784" s="1">
        <v>4</v>
      </c>
      <c r="K1784" s="1" t="s">
        <v>19</v>
      </c>
      <c r="L1784" s="1" t="s">
        <v>147</v>
      </c>
      <c r="M1784" s="1">
        <f>orders[[#This Row],[Ship Date]]-orders[[#This Row],[Order Date]]</f>
        <v>10</v>
      </c>
      <c r="N1784" s="1">
        <f>WEEKNUM(orders[[#This Row],[Order Date]])</f>
        <v>10</v>
      </c>
      <c r="O1784" s="1" t="str" cm="1">
        <f t="array" ref="O1784">_xlfn.IFS(orders[[#This Row],[Customer Gender]]="M","Male", orders[[#This Row],[Customer Gender]]="F","Female", orders[[#This Row],[Customer Gender]]="O","Other", TRUE,"Unknown")</f>
        <v>Male</v>
      </c>
    </row>
    <row r="1785" spans="1:15">
      <c r="A1785" s="1" t="s">
        <v>1884</v>
      </c>
      <c r="B1785" s="1" t="s">
        <v>37</v>
      </c>
      <c r="C1785" s="1">
        <v>3</v>
      </c>
      <c r="D1785" s="1">
        <v>76.8</v>
      </c>
      <c r="E1785" s="11">
        <v>230.39999999999998</v>
      </c>
      <c r="F1785" s="3">
        <v>45722</v>
      </c>
      <c r="G1785" s="3">
        <v>45723</v>
      </c>
      <c r="H1785" s="1" t="s">
        <v>27</v>
      </c>
      <c r="I1785" s="1" t="s">
        <v>18</v>
      </c>
      <c r="J1785" s="1">
        <v>3</v>
      </c>
      <c r="K1785" s="1" t="s">
        <v>19</v>
      </c>
      <c r="L1785" s="1" t="s">
        <v>33</v>
      </c>
      <c r="M1785" s="1">
        <f>orders[[#This Row],[Ship Date]]-orders[[#This Row],[Order Date]]</f>
        <v>1</v>
      </c>
      <c r="N1785" s="1">
        <f>WEEKNUM(orders[[#This Row],[Order Date]])</f>
        <v>10</v>
      </c>
      <c r="O1785" s="1" t="str" cm="1">
        <f t="array" ref="O1785">_xlfn.IFS(orders[[#This Row],[Customer Gender]]="M","Male", orders[[#This Row],[Customer Gender]]="F","Female", orders[[#This Row],[Customer Gender]]="O","Other", TRUE,"Unknown")</f>
        <v>Female</v>
      </c>
    </row>
    <row r="1786" spans="1:15">
      <c r="A1786" s="1" t="s">
        <v>1885</v>
      </c>
      <c r="B1786" s="1" t="s">
        <v>39</v>
      </c>
      <c r="C1786" s="1">
        <v>2</v>
      </c>
      <c r="D1786" s="1">
        <v>41.9</v>
      </c>
      <c r="E1786" s="11">
        <v>83.8</v>
      </c>
      <c r="F1786" s="3">
        <v>45722</v>
      </c>
      <c r="G1786" s="3">
        <v>45724</v>
      </c>
      <c r="H1786" s="1" t="s">
        <v>27</v>
      </c>
      <c r="I1786" s="1" t="s">
        <v>18</v>
      </c>
      <c r="J1786" s="1">
        <v>4</v>
      </c>
      <c r="K1786" s="1" t="s">
        <v>19</v>
      </c>
      <c r="L1786" s="1" t="s">
        <v>33</v>
      </c>
      <c r="M1786" s="1">
        <f>orders[[#This Row],[Ship Date]]-orders[[#This Row],[Order Date]]</f>
        <v>2</v>
      </c>
      <c r="N1786" s="1">
        <f>WEEKNUM(orders[[#This Row],[Order Date]])</f>
        <v>10</v>
      </c>
      <c r="O1786" s="1" t="str" cm="1">
        <f t="array" ref="O1786">_xlfn.IFS(orders[[#This Row],[Customer Gender]]="M","Male", orders[[#This Row],[Customer Gender]]="F","Female", orders[[#This Row],[Customer Gender]]="O","Other", TRUE,"Unknown")</f>
        <v>Female</v>
      </c>
    </row>
    <row r="1787" spans="1:15">
      <c r="A1787" s="1" t="s">
        <v>1886</v>
      </c>
      <c r="B1787" s="1" t="s">
        <v>16</v>
      </c>
      <c r="C1787" s="1">
        <v>7</v>
      </c>
      <c r="D1787" s="1">
        <v>34</v>
      </c>
      <c r="E1787" s="11">
        <v>238</v>
      </c>
      <c r="F1787" s="3">
        <v>45722</v>
      </c>
      <c r="G1787" s="3">
        <v>45724</v>
      </c>
      <c r="H1787" s="1" t="s">
        <v>27</v>
      </c>
      <c r="I1787" s="1" t="s">
        <v>35</v>
      </c>
      <c r="J1787" s="1">
        <v>5</v>
      </c>
      <c r="K1787" s="1" t="s">
        <v>19</v>
      </c>
      <c r="L1787" s="1" t="s">
        <v>33</v>
      </c>
      <c r="M1787" s="1">
        <f>orders[[#This Row],[Ship Date]]-orders[[#This Row],[Order Date]]</f>
        <v>2</v>
      </c>
      <c r="N1787" s="1">
        <f>WEEKNUM(orders[[#This Row],[Order Date]])</f>
        <v>10</v>
      </c>
      <c r="O1787" s="1" t="str" cm="1">
        <f t="array" ref="O1787">_xlfn.IFS(orders[[#This Row],[Customer Gender]]="M","Male", orders[[#This Row],[Customer Gender]]="F","Female", orders[[#This Row],[Customer Gender]]="O","Other", TRUE,"Unknown")</f>
        <v>Female</v>
      </c>
    </row>
    <row r="1788" spans="1:15">
      <c r="A1788" s="1" t="s">
        <v>1887</v>
      </c>
      <c r="B1788" s="1" t="s">
        <v>42</v>
      </c>
      <c r="C1788" s="1">
        <v>7</v>
      </c>
      <c r="D1788" s="1">
        <v>61.3</v>
      </c>
      <c r="E1788" s="11">
        <v>429.09999999999997</v>
      </c>
      <c r="F1788" s="3">
        <v>45722</v>
      </c>
      <c r="G1788" s="3">
        <v>45722</v>
      </c>
      <c r="H1788" s="1" t="s">
        <v>27</v>
      </c>
      <c r="I1788" s="1" t="s">
        <v>70</v>
      </c>
      <c r="J1788" s="1">
        <v>5</v>
      </c>
      <c r="K1788" s="1" t="s">
        <v>19</v>
      </c>
      <c r="L1788" s="1" t="s">
        <v>33</v>
      </c>
      <c r="M1788" s="1">
        <f>orders[[#This Row],[Ship Date]]-orders[[#This Row],[Order Date]]</f>
        <v>0</v>
      </c>
      <c r="N1788" s="1">
        <f>WEEKNUM(orders[[#This Row],[Order Date]])</f>
        <v>10</v>
      </c>
      <c r="O1788" s="1" t="str" cm="1">
        <f t="array" ref="O1788">_xlfn.IFS(orders[[#This Row],[Customer Gender]]="M","Male", orders[[#This Row],[Customer Gender]]="F","Female", orders[[#This Row],[Customer Gender]]="O","Other", TRUE,"Unknown")</f>
        <v>Female</v>
      </c>
    </row>
    <row r="1789" spans="1:15">
      <c r="A1789" s="1" t="s">
        <v>1888</v>
      </c>
      <c r="B1789" s="1" t="s">
        <v>46</v>
      </c>
      <c r="C1789" s="1">
        <v>1</v>
      </c>
      <c r="D1789" s="1">
        <v>54.7</v>
      </c>
      <c r="E1789" s="11">
        <v>54.7</v>
      </c>
      <c r="F1789" s="3">
        <v>45723</v>
      </c>
      <c r="G1789" s="3">
        <v>45724</v>
      </c>
      <c r="H1789" s="1" t="s">
        <v>23</v>
      </c>
      <c r="I1789" s="1" t="s">
        <v>18</v>
      </c>
      <c r="J1789" s="1">
        <v>3</v>
      </c>
      <c r="K1789" s="1" t="s">
        <v>19</v>
      </c>
      <c r="L1789" s="1" t="s">
        <v>33</v>
      </c>
      <c r="M1789" s="1">
        <f>orders[[#This Row],[Ship Date]]-orders[[#This Row],[Order Date]]</f>
        <v>1</v>
      </c>
      <c r="N1789" s="1">
        <f>WEEKNUM(orders[[#This Row],[Order Date]])</f>
        <v>10</v>
      </c>
      <c r="O1789" s="1" t="str" cm="1">
        <f t="array" ref="O1789">_xlfn.IFS(orders[[#This Row],[Customer Gender]]="M","Male", orders[[#This Row],[Customer Gender]]="F","Female", orders[[#This Row],[Customer Gender]]="O","Other", TRUE,"Unknown")</f>
        <v>Male</v>
      </c>
    </row>
    <row r="1790" spans="1:15">
      <c r="A1790" s="1" t="s">
        <v>1889</v>
      </c>
      <c r="B1790" s="1" t="s">
        <v>39</v>
      </c>
      <c r="C1790" s="1">
        <v>10</v>
      </c>
      <c r="D1790" s="1">
        <v>84.7</v>
      </c>
      <c r="E1790" s="11">
        <v>847</v>
      </c>
      <c r="F1790" s="3">
        <v>45723</v>
      </c>
      <c r="G1790" s="3">
        <v>45727</v>
      </c>
      <c r="H1790" s="1" t="s">
        <v>27</v>
      </c>
      <c r="I1790" s="1" t="s">
        <v>18</v>
      </c>
      <c r="J1790" s="1">
        <v>4</v>
      </c>
      <c r="K1790" s="1" t="s">
        <v>19</v>
      </c>
      <c r="L1790" s="1" t="s">
        <v>33</v>
      </c>
      <c r="M1790" s="1">
        <f>orders[[#This Row],[Ship Date]]-orders[[#This Row],[Order Date]]</f>
        <v>4</v>
      </c>
      <c r="N1790" s="1">
        <f>WEEKNUM(orders[[#This Row],[Order Date]])</f>
        <v>10</v>
      </c>
      <c r="O1790" s="1" t="str" cm="1">
        <f t="array" ref="O1790">_xlfn.IFS(orders[[#This Row],[Customer Gender]]="M","Male", orders[[#This Row],[Customer Gender]]="F","Female", orders[[#This Row],[Customer Gender]]="O","Other", TRUE,"Unknown")</f>
        <v>Female</v>
      </c>
    </row>
    <row r="1791" spans="1:15">
      <c r="A1791" s="1" t="s">
        <v>1890</v>
      </c>
      <c r="B1791" s="1" t="s">
        <v>22</v>
      </c>
      <c r="C1791" s="1">
        <v>3</v>
      </c>
      <c r="D1791" s="1">
        <v>93.4</v>
      </c>
      <c r="E1791" s="11">
        <v>280.20000000000005</v>
      </c>
      <c r="F1791" s="3">
        <v>45723</v>
      </c>
      <c r="G1791" s="3">
        <v>45727</v>
      </c>
      <c r="H1791" s="1" t="s">
        <v>27</v>
      </c>
      <c r="I1791" s="1" t="s">
        <v>51</v>
      </c>
      <c r="J1791" s="1">
        <v>4</v>
      </c>
      <c r="K1791" s="1" t="s">
        <v>19</v>
      </c>
      <c r="L1791" s="1" t="s">
        <v>33</v>
      </c>
      <c r="M1791" s="1">
        <f>orders[[#This Row],[Ship Date]]-orders[[#This Row],[Order Date]]</f>
        <v>4</v>
      </c>
      <c r="N1791" s="1">
        <f>WEEKNUM(orders[[#This Row],[Order Date]])</f>
        <v>10</v>
      </c>
      <c r="O1791" s="1" t="str" cm="1">
        <f t="array" ref="O1791">_xlfn.IFS(orders[[#This Row],[Customer Gender]]="M","Male", orders[[#This Row],[Customer Gender]]="F","Female", orders[[#This Row],[Customer Gender]]="O","Other", TRUE,"Unknown")</f>
        <v>Female</v>
      </c>
    </row>
    <row r="1792" spans="1:15">
      <c r="A1792" s="1" t="s">
        <v>1891</v>
      </c>
      <c r="B1792" s="1" t="s">
        <v>44</v>
      </c>
      <c r="C1792" s="1">
        <v>5</v>
      </c>
      <c r="D1792" s="1">
        <v>27</v>
      </c>
      <c r="E1792" s="11">
        <v>135</v>
      </c>
      <c r="F1792" s="3">
        <v>45723</v>
      </c>
      <c r="G1792" s="3">
        <v>45726</v>
      </c>
      <c r="H1792" s="1" t="s">
        <v>23</v>
      </c>
      <c r="I1792" s="1" t="s">
        <v>18</v>
      </c>
      <c r="J1792" s="1">
        <v>3</v>
      </c>
      <c r="K1792" s="1" t="s">
        <v>19</v>
      </c>
      <c r="L1792" s="1" t="s">
        <v>33</v>
      </c>
      <c r="M1792" s="1">
        <f>orders[[#This Row],[Ship Date]]-orders[[#This Row],[Order Date]]</f>
        <v>3</v>
      </c>
      <c r="N1792" s="1">
        <f>WEEKNUM(orders[[#This Row],[Order Date]])</f>
        <v>10</v>
      </c>
      <c r="O1792" s="1" t="str" cm="1">
        <f t="array" ref="O1792">_xlfn.IFS(orders[[#This Row],[Customer Gender]]="M","Male", orders[[#This Row],[Customer Gender]]="F","Female", orders[[#This Row],[Customer Gender]]="O","Other", TRUE,"Unknown")</f>
        <v>Male</v>
      </c>
    </row>
    <row r="1793" spans="1:15">
      <c r="A1793" s="1" t="s">
        <v>1892</v>
      </c>
      <c r="B1793" s="1" t="s">
        <v>16</v>
      </c>
      <c r="C1793" s="1">
        <v>4</v>
      </c>
      <c r="D1793" s="1">
        <v>10.9</v>
      </c>
      <c r="E1793" s="11">
        <v>43.6</v>
      </c>
      <c r="F1793" s="3">
        <v>45723</v>
      </c>
      <c r="G1793" s="3">
        <v>45724</v>
      </c>
      <c r="H1793" s="1" t="s">
        <v>23</v>
      </c>
      <c r="I1793" s="1" t="s">
        <v>40</v>
      </c>
      <c r="J1793" s="1">
        <v>4</v>
      </c>
      <c r="K1793" s="1" t="s">
        <v>19</v>
      </c>
      <c r="L1793" s="1" t="s">
        <v>33</v>
      </c>
      <c r="M1793" s="1">
        <f>orders[[#This Row],[Ship Date]]-orders[[#This Row],[Order Date]]</f>
        <v>1</v>
      </c>
      <c r="N1793" s="1">
        <f>WEEKNUM(orders[[#This Row],[Order Date]])</f>
        <v>10</v>
      </c>
      <c r="O1793" s="1" t="str" cm="1">
        <f t="array" ref="O1793">_xlfn.IFS(orders[[#This Row],[Customer Gender]]="M","Male", orders[[#This Row],[Customer Gender]]="F","Female", orders[[#This Row],[Customer Gender]]="O","Other", TRUE,"Unknown")</f>
        <v>Male</v>
      </c>
    </row>
    <row r="1794" spans="1:15">
      <c r="A1794" s="1" t="s">
        <v>1893</v>
      </c>
      <c r="B1794" s="1" t="s">
        <v>128</v>
      </c>
      <c r="C1794" s="1">
        <v>3</v>
      </c>
      <c r="D1794" s="1">
        <v>48</v>
      </c>
      <c r="E1794" s="11">
        <v>144</v>
      </c>
      <c r="F1794" s="3">
        <v>45723</v>
      </c>
      <c r="G1794" s="3">
        <v>45728</v>
      </c>
      <c r="H1794" s="1" t="s">
        <v>27</v>
      </c>
      <c r="I1794" s="1" t="s">
        <v>70</v>
      </c>
      <c r="J1794" s="1">
        <v>4</v>
      </c>
      <c r="K1794" s="1" t="s">
        <v>19</v>
      </c>
      <c r="L1794" s="1" t="s">
        <v>33</v>
      </c>
      <c r="M1794" s="1">
        <f>orders[[#This Row],[Ship Date]]-orders[[#This Row],[Order Date]]</f>
        <v>5</v>
      </c>
      <c r="N1794" s="1">
        <f>WEEKNUM(orders[[#This Row],[Order Date]])</f>
        <v>10</v>
      </c>
      <c r="O1794" s="1" t="str" cm="1">
        <f t="array" ref="O1794">_xlfn.IFS(orders[[#This Row],[Customer Gender]]="M","Male", orders[[#This Row],[Customer Gender]]="F","Female", orders[[#This Row],[Customer Gender]]="O","Other", TRUE,"Unknown")</f>
        <v>Female</v>
      </c>
    </row>
    <row r="1795" spans="1:15">
      <c r="A1795" s="1" t="s">
        <v>1894</v>
      </c>
      <c r="B1795" s="1" t="s">
        <v>37</v>
      </c>
      <c r="C1795" s="1">
        <v>2</v>
      </c>
      <c r="D1795" s="1">
        <v>67.900000000000006</v>
      </c>
      <c r="E1795" s="11">
        <v>135.80000000000001</v>
      </c>
      <c r="F1795" s="3">
        <v>45723</v>
      </c>
      <c r="G1795" s="3">
        <v>45724</v>
      </c>
      <c r="H1795" s="1" t="s">
        <v>23</v>
      </c>
      <c r="I1795" s="1" t="s">
        <v>18</v>
      </c>
      <c r="J1795" s="1">
        <v>5</v>
      </c>
      <c r="K1795" s="1" t="s">
        <v>19</v>
      </c>
      <c r="L1795" s="1" t="s">
        <v>158</v>
      </c>
      <c r="M1795" s="1">
        <f>orders[[#This Row],[Ship Date]]-orders[[#This Row],[Order Date]]</f>
        <v>1</v>
      </c>
      <c r="N1795" s="1">
        <f>WEEKNUM(orders[[#This Row],[Order Date]])</f>
        <v>10</v>
      </c>
      <c r="O1795" s="1" t="str" cm="1">
        <f t="array" ref="O1795">_xlfn.IFS(orders[[#This Row],[Customer Gender]]="M","Male", orders[[#This Row],[Customer Gender]]="F","Female", orders[[#This Row],[Customer Gender]]="O","Other", TRUE,"Unknown")</f>
        <v>Male</v>
      </c>
    </row>
    <row r="1796" spans="1:15">
      <c r="A1796" s="1" t="s">
        <v>1895</v>
      </c>
      <c r="B1796" s="1" t="s">
        <v>32</v>
      </c>
      <c r="C1796" s="1">
        <v>3</v>
      </c>
      <c r="D1796" s="1">
        <v>36</v>
      </c>
      <c r="E1796" s="11">
        <v>108</v>
      </c>
      <c r="F1796" s="3">
        <v>45723</v>
      </c>
      <c r="G1796" s="3">
        <v>45724</v>
      </c>
      <c r="H1796" s="1" t="s">
        <v>23</v>
      </c>
      <c r="I1796" s="1" t="s">
        <v>35</v>
      </c>
      <c r="J1796" s="1">
        <v>4</v>
      </c>
      <c r="K1796" s="1" t="s">
        <v>19</v>
      </c>
      <c r="L1796" s="1" t="s">
        <v>55</v>
      </c>
      <c r="M1796" s="1">
        <f>orders[[#This Row],[Ship Date]]-orders[[#This Row],[Order Date]]</f>
        <v>1</v>
      </c>
      <c r="N1796" s="1">
        <f>WEEKNUM(orders[[#This Row],[Order Date]])</f>
        <v>10</v>
      </c>
      <c r="O1796" s="1" t="str" cm="1">
        <f t="array" ref="O1796">_xlfn.IFS(orders[[#This Row],[Customer Gender]]="M","Male", orders[[#This Row],[Customer Gender]]="F","Female", orders[[#This Row],[Customer Gender]]="O","Other", TRUE,"Unknown")</f>
        <v>Male</v>
      </c>
    </row>
    <row r="1797" spans="1:15">
      <c r="A1797" s="1" t="s">
        <v>1896</v>
      </c>
      <c r="B1797" s="1" t="s">
        <v>26</v>
      </c>
      <c r="C1797" s="1">
        <v>1</v>
      </c>
      <c r="D1797" s="1">
        <v>128.80000000000001</v>
      </c>
      <c r="E1797" s="11">
        <v>128.80000000000001</v>
      </c>
      <c r="F1797" s="3">
        <v>45723</v>
      </c>
      <c r="G1797" s="3">
        <v>45724</v>
      </c>
      <c r="H1797" s="1" t="s">
        <v>23</v>
      </c>
      <c r="I1797" s="1" t="s">
        <v>70</v>
      </c>
      <c r="J1797" s="1">
        <v>5</v>
      </c>
      <c r="K1797" s="1" t="s">
        <v>19</v>
      </c>
      <c r="L1797" s="1" t="s">
        <v>55</v>
      </c>
      <c r="M1797" s="1">
        <f>orders[[#This Row],[Ship Date]]-orders[[#This Row],[Order Date]]</f>
        <v>1</v>
      </c>
      <c r="N1797" s="1">
        <f>WEEKNUM(orders[[#This Row],[Order Date]])</f>
        <v>10</v>
      </c>
      <c r="O1797" s="1" t="str" cm="1">
        <f t="array" ref="O1797">_xlfn.IFS(orders[[#This Row],[Customer Gender]]="M","Male", orders[[#This Row],[Customer Gender]]="F","Female", orders[[#This Row],[Customer Gender]]="O","Other", TRUE,"Unknown")</f>
        <v>Male</v>
      </c>
    </row>
    <row r="1798" spans="1:15">
      <c r="A1798" s="1" t="s">
        <v>1897</v>
      </c>
      <c r="B1798" s="1" t="s">
        <v>146</v>
      </c>
      <c r="C1798" s="1">
        <v>7</v>
      </c>
      <c r="D1798" s="1">
        <v>33.299999999999997</v>
      </c>
      <c r="E1798" s="11">
        <v>233.09999999999997</v>
      </c>
      <c r="F1798" s="3">
        <v>45723</v>
      </c>
      <c r="G1798" s="3">
        <v>45724</v>
      </c>
      <c r="H1798" s="1" t="s">
        <v>27</v>
      </c>
      <c r="I1798" s="1" t="s">
        <v>51</v>
      </c>
      <c r="J1798" s="1">
        <v>4</v>
      </c>
      <c r="K1798" s="1" t="s">
        <v>19</v>
      </c>
      <c r="L1798" s="1" t="s">
        <v>62</v>
      </c>
      <c r="M1798" s="1">
        <f>orders[[#This Row],[Ship Date]]-orders[[#This Row],[Order Date]]</f>
        <v>1</v>
      </c>
      <c r="N1798" s="1">
        <f>WEEKNUM(orders[[#This Row],[Order Date]])</f>
        <v>10</v>
      </c>
      <c r="O1798" s="1" t="str" cm="1">
        <f t="array" ref="O1798">_xlfn.IFS(orders[[#This Row],[Customer Gender]]="M","Male", orders[[#This Row],[Customer Gender]]="F","Female", orders[[#This Row],[Customer Gender]]="O","Other", TRUE,"Unknown")</f>
        <v>Female</v>
      </c>
    </row>
    <row r="1799" spans="1:15">
      <c r="A1799" s="1" t="s">
        <v>1898</v>
      </c>
      <c r="B1799" s="1" t="s">
        <v>54</v>
      </c>
      <c r="C1799" s="1">
        <v>3</v>
      </c>
      <c r="D1799" s="1">
        <v>37.799999999999997</v>
      </c>
      <c r="E1799" s="11">
        <v>113.39999999999999</v>
      </c>
      <c r="F1799" s="3">
        <v>45723</v>
      </c>
      <c r="G1799" s="3">
        <v>45725</v>
      </c>
      <c r="H1799" s="1" t="s">
        <v>23</v>
      </c>
      <c r="I1799" s="1" t="s">
        <v>35</v>
      </c>
      <c r="J1799" s="1">
        <v>5</v>
      </c>
      <c r="K1799" s="1" t="s">
        <v>19</v>
      </c>
      <c r="L1799" s="1" t="s">
        <v>62</v>
      </c>
      <c r="M1799" s="1">
        <f>orders[[#This Row],[Ship Date]]-orders[[#This Row],[Order Date]]</f>
        <v>2</v>
      </c>
      <c r="N1799" s="1">
        <f>WEEKNUM(orders[[#This Row],[Order Date]])</f>
        <v>10</v>
      </c>
      <c r="O1799" s="1" t="str" cm="1">
        <f t="array" ref="O1799">_xlfn.IFS(orders[[#This Row],[Customer Gender]]="M","Male", orders[[#This Row],[Customer Gender]]="F","Female", orders[[#This Row],[Customer Gender]]="O","Other", TRUE,"Unknown")</f>
        <v>Male</v>
      </c>
    </row>
    <row r="1800" spans="1:15">
      <c r="A1800" s="1" t="s">
        <v>1899</v>
      </c>
      <c r="B1800" s="1" t="s">
        <v>37</v>
      </c>
      <c r="C1800" s="1">
        <v>3</v>
      </c>
      <c r="D1800" s="1">
        <v>26</v>
      </c>
      <c r="E1800" s="11">
        <v>78</v>
      </c>
      <c r="F1800" s="3">
        <v>45723</v>
      </c>
      <c r="G1800" s="3">
        <v>45728</v>
      </c>
      <c r="H1800" s="1" t="s">
        <v>27</v>
      </c>
      <c r="I1800" s="1" t="s">
        <v>18</v>
      </c>
      <c r="J1800" s="1">
        <v>4</v>
      </c>
      <c r="K1800" s="1" t="s">
        <v>19</v>
      </c>
      <c r="L1800" s="1" t="s">
        <v>62</v>
      </c>
      <c r="M1800" s="1">
        <f>orders[[#This Row],[Ship Date]]-orders[[#This Row],[Order Date]]</f>
        <v>5</v>
      </c>
      <c r="N1800" s="1">
        <f>WEEKNUM(orders[[#This Row],[Order Date]])</f>
        <v>10</v>
      </c>
      <c r="O1800" s="1" t="str" cm="1">
        <f t="array" ref="O1800">_xlfn.IFS(orders[[#This Row],[Customer Gender]]="M","Male", orders[[#This Row],[Customer Gender]]="F","Female", orders[[#This Row],[Customer Gender]]="O","Other", TRUE,"Unknown")</f>
        <v>Female</v>
      </c>
    </row>
    <row r="1801" spans="1:15">
      <c r="A1801" s="1" t="s">
        <v>1900</v>
      </c>
      <c r="B1801" s="1" t="s">
        <v>44</v>
      </c>
      <c r="C1801" s="1">
        <v>19</v>
      </c>
      <c r="D1801" s="1">
        <v>28.3</v>
      </c>
      <c r="E1801" s="11">
        <v>537.70000000000005</v>
      </c>
      <c r="F1801" s="3">
        <v>45723</v>
      </c>
      <c r="G1801" s="3">
        <v>45724</v>
      </c>
      <c r="H1801" s="1" t="s">
        <v>27</v>
      </c>
      <c r="I1801" s="1" t="s">
        <v>51</v>
      </c>
      <c r="J1801" s="1">
        <v>2</v>
      </c>
      <c r="K1801" s="1" t="s">
        <v>19</v>
      </c>
      <c r="L1801" s="1" t="s">
        <v>62</v>
      </c>
      <c r="M1801" s="1">
        <f>orders[[#This Row],[Ship Date]]-orders[[#This Row],[Order Date]]</f>
        <v>1</v>
      </c>
      <c r="N1801" s="1">
        <f>WEEKNUM(orders[[#This Row],[Order Date]])</f>
        <v>10</v>
      </c>
      <c r="O1801" s="1" t="str" cm="1">
        <f t="array" ref="O1801">_xlfn.IFS(orders[[#This Row],[Customer Gender]]="M","Male", orders[[#This Row],[Customer Gender]]="F","Female", orders[[#This Row],[Customer Gender]]="O","Other", TRUE,"Unknown")</f>
        <v>Female</v>
      </c>
    </row>
    <row r="1802" spans="1:15">
      <c r="A1802" s="1" t="s">
        <v>1901</v>
      </c>
      <c r="B1802" s="1" t="s">
        <v>44</v>
      </c>
      <c r="C1802" s="1">
        <v>4</v>
      </c>
      <c r="D1802" s="1">
        <v>31.3</v>
      </c>
      <c r="E1802" s="11">
        <v>125.2</v>
      </c>
      <c r="F1802" s="3">
        <v>45723</v>
      </c>
      <c r="G1802" s="3">
        <v>45723</v>
      </c>
      <c r="H1802" s="1" t="s">
        <v>27</v>
      </c>
      <c r="I1802" s="1" t="s">
        <v>18</v>
      </c>
      <c r="J1802" s="1">
        <v>4</v>
      </c>
      <c r="K1802" s="1" t="s">
        <v>19</v>
      </c>
      <c r="L1802" s="1" t="s">
        <v>62</v>
      </c>
      <c r="M1802" s="1">
        <f>orders[[#This Row],[Ship Date]]-orders[[#This Row],[Order Date]]</f>
        <v>0</v>
      </c>
      <c r="N1802" s="1">
        <f>WEEKNUM(orders[[#This Row],[Order Date]])</f>
        <v>10</v>
      </c>
      <c r="O1802" s="1" t="str" cm="1">
        <f t="array" ref="O1802">_xlfn.IFS(orders[[#This Row],[Customer Gender]]="M","Male", orders[[#This Row],[Customer Gender]]="F","Female", orders[[#This Row],[Customer Gender]]="O","Other", TRUE,"Unknown")</f>
        <v>Female</v>
      </c>
    </row>
    <row r="1803" spans="1:15">
      <c r="A1803" s="1" t="s">
        <v>1902</v>
      </c>
      <c r="B1803" s="1" t="s">
        <v>42</v>
      </c>
      <c r="C1803" s="1">
        <v>3</v>
      </c>
      <c r="D1803" s="1">
        <v>69.5</v>
      </c>
      <c r="E1803" s="11">
        <v>208.5</v>
      </c>
      <c r="F1803" s="3">
        <v>45723</v>
      </c>
      <c r="G1803" s="3">
        <v>45724</v>
      </c>
      <c r="H1803" s="1" t="s">
        <v>27</v>
      </c>
      <c r="I1803" s="1" t="s">
        <v>51</v>
      </c>
      <c r="J1803" s="1">
        <v>5</v>
      </c>
      <c r="K1803" s="1" t="s">
        <v>19</v>
      </c>
      <c r="L1803" s="1" t="s">
        <v>62</v>
      </c>
      <c r="M1803" s="1">
        <f>orders[[#This Row],[Ship Date]]-orders[[#This Row],[Order Date]]</f>
        <v>1</v>
      </c>
      <c r="N1803" s="1">
        <f>WEEKNUM(orders[[#This Row],[Order Date]])</f>
        <v>10</v>
      </c>
      <c r="O1803" s="1" t="str" cm="1">
        <f t="array" ref="O1803">_xlfn.IFS(orders[[#This Row],[Customer Gender]]="M","Male", orders[[#This Row],[Customer Gender]]="F","Female", orders[[#This Row],[Customer Gender]]="O","Other", TRUE,"Unknown")</f>
        <v>Female</v>
      </c>
    </row>
    <row r="1804" spans="1:15">
      <c r="A1804" s="1" t="s">
        <v>1903</v>
      </c>
      <c r="B1804" s="1" t="s">
        <v>16</v>
      </c>
      <c r="C1804" s="1">
        <v>2</v>
      </c>
      <c r="D1804" s="1">
        <v>16.7</v>
      </c>
      <c r="E1804" s="11">
        <v>33.4</v>
      </c>
      <c r="F1804" s="3">
        <v>45723</v>
      </c>
      <c r="G1804" s="3">
        <v>45724</v>
      </c>
      <c r="H1804" s="1" t="s">
        <v>27</v>
      </c>
      <c r="I1804" s="1" t="s">
        <v>51</v>
      </c>
      <c r="J1804" s="1">
        <v>3</v>
      </c>
      <c r="K1804" s="1" t="s">
        <v>19</v>
      </c>
      <c r="L1804" s="1" t="s">
        <v>62</v>
      </c>
      <c r="M1804" s="1">
        <f>orders[[#This Row],[Ship Date]]-orders[[#This Row],[Order Date]]</f>
        <v>1</v>
      </c>
      <c r="N1804" s="1">
        <f>WEEKNUM(orders[[#This Row],[Order Date]])</f>
        <v>10</v>
      </c>
      <c r="O1804" s="1" t="str" cm="1">
        <f t="array" ref="O1804">_xlfn.IFS(orders[[#This Row],[Customer Gender]]="M","Male", orders[[#This Row],[Customer Gender]]="F","Female", orders[[#This Row],[Customer Gender]]="O","Other", TRUE,"Unknown")</f>
        <v>Female</v>
      </c>
    </row>
    <row r="1805" spans="1:15">
      <c r="A1805" s="1" t="s">
        <v>1904</v>
      </c>
      <c r="B1805" s="1" t="s">
        <v>46</v>
      </c>
      <c r="C1805" s="1">
        <v>2</v>
      </c>
      <c r="D1805" s="1">
        <v>62.6</v>
      </c>
      <c r="E1805" s="11">
        <v>125.2</v>
      </c>
      <c r="F1805" s="3">
        <v>45723</v>
      </c>
      <c r="G1805" s="3">
        <v>45724</v>
      </c>
      <c r="H1805" s="1" t="s">
        <v>23</v>
      </c>
      <c r="I1805" s="1" t="s">
        <v>40</v>
      </c>
      <c r="J1805" s="1">
        <v>5</v>
      </c>
      <c r="K1805" s="1" t="s">
        <v>19</v>
      </c>
      <c r="L1805" s="1" t="s">
        <v>72</v>
      </c>
      <c r="M1805" s="1">
        <f>orders[[#This Row],[Ship Date]]-orders[[#This Row],[Order Date]]</f>
        <v>1</v>
      </c>
      <c r="N1805" s="1">
        <f>WEEKNUM(orders[[#This Row],[Order Date]])</f>
        <v>10</v>
      </c>
      <c r="O1805" s="1" t="str" cm="1">
        <f t="array" ref="O1805">_xlfn.IFS(orders[[#This Row],[Customer Gender]]="M","Male", orders[[#This Row],[Customer Gender]]="F","Female", orders[[#This Row],[Customer Gender]]="O","Other", TRUE,"Unknown")</f>
        <v>Male</v>
      </c>
    </row>
    <row r="1806" spans="1:15">
      <c r="A1806" s="1" t="s">
        <v>1905</v>
      </c>
      <c r="B1806" s="1" t="s">
        <v>42</v>
      </c>
      <c r="C1806" s="1">
        <v>1</v>
      </c>
      <c r="D1806" s="1">
        <v>81.2</v>
      </c>
      <c r="E1806" s="11">
        <v>81.2</v>
      </c>
      <c r="F1806" s="3">
        <v>45723</v>
      </c>
      <c r="G1806" s="3">
        <v>45729</v>
      </c>
      <c r="H1806" s="1" t="s">
        <v>23</v>
      </c>
      <c r="I1806" s="1" t="s">
        <v>70</v>
      </c>
      <c r="J1806" s="1">
        <v>2</v>
      </c>
      <c r="K1806" s="1" t="s">
        <v>19</v>
      </c>
      <c r="L1806" s="1" t="s">
        <v>72</v>
      </c>
      <c r="M1806" s="1">
        <f>orders[[#This Row],[Ship Date]]-orders[[#This Row],[Order Date]]</f>
        <v>6</v>
      </c>
      <c r="N1806" s="1">
        <f>WEEKNUM(orders[[#This Row],[Order Date]])</f>
        <v>10</v>
      </c>
      <c r="O1806" s="1" t="str" cm="1">
        <f t="array" ref="O1806">_xlfn.IFS(orders[[#This Row],[Customer Gender]]="M","Male", orders[[#This Row],[Customer Gender]]="F","Female", orders[[#This Row],[Customer Gender]]="O","Other", TRUE,"Unknown")</f>
        <v>Male</v>
      </c>
    </row>
    <row r="1807" spans="1:15">
      <c r="A1807" s="1" t="s">
        <v>1906</v>
      </c>
      <c r="B1807" s="1" t="s">
        <v>16</v>
      </c>
      <c r="C1807" s="1">
        <v>10</v>
      </c>
      <c r="D1807" s="1">
        <v>12.7</v>
      </c>
      <c r="E1807" s="11">
        <v>127</v>
      </c>
      <c r="F1807" s="3">
        <v>45723</v>
      </c>
      <c r="G1807" s="3">
        <v>45724</v>
      </c>
      <c r="H1807" s="1" t="s">
        <v>27</v>
      </c>
      <c r="I1807" s="1" t="s">
        <v>18</v>
      </c>
      <c r="J1807" s="1">
        <v>5</v>
      </c>
      <c r="K1807" s="1" t="s">
        <v>19</v>
      </c>
      <c r="L1807" s="1" t="s">
        <v>72</v>
      </c>
      <c r="M1807" s="1">
        <f>orders[[#This Row],[Ship Date]]-orders[[#This Row],[Order Date]]</f>
        <v>1</v>
      </c>
      <c r="N1807" s="1">
        <f>WEEKNUM(orders[[#This Row],[Order Date]])</f>
        <v>10</v>
      </c>
      <c r="O1807" s="1" t="str" cm="1">
        <f t="array" ref="O1807">_xlfn.IFS(orders[[#This Row],[Customer Gender]]="M","Male", orders[[#This Row],[Customer Gender]]="F","Female", orders[[#This Row],[Customer Gender]]="O","Other", TRUE,"Unknown")</f>
        <v>Female</v>
      </c>
    </row>
    <row r="1808" spans="1:15">
      <c r="A1808" s="1" t="s">
        <v>1907</v>
      </c>
      <c r="B1808" s="1" t="s">
        <v>42</v>
      </c>
      <c r="C1808" s="1">
        <v>4</v>
      </c>
      <c r="D1808" s="1">
        <v>77.7</v>
      </c>
      <c r="E1808" s="11">
        <v>310.8</v>
      </c>
      <c r="F1808" s="3">
        <v>45724</v>
      </c>
      <c r="G1808" s="3">
        <v>45728</v>
      </c>
      <c r="H1808" s="1" t="s">
        <v>23</v>
      </c>
      <c r="I1808" s="1" t="s">
        <v>35</v>
      </c>
      <c r="J1808" s="1">
        <v>4</v>
      </c>
      <c r="K1808" s="1" t="s">
        <v>19</v>
      </c>
      <c r="L1808" s="1" t="s">
        <v>77</v>
      </c>
      <c r="M1808" s="1">
        <f>orders[[#This Row],[Ship Date]]-orders[[#This Row],[Order Date]]</f>
        <v>4</v>
      </c>
      <c r="N1808" s="1">
        <f>WEEKNUM(orders[[#This Row],[Order Date]])</f>
        <v>10</v>
      </c>
      <c r="O1808" s="1" t="str" cm="1">
        <f t="array" ref="O1808">_xlfn.IFS(orders[[#This Row],[Customer Gender]]="M","Male", orders[[#This Row],[Customer Gender]]="F","Female", orders[[#This Row],[Customer Gender]]="O","Other", TRUE,"Unknown")</f>
        <v>Male</v>
      </c>
    </row>
    <row r="1809" spans="1:15">
      <c r="A1809" s="1" t="s">
        <v>1908</v>
      </c>
      <c r="B1809" s="1" t="s">
        <v>37</v>
      </c>
      <c r="C1809" s="1">
        <v>2</v>
      </c>
      <c r="D1809" s="1">
        <v>37.299999999999997</v>
      </c>
      <c r="E1809" s="11">
        <v>74.599999999999994</v>
      </c>
      <c r="F1809" s="3">
        <v>45724</v>
      </c>
      <c r="G1809" s="3">
        <v>45725</v>
      </c>
      <c r="H1809" s="1" t="s">
        <v>27</v>
      </c>
      <c r="I1809" s="1" t="s">
        <v>18</v>
      </c>
      <c r="J1809" s="1">
        <v>5</v>
      </c>
      <c r="K1809" s="1" t="s">
        <v>19</v>
      </c>
      <c r="L1809" s="1" t="s">
        <v>108</v>
      </c>
      <c r="M1809" s="1">
        <f>orders[[#This Row],[Ship Date]]-orders[[#This Row],[Order Date]]</f>
        <v>1</v>
      </c>
      <c r="N1809" s="1">
        <f>WEEKNUM(orders[[#This Row],[Order Date]])</f>
        <v>10</v>
      </c>
      <c r="O1809" s="1" t="str" cm="1">
        <f t="array" ref="O1809">_xlfn.IFS(orders[[#This Row],[Customer Gender]]="M","Male", orders[[#This Row],[Customer Gender]]="F","Female", orders[[#This Row],[Customer Gender]]="O","Other", TRUE,"Unknown")</f>
        <v>Female</v>
      </c>
    </row>
    <row r="1810" spans="1:15">
      <c r="A1810" s="1" t="s">
        <v>1909</v>
      </c>
      <c r="B1810" s="1" t="s">
        <v>54</v>
      </c>
      <c r="C1810" s="1">
        <v>4</v>
      </c>
      <c r="D1810" s="1">
        <v>35.6</v>
      </c>
      <c r="E1810" s="11">
        <v>142.4</v>
      </c>
      <c r="F1810" s="3">
        <v>45724</v>
      </c>
      <c r="G1810" s="3">
        <v>45726</v>
      </c>
      <c r="H1810" s="1" t="s">
        <v>27</v>
      </c>
      <c r="I1810" s="1" t="s">
        <v>35</v>
      </c>
      <c r="J1810" s="1">
        <v>3</v>
      </c>
      <c r="K1810" s="1" t="s">
        <v>19</v>
      </c>
      <c r="L1810" s="1" t="s">
        <v>110</v>
      </c>
      <c r="M1810" s="1">
        <f>orders[[#This Row],[Ship Date]]-orders[[#This Row],[Order Date]]</f>
        <v>2</v>
      </c>
      <c r="N1810" s="1">
        <f>WEEKNUM(orders[[#This Row],[Order Date]])</f>
        <v>10</v>
      </c>
      <c r="O1810" s="1" t="str" cm="1">
        <f t="array" ref="O1810">_xlfn.IFS(orders[[#This Row],[Customer Gender]]="M","Male", orders[[#This Row],[Customer Gender]]="F","Female", orders[[#This Row],[Customer Gender]]="O","Other", TRUE,"Unknown")</f>
        <v>Female</v>
      </c>
    </row>
    <row r="1811" spans="1:15">
      <c r="A1811" s="1" t="s">
        <v>1910</v>
      </c>
      <c r="B1811" s="1" t="s">
        <v>26</v>
      </c>
      <c r="C1811" s="1">
        <v>3</v>
      </c>
      <c r="D1811" s="1">
        <v>95</v>
      </c>
      <c r="E1811" s="11">
        <v>285</v>
      </c>
      <c r="F1811" s="3">
        <v>45724</v>
      </c>
      <c r="G1811" s="3">
        <v>45728</v>
      </c>
      <c r="H1811" s="1" t="s">
        <v>27</v>
      </c>
      <c r="I1811" s="1" t="s">
        <v>40</v>
      </c>
      <c r="J1811" s="1">
        <v>5</v>
      </c>
      <c r="K1811" s="1" t="s">
        <v>19</v>
      </c>
      <c r="L1811" s="1" t="s">
        <v>1911</v>
      </c>
      <c r="M1811" s="1">
        <f>orders[[#This Row],[Ship Date]]-orders[[#This Row],[Order Date]]</f>
        <v>4</v>
      </c>
      <c r="N1811" s="1">
        <f>WEEKNUM(orders[[#This Row],[Order Date]])</f>
        <v>10</v>
      </c>
      <c r="O1811" s="1" t="str" cm="1">
        <f t="array" ref="O1811">_xlfn.IFS(orders[[#This Row],[Customer Gender]]="M","Male", orders[[#This Row],[Customer Gender]]="F","Female", orders[[#This Row],[Customer Gender]]="O","Other", TRUE,"Unknown")</f>
        <v>Female</v>
      </c>
    </row>
    <row r="1812" spans="1:15">
      <c r="A1812" s="1" t="s">
        <v>1912</v>
      </c>
      <c r="B1812" s="1" t="s">
        <v>26</v>
      </c>
      <c r="C1812" s="1">
        <v>4</v>
      </c>
      <c r="D1812" s="1">
        <v>172.1</v>
      </c>
      <c r="E1812" s="11">
        <v>688.4</v>
      </c>
      <c r="F1812" s="3">
        <v>45724</v>
      </c>
      <c r="G1812" s="3">
        <v>45728</v>
      </c>
      <c r="H1812" s="1" t="s">
        <v>89</v>
      </c>
      <c r="I1812" s="1" t="s">
        <v>40</v>
      </c>
      <c r="J1812" s="1">
        <v>5</v>
      </c>
      <c r="K1812" s="1" t="s">
        <v>19</v>
      </c>
      <c r="L1812" s="1" t="s">
        <v>115</v>
      </c>
      <c r="M1812" s="1">
        <f>orders[[#This Row],[Ship Date]]-orders[[#This Row],[Order Date]]</f>
        <v>4</v>
      </c>
      <c r="N1812" s="1">
        <f>WEEKNUM(orders[[#This Row],[Order Date]])</f>
        <v>10</v>
      </c>
      <c r="O1812" s="1" t="str" cm="1">
        <f t="array" ref="O1812">_xlfn.IFS(orders[[#This Row],[Customer Gender]]="M","Male", orders[[#This Row],[Customer Gender]]="F","Female", orders[[#This Row],[Customer Gender]]="O","Other", TRUE,"Unknown")</f>
        <v>Other</v>
      </c>
    </row>
    <row r="1813" spans="1:15">
      <c r="A1813" s="1" t="s">
        <v>1913</v>
      </c>
      <c r="B1813" s="1" t="s">
        <v>26</v>
      </c>
      <c r="C1813" s="1">
        <v>2</v>
      </c>
      <c r="D1813" s="1">
        <v>233</v>
      </c>
      <c r="E1813" s="11">
        <v>466</v>
      </c>
      <c r="F1813" s="3">
        <v>45724</v>
      </c>
      <c r="G1813" s="3">
        <v>45727</v>
      </c>
      <c r="H1813" s="1" t="s">
        <v>27</v>
      </c>
      <c r="I1813" s="1" t="s">
        <v>35</v>
      </c>
      <c r="J1813" s="1">
        <v>4</v>
      </c>
      <c r="K1813" s="1" t="s">
        <v>19</v>
      </c>
      <c r="L1813" s="1" t="s">
        <v>115</v>
      </c>
      <c r="M1813" s="1">
        <f>orders[[#This Row],[Ship Date]]-orders[[#This Row],[Order Date]]</f>
        <v>3</v>
      </c>
      <c r="N1813" s="1">
        <f>WEEKNUM(orders[[#This Row],[Order Date]])</f>
        <v>10</v>
      </c>
      <c r="O1813" s="1" t="str" cm="1">
        <f t="array" ref="O1813">_xlfn.IFS(orders[[#This Row],[Customer Gender]]="M","Male", orders[[#This Row],[Customer Gender]]="F","Female", orders[[#This Row],[Customer Gender]]="O","Other", TRUE,"Unknown")</f>
        <v>Female</v>
      </c>
    </row>
    <row r="1814" spans="1:15">
      <c r="A1814" s="1" t="s">
        <v>1914</v>
      </c>
      <c r="B1814" s="1" t="s">
        <v>16</v>
      </c>
      <c r="C1814" s="1">
        <v>1</v>
      </c>
      <c r="D1814" s="1">
        <v>43.5</v>
      </c>
      <c r="E1814" s="11">
        <v>43.5</v>
      </c>
      <c r="F1814" s="3">
        <v>45724</v>
      </c>
      <c r="G1814" s="3">
        <v>45725</v>
      </c>
      <c r="H1814" s="1" t="s">
        <v>27</v>
      </c>
      <c r="I1814" s="1" t="s">
        <v>40</v>
      </c>
      <c r="J1814" s="1">
        <v>5</v>
      </c>
      <c r="K1814" s="1" t="s">
        <v>19</v>
      </c>
      <c r="L1814" s="1" t="s">
        <v>115</v>
      </c>
      <c r="M1814" s="1">
        <f>orders[[#This Row],[Ship Date]]-orders[[#This Row],[Order Date]]</f>
        <v>1</v>
      </c>
      <c r="N1814" s="1">
        <f>WEEKNUM(orders[[#This Row],[Order Date]])</f>
        <v>10</v>
      </c>
      <c r="O1814" s="1" t="str" cm="1">
        <f t="array" ref="O1814">_xlfn.IFS(orders[[#This Row],[Customer Gender]]="M","Male", orders[[#This Row],[Customer Gender]]="F","Female", orders[[#This Row],[Customer Gender]]="O","Other", TRUE,"Unknown")</f>
        <v>Female</v>
      </c>
    </row>
    <row r="1815" spans="1:15">
      <c r="A1815" s="1" t="s">
        <v>1915</v>
      </c>
      <c r="B1815" s="1" t="s">
        <v>46</v>
      </c>
      <c r="C1815" s="1">
        <v>2</v>
      </c>
      <c r="D1815" s="1">
        <v>47.8</v>
      </c>
      <c r="E1815" s="11">
        <v>95.6</v>
      </c>
      <c r="F1815" s="3">
        <v>45724</v>
      </c>
      <c r="G1815" s="3">
        <v>45727</v>
      </c>
      <c r="H1815" s="1" t="s">
        <v>23</v>
      </c>
      <c r="I1815" s="1" t="s">
        <v>70</v>
      </c>
      <c r="J1815" s="1">
        <v>5</v>
      </c>
      <c r="K1815" s="1" t="s">
        <v>19</v>
      </c>
      <c r="L1815" s="1" t="s">
        <v>24</v>
      </c>
      <c r="M1815" s="1">
        <f>orders[[#This Row],[Ship Date]]-orders[[#This Row],[Order Date]]</f>
        <v>3</v>
      </c>
      <c r="N1815" s="1">
        <f>WEEKNUM(orders[[#This Row],[Order Date]])</f>
        <v>10</v>
      </c>
      <c r="O1815" s="1" t="str" cm="1">
        <f t="array" ref="O1815">_xlfn.IFS(orders[[#This Row],[Customer Gender]]="M","Male", orders[[#This Row],[Customer Gender]]="F","Female", orders[[#This Row],[Customer Gender]]="O","Other", TRUE,"Unknown")</f>
        <v>Male</v>
      </c>
    </row>
    <row r="1816" spans="1:15">
      <c r="A1816" s="1" t="s">
        <v>1916</v>
      </c>
      <c r="B1816" s="1" t="s">
        <v>69</v>
      </c>
      <c r="C1816" s="1">
        <v>2</v>
      </c>
      <c r="D1816" s="1">
        <v>65.8</v>
      </c>
      <c r="E1816" s="11">
        <v>131.6</v>
      </c>
      <c r="F1816" s="3">
        <v>45724</v>
      </c>
      <c r="G1816" s="3">
        <v>45726</v>
      </c>
      <c r="H1816" s="1" t="s">
        <v>27</v>
      </c>
      <c r="I1816" s="1" t="s">
        <v>18</v>
      </c>
      <c r="J1816" s="1">
        <v>1</v>
      </c>
      <c r="K1816" s="1" t="s">
        <v>19</v>
      </c>
      <c r="L1816" s="1" t="s">
        <v>331</v>
      </c>
      <c r="M1816" s="1">
        <f>orders[[#This Row],[Ship Date]]-orders[[#This Row],[Order Date]]</f>
        <v>2</v>
      </c>
      <c r="N1816" s="1">
        <f>WEEKNUM(orders[[#This Row],[Order Date]])</f>
        <v>10</v>
      </c>
      <c r="O1816" s="1" t="str" cm="1">
        <f t="array" ref="O1816">_xlfn.IFS(orders[[#This Row],[Customer Gender]]="M","Male", orders[[#This Row],[Customer Gender]]="F","Female", orders[[#This Row],[Customer Gender]]="O","Other", TRUE,"Unknown")</f>
        <v>Female</v>
      </c>
    </row>
    <row r="1817" spans="1:15">
      <c r="A1817" s="1" t="s">
        <v>1917</v>
      </c>
      <c r="B1817" s="1" t="s">
        <v>123</v>
      </c>
      <c r="C1817" s="1">
        <v>11</v>
      </c>
      <c r="D1817" s="1">
        <v>38.700000000000003</v>
      </c>
      <c r="E1817" s="11">
        <v>425.70000000000005</v>
      </c>
      <c r="F1817" s="3">
        <v>45724</v>
      </c>
      <c r="G1817" s="3">
        <v>45724</v>
      </c>
      <c r="H1817" s="1" t="s">
        <v>23</v>
      </c>
      <c r="I1817" s="1" t="s">
        <v>18</v>
      </c>
      <c r="J1817" s="1">
        <v>4</v>
      </c>
      <c r="K1817" s="1" t="s">
        <v>19</v>
      </c>
      <c r="L1817" s="1" t="s">
        <v>147</v>
      </c>
      <c r="M1817" s="1">
        <f>orders[[#This Row],[Ship Date]]-orders[[#This Row],[Order Date]]</f>
        <v>0</v>
      </c>
      <c r="N1817" s="1">
        <f>WEEKNUM(orders[[#This Row],[Order Date]])</f>
        <v>10</v>
      </c>
      <c r="O1817" s="1" t="str" cm="1">
        <f t="array" ref="O1817">_xlfn.IFS(orders[[#This Row],[Customer Gender]]="M","Male", orders[[#This Row],[Customer Gender]]="F","Female", orders[[#This Row],[Customer Gender]]="O","Other", TRUE,"Unknown")</f>
        <v>Male</v>
      </c>
    </row>
    <row r="1818" spans="1:15">
      <c r="A1818" s="1" t="s">
        <v>1918</v>
      </c>
      <c r="B1818" s="1" t="s">
        <v>30</v>
      </c>
      <c r="C1818" s="1">
        <v>4</v>
      </c>
      <c r="D1818" s="1">
        <v>55.7</v>
      </c>
      <c r="E1818" s="11">
        <v>222.8</v>
      </c>
      <c r="F1818" s="3">
        <v>45724</v>
      </c>
      <c r="G1818" s="3">
        <v>45726</v>
      </c>
      <c r="H1818" s="1" t="s">
        <v>89</v>
      </c>
      <c r="I1818" s="1" t="s">
        <v>18</v>
      </c>
      <c r="J1818" s="1">
        <v>3</v>
      </c>
      <c r="K1818" s="1" t="s">
        <v>19</v>
      </c>
      <c r="L1818" s="1" t="s">
        <v>147</v>
      </c>
      <c r="M1818" s="1">
        <f>orders[[#This Row],[Ship Date]]-orders[[#This Row],[Order Date]]</f>
        <v>2</v>
      </c>
      <c r="N1818" s="1">
        <f>WEEKNUM(orders[[#This Row],[Order Date]])</f>
        <v>10</v>
      </c>
      <c r="O1818" s="1" t="str" cm="1">
        <f t="array" ref="O1818">_xlfn.IFS(orders[[#This Row],[Customer Gender]]="M","Male", orders[[#This Row],[Customer Gender]]="F","Female", orders[[#This Row],[Customer Gender]]="O","Other", TRUE,"Unknown")</f>
        <v>Other</v>
      </c>
    </row>
    <row r="1819" spans="1:15">
      <c r="A1819" s="1" t="s">
        <v>1919</v>
      </c>
      <c r="B1819" s="1" t="s">
        <v>42</v>
      </c>
      <c r="C1819" s="1">
        <v>2</v>
      </c>
      <c r="D1819" s="1">
        <v>102.4</v>
      </c>
      <c r="E1819" s="11">
        <v>204.8</v>
      </c>
      <c r="F1819" s="3">
        <v>45724</v>
      </c>
      <c r="G1819" s="3">
        <v>45724</v>
      </c>
      <c r="H1819" s="1" t="s">
        <v>27</v>
      </c>
      <c r="I1819" s="1" t="s">
        <v>35</v>
      </c>
      <c r="J1819" s="1">
        <v>4</v>
      </c>
      <c r="K1819" s="1" t="s">
        <v>19</v>
      </c>
      <c r="L1819" s="1" t="s">
        <v>33</v>
      </c>
      <c r="M1819" s="1">
        <f>orders[[#This Row],[Ship Date]]-orders[[#This Row],[Order Date]]</f>
        <v>0</v>
      </c>
      <c r="N1819" s="1">
        <f>WEEKNUM(orders[[#This Row],[Order Date]])</f>
        <v>10</v>
      </c>
      <c r="O1819" s="1" t="str" cm="1">
        <f t="array" ref="O1819">_xlfn.IFS(orders[[#This Row],[Customer Gender]]="M","Male", orders[[#This Row],[Customer Gender]]="F","Female", orders[[#This Row],[Customer Gender]]="O","Other", TRUE,"Unknown")</f>
        <v>Female</v>
      </c>
    </row>
    <row r="1820" spans="1:15">
      <c r="A1820" s="1" t="s">
        <v>1920</v>
      </c>
      <c r="B1820" s="1" t="s">
        <v>22</v>
      </c>
      <c r="C1820" s="1">
        <v>1</v>
      </c>
      <c r="D1820" s="1">
        <v>92</v>
      </c>
      <c r="E1820" s="11">
        <v>92</v>
      </c>
      <c r="F1820" s="3">
        <v>45724</v>
      </c>
      <c r="G1820" s="3">
        <v>45728</v>
      </c>
      <c r="H1820" s="1" t="s">
        <v>17</v>
      </c>
      <c r="I1820" s="1" t="s">
        <v>40</v>
      </c>
      <c r="J1820" s="1">
        <v>4</v>
      </c>
      <c r="K1820" s="1" t="s">
        <v>19</v>
      </c>
      <c r="L1820" s="1" t="s">
        <v>33</v>
      </c>
      <c r="M1820" s="1">
        <f>orders[[#This Row],[Ship Date]]-orders[[#This Row],[Order Date]]</f>
        <v>4</v>
      </c>
      <c r="N1820" s="1">
        <f>WEEKNUM(orders[[#This Row],[Order Date]])</f>
        <v>10</v>
      </c>
      <c r="O1820" s="1" t="str" cm="1">
        <f t="array" ref="O1820">_xlfn.IFS(orders[[#This Row],[Customer Gender]]="M","Male", orders[[#This Row],[Customer Gender]]="F","Female", orders[[#This Row],[Customer Gender]]="O","Other", TRUE,"Unknown")</f>
        <v>Unknown</v>
      </c>
    </row>
    <row r="1821" spans="1:15">
      <c r="A1821" s="1" t="s">
        <v>1921</v>
      </c>
      <c r="B1821" s="1" t="s">
        <v>39</v>
      </c>
      <c r="C1821" s="1">
        <v>4</v>
      </c>
      <c r="D1821" s="1">
        <v>75.900000000000006</v>
      </c>
      <c r="E1821" s="11">
        <v>303.60000000000002</v>
      </c>
      <c r="F1821" s="3">
        <v>45724</v>
      </c>
      <c r="G1821" s="3">
        <v>45726</v>
      </c>
      <c r="H1821" s="1" t="s">
        <v>27</v>
      </c>
      <c r="I1821" s="1" t="s">
        <v>35</v>
      </c>
      <c r="J1821" s="1">
        <v>4</v>
      </c>
      <c r="K1821" s="1" t="s">
        <v>19</v>
      </c>
      <c r="L1821" s="1" t="s">
        <v>33</v>
      </c>
      <c r="M1821" s="1">
        <f>orders[[#This Row],[Ship Date]]-orders[[#This Row],[Order Date]]</f>
        <v>2</v>
      </c>
      <c r="N1821" s="1">
        <f>WEEKNUM(orders[[#This Row],[Order Date]])</f>
        <v>10</v>
      </c>
      <c r="O1821" s="1" t="str" cm="1">
        <f t="array" ref="O1821">_xlfn.IFS(orders[[#This Row],[Customer Gender]]="M","Male", orders[[#This Row],[Customer Gender]]="F","Female", orders[[#This Row],[Customer Gender]]="O","Other", TRUE,"Unknown")</f>
        <v>Female</v>
      </c>
    </row>
    <row r="1822" spans="1:15">
      <c r="A1822" s="1" t="s">
        <v>1922</v>
      </c>
      <c r="B1822" s="1" t="s">
        <v>22</v>
      </c>
      <c r="C1822" s="1">
        <v>4</v>
      </c>
      <c r="D1822" s="1">
        <v>36.200000000000003</v>
      </c>
      <c r="E1822" s="11">
        <v>144.80000000000001</v>
      </c>
      <c r="F1822" s="3">
        <v>45724</v>
      </c>
      <c r="G1822" s="3">
        <v>45725</v>
      </c>
      <c r="H1822" s="1" t="s">
        <v>27</v>
      </c>
      <c r="I1822" s="1" t="s">
        <v>35</v>
      </c>
      <c r="J1822" s="1">
        <v>4</v>
      </c>
      <c r="K1822" s="1" t="s">
        <v>19</v>
      </c>
      <c r="L1822" s="1" t="s">
        <v>33</v>
      </c>
      <c r="M1822" s="1">
        <f>orders[[#This Row],[Ship Date]]-orders[[#This Row],[Order Date]]</f>
        <v>1</v>
      </c>
      <c r="N1822" s="1">
        <f>WEEKNUM(orders[[#This Row],[Order Date]])</f>
        <v>10</v>
      </c>
      <c r="O1822" s="1" t="str" cm="1">
        <f t="array" ref="O1822">_xlfn.IFS(orders[[#This Row],[Customer Gender]]="M","Male", orders[[#This Row],[Customer Gender]]="F","Female", orders[[#This Row],[Customer Gender]]="O","Other", TRUE,"Unknown")</f>
        <v>Female</v>
      </c>
    </row>
    <row r="1823" spans="1:15">
      <c r="A1823" s="1" t="s">
        <v>1923</v>
      </c>
      <c r="B1823" s="1" t="s">
        <v>39</v>
      </c>
      <c r="C1823" s="1">
        <v>87</v>
      </c>
      <c r="D1823" s="1">
        <v>83.5</v>
      </c>
      <c r="E1823" s="11">
        <v>7264.5</v>
      </c>
      <c r="F1823" s="3">
        <v>45724</v>
      </c>
      <c r="G1823" s="3">
        <v>45726</v>
      </c>
      <c r="H1823" s="1" t="s">
        <v>17</v>
      </c>
      <c r="I1823" s="1" t="s">
        <v>51</v>
      </c>
      <c r="J1823" s="1">
        <v>4</v>
      </c>
      <c r="K1823" s="1" t="s">
        <v>19</v>
      </c>
      <c r="L1823" s="1" t="s">
        <v>33</v>
      </c>
      <c r="M1823" s="1">
        <f>orders[[#This Row],[Ship Date]]-orders[[#This Row],[Order Date]]</f>
        <v>2</v>
      </c>
      <c r="N1823" s="1">
        <f>WEEKNUM(orders[[#This Row],[Order Date]])</f>
        <v>10</v>
      </c>
      <c r="O1823" s="1" t="str" cm="1">
        <f t="array" ref="O1823">_xlfn.IFS(orders[[#This Row],[Customer Gender]]="M","Male", orders[[#This Row],[Customer Gender]]="F","Female", orders[[#This Row],[Customer Gender]]="O","Other", TRUE,"Unknown")</f>
        <v>Unknown</v>
      </c>
    </row>
    <row r="1824" spans="1:15">
      <c r="A1824" s="1" t="s">
        <v>1924</v>
      </c>
      <c r="B1824" s="1" t="s">
        <v>171</v>
      </c>
      <c r="C1824" s="1">
        <v>12</v>
      </c>
      <c r="D1824" s="1">
        <v>52.4</v>
      </c>
      <c r="E1824" s="11">
        <v>628.79999999999995</v>
      </c>
      <c r="F1824" s="3">
        <v>45724</v>
      </c>
      <c r="G1824" s="3">
        <v>45724</v>
      </c>
      <c r="H1824" s="1" t="s">
        <v>23</v>
      </c>
      <c r="I1824" s="1" t="s">
        <v>40</v>
      </c>
      <c r="J1824" s="1">
        <v>4</v>
      </c>
      <c r="K1824" s="1" t="s">
        <v>19</v>
      </c>
      <c r="L1824" s="1" t="s">
        <v>33</v>
      </c>
      <c r="M1824" s="1">
        <f>orders[[#This Row],[Ship Date]]-orders[[#This Row],[Order Date]]</f>
        <v>0</v>
      </c>
      <c r="N1824" s="1">
        <f>WEEKNUM(orders[[#This Row],[Order Date]])</f>
        <v>10</v>
      </c>
      <c r="O1824" s="1" t="str" cm="1">
        <f t="array" ref="O1824">_xlfn.IFS(orders[[#This Row],[Customer Gender]]="M","Male", orders[[#This Row],[Customer Gender]]="F","Female", orders[[#This Row],[Customer Gender]]="O","Other", TRUE,"Unknown")</f>
        <v>Male</v>
      </c>
    </row>
    <row r="1825" spans="1:15">
      <c r="A1825" s="1" t="s">
        <v>1925</v>
      </c>
      <c r="B1825" s="1" t="s">
        <v>69</v>
      </c>
      <c r="C1825" s="1">
        <v>3</v>
      </c>
      <c r="D1825" s="1">
        <v>69.5</v>
      </c>
      <c r="E1825" s="11">
        <v>208.5</v>
      </c>
      <c r="F1825" s="3">
        <v>45724</v>
      </c>
      <c r="G1825" s="3">
        <v>45725</v>
      </c>
      <c r="H1825" s="1" t="s">
        <v>89</v>
      </c>
      <c r="I1825" s="1" t="s">
        <v>70</v>
      </c>
      <c r="J1825" s="1">
        <v>4</v>
      </c>
      <c r="K1825" s="1" t="s">
        <v>19</v>
      </c>
      <c r="L1825" s="1" t="s">
        <v>33</v>
      </c>
      <c r="M1825" s="1">
        <f>orders[[#This Row],[Ship Date]]-orders[[#This Row],[Order Date]]</f>
        <v>1</v>
      </c>
      <c r="N1825" s="1">
        <f>WEEKNUM(orders[[#This Row],[Order Date]])</f>
        <v>10</v>
      </c>
      <c r="O1825" s="1" t="str" cm="1">
        <f t="array" ref="O1825">_xlfn.IFS(orders[[#This Row],[Customer Gender]]="M","Male", orders[[#This Row],[Customer Gender]]="F","Female", orders[[#This Row],[Customer Gender]]="O","Other", TRUE,"Unknown")</f>
        <v>Other</v>
      </c>
    </row>
    <row r="1826" spans="1:15">
      <c r="A1826" s="1" t="s">
        <v>1926</v>
      </c>
      <c r="B1826" s="1" t="s">
        <v>16</v>
      </c>
      <c r="C1826" s="1">
        <v>1</v>
      </c>
      <c r="D1826" s="1">
        <v>15.5</v>
      </c>
      <c r="E1826" s="11">
        <v>15.5</v>
      </c>
      <c r="F1826" s="3">
        <v>45724</v>
      </c>
      <c r="G1826" s="3">
        <v>45726</v>
      </c>
      <c r="H1826" s="1" t="s">
        <v>23</v>
      </c>
      <c r="I1826" s="1" t="s">
        <v>18</v>
      </c>
      <c r="J1826" s="1">
        <v>4</v>
      </c>
      <c r="K1826" s="1" t="s">
        <v>19</v>
      </c>
      <c r="L1826" s="1" t="s">
        <v>33</v>
      </c>
      <c r="M1826" s="1">
        <f>orders[[#This Row],[Ship Date]]-orders[[#This Row],[Order Date]]</f>
        <v>2</v>
      </c>
      <c r="N1826" s="1">
        <f>WEEKNUM(orders[[#This Row],[Order Date]])</f>
        <v>10</v>
      </c>
      <c r="O1826" s="1" t="str" cm="1">
        <f t="array" ref="O1826">_xlfn.IFS(orders[[#This Row],[Customer Gender]]="M","Male", orders[[#This Row],[Customer Gender]]="F","Female", orders[[#This Row],[Customer Gender]]="O","Other", TRUE,"Unknown")</f>
        <v>Male</v>
      </c>
    </row>
    <row r="1827" spans="1:15">
      <c r="A1827" s="1" t="s">
        <v>1927</v>
      </c>
      <c r="B1827" s="1" t="s">
        <v>32</v>
      </c>
      <c r="C1827" s="1">
        <v>4</v>
      </c>
      <c r="D1827" s="1">
        <v>35.200000000000003</v>
      </c>
      <c r="E1827" s="11">
        <v>140.80000000000001</v>
      </c>
      <c r="F1827" s="3">
        <v>45724</v>
      </c>
      <c r="G1827" s="3">
        <v>45725</v>
      </c>
      <c r="H1827" s="1" t="s">
        <v>27</v>
      </c>
      <c r="I1827" s="1" t="s">
        <v>40</v>
      </c>
      <c r="J1827" s="1">
        <v>5</v>
      </c>
      <c r="K1827" s="1" t="s">
        <v>19</v>
      </c>
      <c r="L1827" s="1" t="s">
        <v>33</v>
      </c>
      <c r="M1827" s="1">
        <f>orders[[#This Row],[Ship Date]]-orders[[#This Row],[Order Date]]</f>
        <v>1</v>
      </c>
      <c r="N1827" s="1">
        <f>WEEKNUM(orders[[#This Row],[Order Date]])</f>
        <v>10</v>
      </c>
      <c r="O1827" s="1" t="str" cm="1">
        <f t="array" ref="O1827">_xlfn.IFS(orders[[#This Row],[Customer Gender]]="M","Male", orders[[#This Row],[Customer Gender]]="F","Female", orders[[#This Row],[Customer Gender]]="O","Other", TRUE,"Unknown")</f>
        <v>Female</v>
      </c>
    </row>
    <row r="1828" spans="1:15">
      <c r="A1828" s="1" t="s">
        <v>1928</v>
      </c>
      <c r="B1828" s="1" t="s">
        <v>44</v>
      </c>
      <c r="C1828" s="1">
        <v>6</v>
      </c>
      <c r="D1828" s="1">
        <v>34.6</v>
      </c>
      <c r="E1828" s="11">
        <v>207.60000000000002</v>
      </c>
      <c r="F1828" s="3">
        <v>45724</v>
      </c>
      <c r="G1828" s="3">
        <v>45725</v>
      </c>
      <c r="H1828" s="1" t="s">
        <v>17</v>
      </c>
      <c r="I1828" s="1" t="s">
        <v>18</v>
      </c>
      <c r="J1828" s="1">
        <v>3</v>
      </c>
      <c r="K1828" s="1" t="s">
        <v>19</v>
      </c>
      <c r="L1828" s="1" t="s">
        <v>33</v>
      </c>
      <c r="M1828" s="1">
        <f>orders[[#This Row],[Ship Date]]-orders[[#This Row],[Order Date]]</f>
        <v>1</v>
      </c>
      <c r="N1828" s="1">
        <f>WEEKNUM(orders[[#This Row],[Order Date]])</f>
        <v>10</v>
      </c>
      <c r="O1828" s="1" t="str" cm="1">
        <f t="array" ref="O1828">_xlfn.IFS(orders[[#This Row],[Customer Gender]]="M","Male", orders[[#This Row],[Customer Gender]]="F","Female", orders[[#This Row],[Customer Gender]]="O","Other", TRUE,"Unknown")</f>
        <v>Unknown</v>
      </c>
    </row>
    <row r="1829" spans="1:15">
      <c r="A1829" s="1" t="s">
        <v>1929</v>
      </c>
      <c r="B1829" s="1" t="s">
        <v>32</v>
      </c>
      <c r="C1829" s="1">
        <v>1</v>
      </c>
      <c r="D1829" s="1">
        <v>21.3</v>
      </c>
      <c r="E1829" s="11">
        <v>21.3</v>
      </c>
      <c r="F1829" s="3">
        <v>45725</v>
      </c>
      <c r="G1829" s="3">
        <v>45726</v>
      </c>
      <c r="H1829" s="1" t="s">
        <v>23</v>
      </c>
      <c r="I1829" s="1" t="s">
        <v>40</v>
      </c>
      <c r="J1829" s="1">
        <v>3</v>
      </c>
      <c r="K1829" s="1" t="s">
        <v>19</v>
      </c>
      <c r="L1829" s="1" t="s">
        <v>33</v>
      </c>
      <c r="M1829" s="1">
        <f>orders[[#This Row],[Ship Date]]-orders[[#This Row],[Order Date]]</f>
        <v>1</v>
      </c>
      <c r="N1829" s="1">
        <f>WEEKNUM(orders[[#This Row],[Order Date]])</f>
        <v>11</v>
      </c>
      <c r="O1829" s="1" t="str" cm="1">
        <f t="array" ref="O1829">_xlfn.IFS(orders[[#This Row],[Customer Gender]]="M","Male", orders[[#This Row],[Customer Gender]]="F","Female", orders[[#This Row],[Customer Gender]]="O","Other", TRUE,"Unknown")</f>
        <v>Male</v>
      </c>
    </row>
    <row r="1830" spans="1:15">
      <c r="A1830" s="1" t="s">
        <v>1930</v>
      </c>
      <c r="B1830" s="1" t="s">
        <v>39</v>
      </c>
      <c r="C1830" s="1">
        <v>2</v>
      </c>
      <c r="D1830" s="1">
        <v>136.5</v>
      </c>
      <c r="E1830" s="11">
        <v>273</v>
      </c>
      <c r="F1830" s="3">
        <v>45725</v>
      </c>
      <c r="G1830" s="3">
        <v>45731</v>
      </c>
      <c r="H1830" s="1" t="s">
        <v>27</v>
      </c>
      <c r="I1830" s="1" t="s">
        <v>18</v>
      </c>
      <c r="J1830" s="1">
        <v>4</v>
      </c>
      <c r="K1830" s="1" t="s">
        <v>19</v>
      </c>
      <c r="L1830" s="1" t="s">
        <v>364</v>
      </c>
      <c r="M1830" s="1">
        <f>orders[[#This Row],[Ship Date]]-orders[[#This Row],[Order Date]]</f>
        <v>6</v>
      </c>
      <c r="N1830" s="1">
        <f>WEEKNUM(orders[[#This Row],[Order Date]])</f>
        <v>11</v>
      </c>
      <c r="O1830" s="1" t="str" cm="1">
        <f t="array" ref="O1830">_xlfn.IFS(orders[[#This Row],[Customer Gender]]="M","Male", orders[[#This Row],[Customer Gender]]="F","Female", orders[[#This Row],[Customer Gender]]="O","Other", TRUE,"Unknown")</f>
        <v>Female</v>
      </c>
    </row>
    <row r="1831" spans="1:15">
      <c r="A1831" s="1" t="s">
        <v>1931</v>
      </c>
      <c r="B1831" s="1" t="s">
        <v>46</v>
      </c>
      <c r="C1831" s="1">
        <v>7</v>
      </c>
      <c r="D1831" s="1">
        <v>30.7</v>
      </c>
      <c r="E1831" s="11">
        <v>214.9</v>
      </c>
      <c r="F1831" s="3">
        <v>45725</v>
      </c>
      <c r="G1831" s="3">
        <v>45726</v>
      </c>
      <c r="H1831" s="1" t="s">
        <v>23</v>
      </c>
      <c r="I1831" s="1" t="s">
        <v>40</v>
      </c>
      <c r="J1831" s="1">
        <v>5</v>
      </c>
      <c r="K1831" s="1" t="s">
        <v>19</v>
      </c>
      <c r="L1831" s="1" t="s">
        <v>188</v>
      </c>
      <c r="M1831" s="1">
        <f>orders[[#This Row],[Ship Date]]-orders[[#This Row],[Order Date]]</f>
        <v>1</v>
      </c>
      <c r="N1831" s="1">
        <f>WEEKNUM(orders[[#This Row],[Order Date]])</f>
        <v>11</v>
      </c>
      <c r="O1831" s="1" t="str" cm="1">
        <f t="array" ref="O1831">_xlfn.IFS(orders[[#This Row],[Customer Gender]]="M","Male", orders[[#This Row],[Customer Gender]]="F","Female", orders[[#This Row],[Customer Gender]]="O","Other", TRUE,"Unknown")</f>
        <v>Male</v>
      </c>
    </row>
    <row r="1832" spans="1:15">
      <c r="A1832" s="1" t="s">
        <v>1932</v>
      </c>
      <c r="B1832" s="1" t="s">
        <v>22</v>
      </c>
      <c r="C1832" s="1">
        <v>2</v>
      </c>
      <c r="D1832" s="1">
        <v>61.6</v>
      </c>
      <c r="E1832" s="11">
        <v>123.2</v>
      </c>
      <c r="F1832" s="3">
        <v>45725</v>
      </c>
      <c r="G1832" s="3">
        <v>45726</v>
      </c>
      <c r="H1832" s="1" t="s">
        <v>27</v>
      </c>
      <c r="I1832" s="1" t="s">
        <v>40</v>
      </c>
      <c r="J1832" s="1">
        <v>5</v>
      </c>
      <c r="K1832" s="1" t="s">
        <v>19</v>
      </c>
      <c r="L1832" s="1" t="s">
        <v>158</v>
      </c>
      <c r="M1832" s="1">
        <f>orders[[#This Row],[Ship Date]]-orders[[#This Row],[Order Date]]</f>
        <v>1</v>
      </c>
      <c r="N1832" s="1">
        <f>WEEKNUM(orders[[#This Row],[Order Date]])</f>
        <v>11</v>
      </c>
      <c r="O1832" s="1" t="str" cm="1">
        <f t="array" ref="O1832">_xlfn.IFS(orders[[#This Row],[Customer Gender]]="M","Male", orders[[#This Row],[Customer Gender]]="F","Female", orders[[#This Row],[Customer Gender]]="O","Other", TRUE,"Unknown")</f>
        <v>Female</v>
      </c>
    </row>
    <row r="1833" spans="1:15">
      <c r="A1833" s="1" t="s">
        <v>1933</v>
      </c>
      <c r="B1833" s="1" t="s">
        <v>39</v>
      </c>
      <c r="C1833" s="1">
        <v>4</v>
      </c>
      <c r="D1833" s="1">
        <v>54.3</v>
      </c>
      <c r="E1833" s="11">
        <v>217.2</v>
      </c>
      <c r="F1833" s="3">
        <v>45725</v>
      </c>
      <c r="G1833" s="3">
        <v>45727</v>
      </c>
      <c r="H1833" s="1" t="s">
        <v>17</v>
      </c>
      <c r="I1833" s="1" t="s">
        <v>70</v>
      </c>
      <c r="J1833" s="1">
        <v>4</v>
      </c>
      <c r="K1833" s="1" t="s">
        <v>19</v>
      </c>
      <c r="L1833" s="1" t="s">
        <v>59</v>
      </c>
      <c r="M1833" s="1">
        <f>orders[[#This Row],[Ship Date]]-orders[[#This Row],[Order Date]]</f>
        <v>2</v>
      </c>
      <c r="N1833" s="1">
        <f>WEEKNUM(orders[[#This Row],[Order Date]])</f>
        <v>11</v>
      </c>
      <c r="O1833" s="1" t="str" cm="1">
        <f t="array" ref="O1833">_xlfn.IFS(orders[[#This Row],[Customer Gender]]="M","Male", orders[[#This Row],[Customer Gender]]="F","Female", orders[[#This Row],[Customer Gender]]="O","Other", TRUE,"Unknown")</f>
        <v>Unknown</v>
      </c>
    </row>
    <row r="1834" spans="1:15">
      <c r="A1834" s="1" t="s">
        <v>1934</v>
      </c>
      <c r="B1834" s="1" t="s">
        <v>22</v>
      </c>
      <c r="C1834" s="1">
        <v>2</v>
      </c>
      <c r="D1834" s="1">
        <v>44.1</v>
      </c>
      <c r="E1834" s="11">
        <v>88.2</v>
      </c>
      <c r="F1834" s="3">
        <v>45725</v>
      </c>
      <c r="G1834" s="3">
        <v>45737</v>
      </c>
      <c r="H1834" s="1" t="s">
        <v>27</v>
      </c>
      <c r="I1834" s="1" t="s">
        <v>18</v>
      </c>
      <c r="J1834" s="1">
        <v>5</v>
      </c>
      <c r="K1834" s="1" t="s">
        <v>19</v>
      </c>
      <c r="L1834" s="1" t="s">
        <v>62</v>
      </c>
      <c r="M1834" s="1">
        <f>orders[[#This Row],[Ship Date]]-orders[[#This Row],[Order Date]]</f>
        <v>12</v>
      </c>
      <c r="N1834" s="1">
        <f>WEEKNUM(orders[[#This Row],[Order Date]])</f>
        <v>11</v>
      </c>
      <c r="O1834" s="1" t="str" cm="1">
        <f t="array" ref="O1834">_xlfn.IFS(orders[[#This Row],[Customer Gender]]="M","Male", orders[[#This Row],[Customer Gender]]="F","Female", orders[[#This Row],[Customer Gender]]="O","Other", TRUE,"Unknown")</f>
        <v>Female</v>
      </c>
    </row>
    <row r="1835" spans="1:15">
      <c r="A1835" s="1" t="s">
        <v>1935</v>
      </c>
      <c r="B1835" s="1" t="s">
        <v>44</v>
      </c>
      <c r="C1835" s="1">
        <v>4</v>
      </c>
      <c r="D1835" s="1">
        <v>43.5</v>
      </c>
      <c r="E1835" s="11">
        <v>174</v>
      </c>
      <c r="F1835" s="3">
        <v>45725</v>
      </c>
      <c r="G1835" s="3">
        <v>45731</v>
      </c>
      <c r="H1835" s="1" t="s">
        <v>23</v>
      </c>
      <c r="I1835" s="1" t="s">
        <v>51</v>
      </c>
      <c r="J1835" s="1">
        <v>4</v>
      </c>
      <c r="K1835" s="1" t="s">
        <v>19</v>
      </c>
      <c r="L1835" s="1" t="s">
        <v>62</v>
      </c>
      <c r="M1835" s="1">
        <f>orders[[#This Row],[Ship Date]]-orders[[#This Row],[Order Date]]</f>
        <v>6</v>
      </c>
      <c r="N1835" s="1">
        <f>WEEKNUM(orders[[#This Row],[Order Date]])</f>
        <v>11</v>
      </c>
      <c r="O1835" s="1" t="str" cm="1">
        <f t="array" ref="O1835">_xlfn.IFS(orders[[#This Row],[Customer Gender]]="M","Male", orders[[#This Row],[Customer Gender]]="F","Female", orders[[#This Row],[Customer Gender]]="O","Other", TRUE,"Unknown")</f>
        <v>Male</v>
      </c>
    </row>
    <row r="1836" spans="1:15">
      <c r="A1836" s="1" t="s">
        <v>1936</v>
      </c>
      <c r="B1836" s="1" t="s">
        <v>44</v>
      </c>
      <c r="C1836" s="1">
        <v>3</v>
      </c>
      <c r="D1836" s="1">
        <v>48.2</v>
      </c>
      <c r="E1836" s="11">
        <v>144.60000000000002</v>
      </c>
      <c r="F1836" s="3">
        <v>45725</v>
      </c>
      <c r="G1836" s="3">
        <v>45729</v>
      </c>
      <c r="H1836" s="1" t="s">
        <v>23</v>
      </c>
      <c r="I1836" s="1" t="s">
        <v>51</v>
      </c>
      <c r="J1836" s="1">
        <v>3</v>
      </c>
      <c r="K1836" s="1" t="s">
        <v>19</v>
      </c>
      <c r="L1836" s="1" t="s">
        <v>62</v>
      </c>
      <c r="M1836" s="1">
        <f>orders[[#This Row],[Ship Date]]-orders[[#This Row],[Order Date]]</f>
        <v>4</v>
      </c>
      <c r="N1836" s="1">
        <f>WEEKNUM(orders[[#This Row],[Order Date]])</f>
        <v>11</v>
      </c>
      <c r="O1836" s="1" t="str" cm="1">
        <f t="array" ref="O1836">_xlfn.IFS(orders[[#This Row],[Customer Gender]]="M","Male", orders[[#This Row],[Customer Gender]]="F","Female", orders[[#This Row],[Customer Gender]]="O","Other", TRUE,"Unknown")</f>
        <v>Male</v>
      </c>
    </row>
    <row r="1837" spans="1:15">
      <c r="A1837" s="1" t="s">
        <v>1937</v>
      </c>
      <c r="B1837" s="1" t="s">
        <v>171</v>
      </c>
      <c r="C1837" s="1">
        <v>1</v>
      </c>
      <c r="D1837" s="1">
        <v>13.7</v>
      </c>
      <c r="E1837" s="11">
        <v>13.7</v>
      </c>
      <c r="F1837" s="3">
        <v>45725</v>
      </c>
      <c r="G1837" s="3">
        <v>45726</v>
      </c>
      <c r="H1837" s="1" t="s">
        <v>27</v>
      </c>
      <c r="I1837" s="1" t="s">
        <v>40</v>
      </c>
      <c r="J1837" s="1">
        <v>5</v>
      </c>
      <c r="K1837" s="1" t="s">
        <v>19</v>
      </c>
      <c r="L1837" s="1" t="s">
        <v>62</v>
      </c>
      <c r="M1837" s="1">
        <f>orders[[#This Row],[Ship Date]]-orders[[#This Row],[Order Date]]</f>
        <v>1</v>
      </c>
      <c r="N1837" s="1">
        <f>WEEKNUM(orders[[#This Row],[Order Date]])</f>
        <v>11</v>
      </c>
      <c r="O1837" s="1" t="str" cm="1">
        <f t="array" ref="O1837">_xlfn.IFS(orders[[#This Row],[Customer Gender]]="M","Male", orders[[#This Row],[Customer Gender]]="F","Female", orders[[#This Row],[Customer Gender]]="O","Other", TRUE,"Unknown")</f>
        <v>Female</v>
      </c>
    </row>
    <row r="1838" spans="1:15">
      <c r="A1838" s="1" t="s">
        <v>1938</v>
      </c>
      <c r="B1838" s="1" t="s">
        <v>26</v>
      </c>
      <c r="C1838" s="1">
        <v>2</v>
      </c>
      <c r="D1838" s="1">
        <v>110.5</v>
      </c>
      <c r="E1838" s="11">
        <v>221</v>
      </c>
      <c r="F1838" s="3">
        <v>45725</v>
      </c>
      <c r="G1838" s="3">
        <v>45726</v>
      </c>
      <c r="H1838" s="1" t="s">
        <v>27</v>
      </c>
      <c r="I1838" s="1" t="s">
        <v>18</v>
      </c>
      <c r="J1838" s="1">
        <v>3</v>
      </c>
      <c r="K1838" s="1" t="s">
        <v>19</v>
      </c>
      <c r="L1838" s="1" t="s">
        <v>62</v>
      </c>
      <c r="M1838" s="1">
        <f>orders[[#This Row],[Ship Date]]-orders[[#This Row],[Order Date]]</f>
        <v>1</v>
      </c>
      <c r="N1838" s="1">
        <f>WEEKNUM(orders[[#This Row],[Order Date]])</f>
        <v>11</v>
      </c>
      <c r="O1838" s="1" t="str" cm="1">
        <f t="array" ref="O1838">_xlfn.IFS(orders[[#This Row],[Customer Gender]]="M","Male", orders[[#This Row],[Customer Gender]]="F","Female", orders[[#This Row],[Customer Gender]]="O","Other", TRUE,"Unknown")</f>
        <v>Female</v>
      </c>
    </row>
    <row r="1839" spans="1:15">
      <c r="A1839" s="1" t="s">
        <v>1939</v>
      </c>
      <c r="B1839" s="1" t="s">
        <v>44</v>
      </c>
      <c r="C1839" s="1">
        <v>3</v>
      </c>
      <c r="D1839" s="1">
        <v>26</v>
      </c>
      <c r="E1839" s="11">
        <v>78</v>
      </c>
      <c r="F1839" s="3">
        <v>45725</v>
      </c>
      <c r="G1839" s="3">
        <v>45730</v>
      </c>
      <c r="H1839" s="1" t="s">
        <v>27</v>
      </c>
      <c r="I1839" s="1" t="s">
        <v>35</v>
      </c>
      <c r="J1839" s="1">
        <v>3</v>
      </c>
      <c r="K1839" s="1" t="s">
        <v>19</v>
      </c>
      <c r="L1839" s="1" t="s">
        <v>62</v>
      </c>
      <c r="M1839" s="1">
        <f>orders[[#This Row],[Ship Date]]-orders[[#This Row],[Order Date]]</f>
        <v>5</v>
      </c>
      <c r="N1839" s="1">
        <f>WEEKNUM(orders[[#This Row],[Order Date]])</f>
        <v>11</v>
      </c>
      <c r="O1839" s="1" t="str" cm="1">
        <f t="array" ref="O1839">_xlfn.IFS(orders[[#This Row],[Customer Gender]]="M","Male", orders[[#This Row],[Customer Gender]]="F","Female", orders[[#This Row],[Customer Gender]]="O","Other", TRUE,"Unknown")</f>
        <v>Female</v>
      </c>
    </row>
    <row r="1840" spans="1:15">
      <c r="A1840" s="1" t="s">
        <v>1940</v>
      </c>
      <c r="B1840" s="1" t="s">
        <v>26</v>
      </c>
      <c r="C1840" s="1">
        <v>10</v>
      </c>
      <c r="D1840" s="1">
        <v>140.69999999999999</v>
      </c>
      <c r="E1840" s="11">
        <v>1407</v>
      </c>
      <c r="F1840" s="3">
        <v>45725</v>
      </c>
      <c r="G1840" s="3">
        <v>45731</v>
      </c>
      <c r="H1840" s="1" t="s">
        <v>23</v>
      </c>
      <c r="I1840" s="1" t="s">
        <v>51</v>
      </c>
      <c r="J1840" s="1">
        <v>3</v>
      </c>
      <c r="K1840" s="1" t="s">
        <v>19</v>
      </c>
      <c r="L1840" s="1" t="s">
        <v>62</v>
      </c>
      <c r="M1840" s="1">
        <f>orders[[#This Row],[Ship Date]]-orders[[#This Row],[Order Date]]</f>
        <v>6</v>
      </c>
      <c r="N1840" s="1">
        <f>WEEKNUM(orders[[#This Row],[Order Date]])</f>
        <v>11</v>
      </c>
      <c r="O1840" s="1" t="str" cm="1">
        <f t="array" ref="O1840">_xlfn.IFS(orders[[#This Row],[Customer Gender]]="M","Male", orders[[#This Row],[Customer Gender]]="F","Female", orders[[#This Row],[Customer Gender]]="O","Other", TRUE,"Unknown")</f>
        <v>Male</v>
      </c>
    </row>
    <row r="1841" spans="1:15">
      <c r="A1841" s="1" t="s">
        <v>1941</v>
      </c>
      <c r="B1841" s="1" t="s">
        <v>135</v>
      </c>
      <c r="C1841" s="1">
        <v>2</v>
      </c>
      <c r="D1841" s="1">
        <v>41.7</v>
      </c>
      <c r="E1841" s="11">
        <v>83.4</v>
      </c>
      <c r="F1841" s="3">
        <v>45725</v>
      </c>
      <c r="G1841" s="3">
        <v>45733</v>
      </c>
      <c r="H1841" s="1" t="s">
        <v>27</v>
      </c>
      <c r="I1841" s="1" t="s">
        <v>18</v>
      </c>
      <c r="J1841" s="1">
        <v>2</v>
      </c>
      <c r="K1841" s="1" t="s">
        <v>19</v>
      </c>
      <c r="L1841" s="1" t="s">
        <v>62</v>
      </c>
      <c r="M1841" s="1">
        <f>orders[[#This Row],[Ship Date]]-orders[[#This Row],[Order Date]]</f>
        <v>8</v>
      </c>
      <c r="N1841" s="1">
        <f>WEEKNUM(orders[[#This Row],[Order Date]])</f>
        <v>11</v>
      </c>
      <c r="O1841" s="1" t="str" cm="1">
        <f t="array" ref="O1841">_xlfn.IFS(orders[[#This Row],[Customer Gender]]="M","Male", orders[[#This Row],[Customer Gender]]="F","Female", orders[[#This Row],[Customer Gender]]="O","Other", TRUE,"Unknown")</f>
        <v>Female</v>
      </c>
    </row>
    <row r="1842" spans="1:15">
      <c r="A1842" s="1" t="s">
        <v>1942</v>
      </c>
      <c r="B1842" s="1" t="s">
        <v>26</v>
      </c>
      <c r="C1842" s="1">
        <v>2</v>
      </c>
      <c r="D1842" s="1">
        <v>135.1</v>
      </c>
      <c r="E1842" s="11">
        <v>270.2</v>
      </c>
      <c r="F1842" s="3">
        <v>45725</v>
      </c>
      <c r="G1842" s="3">
        <v>45726</v>
      </c>
      <c r="H1842" s="1" t="s">
        <v>23</v>
      </c>
      <c r="I1842" s="1" t="s">
        <v>18</v>
      </c>
      <c r="J1842" s="1">
        <v>5</v>
      </c>
      <c r="K1842" s="1" t="s">
        <v>19</v>
      </c>
      <c r="L1842" s="1" t="s">
        <v>103</v>
      </c>
      <c r="M1842" s="1">
        <f>orders[[#This Row],[Ship Date]]-orders[[#This Row],[Order Date]]</f>
        <v>1</v>
      </c>
      <c r="N1842" s="1">
        <f>WEEKNUM(orders[[#This Row],[Order Date]])</f>
        <v>11</v>
      </c>
      <c r="O1842" s="1" t="str" cm="1">
        <f t="array" ref="O1842">_xlfn.IFS(orders[[#This Row],[Customer Gender]]="M","Male", orders[[#This Row],[Customer Gender]]="F","Female", orders[[#This Row],[Customer Gender]]="O","Other", TRUE,"Unknown")</f>
        <v>Male</v>
      </c>
    </row>
    <row r="1843" spans="1:15">
      <c r="A1843" s="1" t="s">
        <v>1943</v>
      </c>
      <c r="B1843" s="1" t="s">
        <v>69</v>
      </c>
      <c r="C1843" s="1">
        <v>22</v>
      </c>
      <c r="D1843" s="1">
        <v>95.5</v>
      </c>
      <c r="E1843" s="11">
        <v>2101</v>
      </c>
      <c r="F1843" s="3">
        <v>45725</v>
      </c>
      <c r="G1843" s="3">
        <v>45726</v>
      </c>
      <c r="H1843" s="1" t="s">
        <v>27</v>
      </c>
      <c r="I1843" s="1" t="s">
        <v>70</v>
      </c>
      <c r="J1843" s="1">
        <v>2</v>
      </c>
      <c r="K1843" s="1" t="s">
        <v>19</v>
      </c>
      <c r="L1843" s="1" t="s">
        <v>201</v>
      </c>
      <c r="M1843" s="1">
        <f>orders[[#This Row],[Ship Date]]-orders[[#This Row],[Order Date]]</f>
        <v>1</v>
      </c>
      <c r="N1843" s="1">
        <f>WEEKNUM(orders[[#This Row],[Order Date]])</f>
        <v>11</v>
      </c>
      <c r="O1843" s="1" t="str" cm="1">
        <f t="array" ref="O1843">_xlfn.IFS(orders[[#This Row],[Customer Gender]]="M","Male", orders[[#This Row],[Customer Gender]]="F","Female", orders[[#This Row],[Customer Gender]]="O","Other", TRUE,"Unknown")</f>
        <v>Female</v>
      </c>
    </row>
    <row r="1844" spans="1:15">
      <c r="A1844" s="1" t="s">
        <v>1944</v>
      </c>
      <c r="B1844" s="1" t="s">
        <v>123</v>
      </c>
      <c r="C1844" s="1">
        <v>1</v>
      </c>
      <c r="D1844" s="1">
        <v>25.5</v>
      </c>
      <c r="E1844" s="11">
        <v>25.5</v>
      </c>
      <c r="F1844" s="3">
        <v>45725</v>
      </c>
      <c r="G1844" s="3">
        <v>45728</v>
      </c>
      <c r="H1844" s="1" t="s">
        <v>17</v>
      </c>
      <c r="I1844" s="1" t="s">
        <v>40</v>
      </c>
      <c r="J1844" s="1">
        <v>5</v>
      </c>
      <c r="K1844" s="1" t="s">
        <v>19</v>
      </c>
      <c r="L1844" s="1" t="s">
        <v>77</v>
      </c>
      <c r="M1844" s="1">
        <f>orders[[#This Row],[Ship Date]]-orders[[#This Row],[Order Date]]</f>
        <v>3</v>
      </c>
      <c r="N1844" s="1">
        <f>WEEKNUM(orders[[#This Row],[Order Date]])</f>
        <v>11</v>
      </c>
      <c r="O1844" s="1" t="str" cm="1">
        <f t="array" ref="O1844">_xlfn.IFS(orders[[#This Row],[Customer Gender]]="M","Male", orders[[#This Row],[Customer Gender]]="F","Female", orders[[#This Row],[Customer Gender]]="O","Other", TRUE,"Unknown")</f>
        <v>Unknown</v>
      </c>
    </row>
    <row r="1845" spans="1:15">
      <c r="A1845" s="1" t="s">
        <v>1945</v>
      </c>
      <c r="B1845" s="1" t="s">
        <v>22</v>
      </c>
      <c r="C1845" s="1">
        <v>1</v>
      </c>
      <c r="D1845" s="1">
        <v>42.6</v>
      </c>
      <c r="E1845" s="11">
        <v>42.6</v>
      </c>
      <c r="F1845" s="3">
        <v>45725</v>
      </c>
      <c r="G1845" s="3">
        <v>45729</v>
      </c>
      <c r="H1845" s="1" t="s">
        <v>27</v>
      </c>
      <c r="I1845" s="1" t="s">
        <v>18</v>
      </c>
      <c r="J1845" s="1">
        <v>4</v>
      </c>
      <c r="K1845" s="1" t="s">
        <v>19</v>
      </c>
      <c r="L1845" s="1" t="s">
        <v>77</v>
      </c>
      <c r="M1845" s="1">
        <f>orders[[#This Row],[Ship Date]]-orders[[#This Row],[Order Date]]</f>
        <v>4</v>
      </c>
      <c r="N1845" s="1">
        <f>WEEKNUM(orders[[#This Row],[Order Date]])</f>
        <v>11</v>
      </c>
      <c r="O1845" s="1" t="str" cm="1">
        <f t="array" ref="O1845">_xlfn.IFS(orders[[#This Row],[Customer Gender]]="M","Male", orders[[#This Row],[Customer Gender]]="F","Female", orders[[#This Row],[Customer Gender]]="O","Other", TRUE,"Unknown")</f>
        <v>Female</v>
      </c>
    </row>
    <row r="1846" spans="1:15">
      <c r="A1846" s="1" t="s">
        <v>1946</v>
      </c>
      <c r="B1846" s="1" t="s">
        <v>44</v>
      </c>
      <c r="C1846" s="1">
        <v>15</v>
      </c>
      <c r="D1846" s="1">
        <v>32.4</v>
      </c>
      <c r="E1846" s="11">
        <v>486</v>
      </c>
      <c r="F1846" s="3">
        <v>45725</v>
      </c>
      <c r="G1846" s="3">
        <v>45726</v>
      </c>
      <c r="H1846" s="1" t="s">
        <v>23</v>
      </c>
      <c r="I1846" s="1" t="s">
        <v>35</v>
      </c>
      <c r="J1846" s="1">
        <v>3</v>
      </c>
      <c r="K1846" s="1" t="s">
        <v>19</v>
      </c>
      <c r="L1846" s="1" t="s">
        <v>77</v>
      </c>
      <c r="M1846" s="1">
        <f>orders[[#This Row],[Ship Date]]-orders[[#This Row],[Order Date]]</f>
        <v>1</v>
      </c>
      <c r="N1846" s="1">
        <f>WEEKNUM(orders[[#This Row],[Order Date]])</f>
        <v>11</v>
      </c>
      <c r="O1846" s="1" t="str" cm="1">
        <f t="array" ref="O1846">_xlfn.IFS(orders[[#This Row],[Customer Gender]]="M","Male", orders[[#This Row],[Customer Gender]]="F","Female", orders[[#This Row],[Customer Gender]]="O","Other", TRUE,"Unknown")</f>
        <v>Male</v>
      </c>
    </row>
    <row r="1847" spans="1:15">
      <c r="A1847" s="1" t="s">
        <v>1947</v>
      </c>
      <c r="B1847" s="1" t="s">
        <v>32</v>
      </c>
      <c r="C1847" s="1">
        <v>4</v>
      </c>
      <c r="D1847" s="1">
        <v>20.2</v>
      </c>
      <c r="E1847" s="11">
        <v>80.8</v>
      </c>
      <c r="F1847" s="3">
        <v>45725</v>
      </c>
      <c r="G1847" s="3">
        <v>45726</v>
      </c>
      <c r="H1847" s="1" t="s">
        <v>89</v>
      </c>
      <c r="I1847" s="1" t="s">
        <v>40</v>
      </c>
      <c r="J1847" s="1">
        <v>4</v>
      </c>
      <c r="K1847" s="1" t="s">
        <v>19</v>
      </c>
      <c r="L1847" s="1" t="s">
        <v>77</v>
      </c>
      <c r="M1847" s="1">
        <f>orders[[#This Row],[Ship Date]]-orders[[#This Row],[Order Date]]</f>
        <v>1</v>
      </c>
      <c r="N1847" s="1">
        <f>WEEKNUM(orders[[#This Row],[Order Date]])</f>
        <v>11</v>
      </c>
      <c r="O1847" s="1" t="str" cm="1">
        <f t="array" ref="O1847">_xlfn.IFS(orders[[#This Row],[Customer Gender]]="M","Male", orders[[#This Row],[Customer Gender]]="F","Female", orders[[#This Row],[Customer Gender]]="O","Other", TRUE,"Unknown")</f>
        <v>Other</v>
      </c>
    </row>
    <row r="1848" spans="1:15">
      <c r="A1848" s="1" t="s">
        <v>1948</v>
      </c>
      <c r="B1848" s="1" t="s">
        <v>128</v>
      </c>
      <c r="C1848" s="1">
        <v>3</v>
      </c>
      <c r="D1848" s="1">
        <v>52.5</v>
      </c>
      <c r="E1848" s="11">
        <v>157.5</v>
      </c>
      <c r="F1848" s="3">
        <v>45725</v>
      </c>
      <c r="G1848" s="3">
        <v>45730</v>
      </c>
      <c r="H1848" s="1" t="s">
        <v>27</v>
      </c>
      <c r="I1848" s="1" t="s">
        <v>70</v>
      </c>
      <c r="J1848" s="1">
        <v>4</v>
      </c>
      <c r="K1848" s="1" t="s">
        <v>19</v>
      </c>
      <c r="L1848" s="1" t="s">
        <v>108</v>
      </c>
      <c r="M1848" s="1">
        <f>orders[[#This Row],[Ship Date]]-orders[[#This Row],[Order Date]]</f>
        <v>5</v>
      </c>
      <c r="N1848" s="1">
        <f>WEEKNUM(orders[[#This Row],[Order Date]])</f>
        <v>11</v>
      </c>
      <c r="O1848" s="1" t="str" cm="1">
        <f t="array" ref="O1848">_xlfn.IFS(orders[[#This Row],[Customer Gender]]="M","Male", orders[[#This Row],[Customer Gender]]="F","Female", orders[[#This Row],[Customer Gender]]="O","Other", TRUE,"Unknown")</f>
        <v>Female</v>
      </c>
    </row>
    <row r="1849" spans="1:15">
      <c r="A1849" s="1" t="s">
        <v>1949</v>
      </c>
      <c r="B1849" s="1" t="s">
        <v>26</v>
      </c>
      <c r="C1849" s="1">
        <v>5</v>
      </c>
      <c r="D1849" s="1">
        <v>59.9</v>
      </c>
      <c r="E1849" s="11">
        <v>299.5</v>
      </c>
      <c r="F1849" s="3">
        <v>45725</v>
      </c>
      <c r="G1849" s="3">
        <v>45727</v>
      </c>
      <c r="H1849" s="1" t="s">
        <v>27</v>
      </c>
      <c r="I1849" s="1" t="s">
        <v>40</v>
      </c>
      <c r="J1849" s="1">
        <v>4</v>
      </c>
      <c r="K1849" s="1" t="s">
        <v>19</v>
      </c>
      <c r="L1849" s="1" t="s">
        <v>110</v>
      </c>
      <c r="M1849" s="1">
        <f>orders[[#This Row],[Ship Date]]-orders[[#This Row],[Order Date]]</f>
        <v>2</v>
      </c>
      <c r="N1849" s="1">
        <f>WEEKNUM(orders[[#This Row],[Order Date]])</f>
        <v>11</v>
      </c>
      <c r="O1849" s="1" t="str" cm="1">
        <f t="array" ref="O1849">_xlfn.IFS(orders[[#This Row],[Customer Gender]]="M","Male", orders[[#This Row],[Customer Gender]]="F","Female", orders[[#This Row],[Customer Gender]]="O","Other", TRUE,"Unknown")</f>
        <v>Female</v>
      </c>
    </row>
    <row r="1850" spans="1:15">
      <c r="A1850" s="1" t="s">
        <v>1950</v>
      </c>
      <c r="B1850" s="1" t="s">
        <v>32</v>
      </c>
      <c r="C1850" s="1">
        <v>2</v>
      </c>
      <c r="D1850" s="1">
        <v>53.2</v>
      </c>
      <c r="E1850" s="11">
        <v>106.4</v>
      </c>
      <c r="F1850" s="3">
        <v>45725</v>
      </c>
      <c r="G1850" s="3">
        <v>45726</v>
      </c>
      <c r="H1850" s="1" t="s">
        <v>27</v>
      </c>
      <c r="I1850" s="1" t="s">
        <v>35</v>
      </c>
      <c r="J1850" s="1">
        <v>1</v>
      </c>
      <c r="K1850" s="1" t="s">
        <v>19</v>
      </c>
      <c r="L1850" s="1" t="s">
        <v>113</v>
      </c>
      <c r="M1850" s="1">
        <f>orders[[#This Row],[Ship Date]]-orders[[#This Row],[Order Date]]</f>
        <v>1</v>
      </c>
      <c r="N1850" s="1">
        <f>WEEKNUM(orders[[#This Row],[Order Date]])</f>
        <v>11</v>
      </c>
      <c r="O1850" s="1" t="str" cm="1">
        <f t="array" ref="O1850">_xlfn.IFS(orders[[#This Row],[Customer Gender]]="M","Male", orders[[#This Row],[Customer Gender]]="F","Female", orders[[#This Row],[Customer Gender]]="O","Other", TRUE,"Unknown")</f>
        <v>Female</v>
      </c>
    </row>
    <row r="1851" spans="1:15">
      <c r="A1851" s="1" t="s">
        <v>1951</v>
      </c>
      <c r="B1851" s="1" t="s">
        <v>26</v>
      </c>
      <c r="C1851" s="1">
        <v>2</v>
      </c>
      <c r="D1851" s="1">
        <v>60</v>
      </c>
      <c r="E1851" s="11">
        <v>120</v>
      </c>
      <c r="F1851" s="3">
        <v>45725</v>
      </c>
      <c r="G1851" s="3">
        <v>45731</v>
      </c>
      <c r="H1851" s="1" t="s">
        <v>23</v>
      </c>
      <c r="I1851" s="1" t="s">
        <v>35</v>
      </c>
      <c r="J1851" s="1">
        <v>5</v>
      </c>
      <c r="K1851" s="1" t="s">
        <v>19</v>
      </c>
      <c r="L1851" s="1" t="s">
        <v>113</v>
      </c>
      <c r="M1851" s="1">
        <f>orders[[#This Row],[Ship Date]]-orders[[#This Row],[Order Date]]</f>
        <v>6</v>
      </c>
      <c r="N1851" s="1">
        <f>WEEKNUM(orders[[#This Row],[Order Date]])</f>
        <v>11</v>
      </c>
      <c r="O1851" s="1" t="str" cm="1">
        <f t="array" ref="O1851">_xlfn.IFS(orders[[#This Row],[Customer Gender]]="M","Male", orders[[#This Row],[Customer Gender]]="F","Female", orders[[#This Row],[Customer Gender]]="O","Other", TRUE,"Unknown")</f>
        <v>Male</v>
      </c>
    </row>
    <row r="1852" spans="1:15">
      <c r="A1852" s="1" t="s">
        <v>1952</v>
      </c>
      <c r="B1852" s="1" t="s">
        <v>44</v>
      </c>
      <c r="C1852" s="1">
        <v>3</v>
      </c>
      <c r="D1852" s="1">
        <v>29.3</v>
      </c>
      <c r="E1852" s="11">
        <v>87.9</v>
      </c>
      <c r="F1852" s="3">
        <v>45725</v>
      </c>
      <c r="G1852" s="3">
        <v>45726</v>
      </c>
      <c r="H1852" s="1" t="s">
        <v>27</v>
      </c>
      <c r="I1852" s="1" t="s">
        <v>70</v>
      </c>
      <c r="J1852" s="1">
        <v>4</v>
      </c>
      <c r="K1852" s="1" t="s">
        <v>19</v>
      </c>
      <c r="L1852" s="1" t="s">
        <v>82</v>
      </c>
      <c r="M1852" s="1">
        <f>orders[[#This Row],[Ship Date]]-orders[[#This Row],[Order Date]]</f>
        <v>1</v>
      </c>
      <c r="N1852" s="1">
        <f>WEEKNUM(orders[[#This Row],[Order Date]])</f>
        <v>11</v>
      </c>
      <c r="O1852" s="1" t="str" cm="1">
        <f t="array" ref="O1852">_xlfn.IFS(orders[[#This Row],[Customer Gender]]="M","Male", orders[[#This Row],[Customer Gender]]="F","Female", orders[[#This Row],[Customer Gender]]="O","Other", TRUE,"Unknown")</f>
        <v>Female</v>
      </c>
    </row>
    <row r="1853" spans="1:15">
      <c r="A1853" s="1" t="s">
        <v>1953</v>
      </c>
      <c r="B1853" s="1" t="s">
        <v>69</v>
      </c>
      <c r="C1853" s="1">
        <v>2</v>
      </c>
      <c r="D1853" s="1">
        <v>55.4</v>
      </c>
      <c r="E1853" s="11">
        <v>110.8</v>
      </c>
      <c r="F1853" s="3">
        <v>45725</v>
      </c>
      <c r="G1853" s="3">
        <v>45726</v>
      </c>
      <c r="H1853" s="1" t="s">
        <v>27</v>
      </c>
      <c r="I1853" s="1" t="s">
        <v>18</v>
      </c>
      <c r="J1853" s="1">
        <v>5</v>
      </c>
      <c r="K1853" s="1" t="s">
        <v>19</v>
      </c>
      <c r="L1853" s="1" t="s">
        <v>115</v>
      </c>
      <c r="M1853" s="1">
        <f>orders[[#This Row],[Ship Date]]-orders[[#This Row],[Order Date]]</f>
        <v>1</v>
      </c>
      <c r="N1853" s="1">
        <f>WEEKNUM(orders[[#This Row],[Order Date]])</f>
        <v>11</v>
      </c>
      <c r="O1853" s="1" t="str" cm="1">
        <f t="array" ref="O1853">_xlfn.IFS(orders[[#This Row],[Customer Gender]]="M","Male", orders[[#This Row],[Customer Gender]]="F","Female", orders[[#This Row],[Customer Gender]]="O","Other", TRUE,"Unknown")</f>
        <v>Female</v>
      </c>
    </row>
    <row r="1854" spans="1:15">
      <c r="A1854" s="1" t="s">
        <v>1954</v>
      </c>
      <c r="B1854" s="1" t="s">
        <v>16</v>
      </c>
      <c r="C1854" s="1">
        <v>5</v>
      </c>
      <c r="D1854" s="1">
        <v>20.100000000000001</v>
      </c>
      <c r="E1854" s="11">
        <v>100.5</v>
      </c>
      <c r="F1854" s="3">
        <v>45725</v>
      </c>
      <c r="G1854" s="3">
        <v>45727</v>
      </c>
      <c r="H1854" s="1" t="s">
        <v>27</v>
      </c>
      <c r="I1854" s="1" t="s">
        <v>35</v>
      </c>
      <c r="J1854" s="1">
        <v>5</v>
      </c>
      <c r="K1854" s="1" t="s">
        <v>19</v>
      </c>
      <c r="L1854" s="1" t="s">
        <v>115</v>
      </c>
      <c r="M1854" s="1">
        <f>orders[[#This Row],[Ship Date]]-orders[[#This Row],[Order Date]]</f>
        <v>2</v>
      </c>
      <c r="N1854" s="1">
        <f>WEEKNUM(orders[[#This Row],[Order Date]])</f>
        <v>11</v>
      </c>
      <c r="O1854" s="1" t="str" cm="1">
        <f t="array" ref="O1854">_xlfn.IFS(orders[[#This Row],[Customer Gender]]="M","Male", orders[[#This Row],[Customer Gender]]="F","Female", orders[[#This Row],[Customer Gender]]="O","Other", TRUE,"Unknown")</f>
        <v>Female</v>
      </c>
    </row>
    <row r="1855" spans="1:15">
      <c r="A1855" s="1" t="s">
        <v>1955</v>
      </c>
      <c r="B1855" s="1" t="s">
        <v>81</v>
      </c>
      <c r="C1855" s="1">
        <v>5</v>
      </c>
      <c r="D1855" s="1">
        <v>24</v>
      </c>
      <c r="E1855" s="11">
        <v>120</v>
      </c>
      <c r="F1855" s="3">
        <v>45725</v>
      </c>
      <c r="G1855" s="3">
        <v>45728</v>
      </c>
      <c r="H1855" s="1" t="s">
        <v>23</v>
      </c>
      <c r="I1855" s="1" t="s">
        <v>40</v>
      </c>
      <c r="J1855" s="1">
        <v>4</v>
      </c>
      <c r="K1855" s="1" t="s">
        <v>19</v>
      </c>
      <c r="L1855" s="1" t="s">
        <v>24</v>
      </c>
      <c r="M1855" s="1">
        <f>orders[[#This Row],[Ship Date]]-orders[[#This Row],[Order Date]]</f>
        <v>3</v>
      </c>
      <c r="N1855" s="1">
        <f>WEEKNUM(orders[[#This Row],[Order Date]])</f>
        <v>11</v>
      </c>
      <c r="O1855" s="1" t="str" cm="1">
        <f t="array" ref="O1855">_xlfn.IFS(orders[[#This Row],[Customer Gender]]="M","Male", orders[[#This Row],[Customer Gender]]="F","Female", orders[[#This Row],[Customer Gender]]="O","Other", TRUE,"Unknown")</f>
        <v>Male</v>
      </c>
    </row>
    <row r="1856" spans="1:15">
      <c r="A1856" s="1" t="s">
        <v>1956</v>
      </c>
      <c r="B1856" s="1" t="s">
        <v>44</v>
      </c>
      <c r="C1856" s="1">
        <v>2</v>
      </c>
      <c r="D1856" s="1">
        <v>30.6</v>
      </c>
      <c r="E1856" s="11">
        <v>61.2</v>
      </c>
      <c r="F1856" s="3">
        <v>45726</v>
      </c>
      <c r="G1856" s="3">
        <v>45728</v>
      </c>
      <c r="H1856" s="1" t="s">
        <v>27</v>
      </c>
      <c r="I1856" s="1" t="s">
        <v>18</v>
      </c>
      <c r="J1856" s="1">
        <v>4</v>
      </c>
      <c r="K1856" s="1" t="s">
        <v>19</v>
      </c>
      <c r="L1856" s="1" t="s">
        <v>24</v>
      </c>
      <c r="M1856" s="1">
        <f>orders[[#This Row],[Ship Date]]-orders[[#This Row],[Order Date]]</f>
        <v>2</v>
      </c>
      <c r="N1856" s="1">
        <f>WEEKNUM(orders[[#This Row],[Order Date]])</f>
        <v>11</v>
      </c>
      <c r="O1856" s="1" t="str" cm="1">
        <f t="array" ref="O1856">_xlfn.IFS(orders[[#This Row],[Customer Gender]]="M","Male", orders[[#This Row],[Customer Gender]]="F","Female", orders[[#This Row],[Customer Gender]]="O","Other", TRUE,"Unknown")</f>
        <v>Female</v>
      </c>
    </row>
    <row r="1857" spans="1:15">
      <c r="A1857" s="1" t="s">
        <v>1957</v>
      </c>
      <c r="B1857" s="1" t="s">
        <v>54</v>
      </c>
      <c r="C1857" s="1">
        <v>5</v>
      </c>
      <c r="D1857" s="1">
        <v>33</v>
      </c>
      <c r="E1857" s="11">
        <v>165</v>
      </c>
      <c r="F1857" s="3">
        <v>45726</v>
      </c>
      <c r="G1857" s="3">
        <v>45727</v>
      </c>
      <c r="H1857" s="1" t="s">
        <v>23</v>
      </c>
      <c r="I1857" s="1" t="s">
        <v>35</v>
      </c>
      <c r="J1857" s="1">
        <v>3</v>
      </c>
      <c r="K1857" s="1" t="s">
        <v>19</v>
      </c>
      <c r="L1857" s="1" t="s">
        <v>208</v>
      </c>
      <c r="M1857" s="1">
        <f>orders[[#This Row],[Ship Date]]-orders[[#This Row],[Order Date]]</f>
        <v>1</v>
      </c>
      <c r="N1857" s="1">
        <f>WEEKNUM(orders[[#This Row],[Order Date]])</f>
        <v>11</v>
      </c>
      <c r="O1857" s="1" t="str" cm="1">
        <f t="array" ref="O1857">_xlfn.IFS(orders[[#This Row],[Customer Gender]]="M","Male", orders[[#This Row],[Customer Gender]]="F","Female", orders[[#This Row],[Customer Gender]]="O","Other", TRUE,"Unknown")</f>
        <v>Male</v>
      </c>
    </row>
    <row r="1858" spans="1:15">
      <c r="A1858" s="1" t="s">
        <v>1958</v>
      </c>
      <c r="B1858" s="1" t="s">
        <v>135</v>
      </c>
      <c r="C1858" s="1">
        <v>9</v>
      </c>
      <c r="D1858" s="1">
        <v>42.1</v>
      </c>
      <c r="E1858" s="11">
        <v>378.90000000000003</v>
      </c>
      <c r="F1858" s="3">
        <v>45726</v>
      </c>
      <c r="G1858" s="3">
        <v>45732</v>
      </c>
      <c r="H1858" s="1" t="s">
        <v>27</v>
      </c>
      <c r="I1858" s="1" t="s">
        <v>40</v>
      </c>
      <c r="J1858" s="1">
        <v>4</v>
      </c>
      <c r="K1858" s="1" t="s">
        <v>19</v>
      </c>
      <c r="L1858" s="1" t="s">
        <v>587</v>
      </c>
      <c r="M1858" s="1">
        <f>orders[[#This Row],[Ship Date]]-orders[[#This Row],[Order Date]]</f>
        <v>6</v>
      </c>
      <c r="N1858" s="1">
        <f>WEEKNUM(orders[[#This Row],[Order Date]])</f>
        <v>11</v>
      </c>
      <c r="O1858" s="1" t="str" cm="1">
        <f t="array" ref="O1858">_xlfn.IFS(orders[[#This Row],[Customer Gender]]="M","Male", orders[[#This Row],[Customer Gender]]="F","Female", orders[[#This Row],[Customer Gender]]="O","Other", TRUE,"Unknown")</f>
        <v>Female</v>
      </c>
    </row>
    <row r="1859" spans="1:15">
      <c r="A1859" s="1" t="s">
        <v>1959</v>
      </c>
      <c r="B1859" s="1" t="s">
        <v>39</v>
      </c>
      <c r="C1859" s="1">
        <v>7</v>
      </c>
      <c r="D1859" s="1">
        <v>77.7</v>
      </c>
      <c r="E1859" s="11">
        <v>543.9</v>
      </c>
      <c r="F1859" s="3">
        <v>45726</v>
      </c>
      <c r="G1859" s="3">
        <v>45731</v>
      </c>
      <c r="H1859" s="1" t="s">
        <v>27</v>
      </c>
      <c r="I1859" s="1" t="s">
        <v>35</v>
      </c>
      <c r="J1859" s="1">
        <v>5</v>
      </c>
      <c r="K1859" s="1" t="s">
        <v>19</v>
      </c>
      <c r="L1859" s="1" t="s">
        <v>949</v>
      </c>
      <c r="M1859" s="1">
        <f>orders[[#This Row],[Ship Date]]-orders[[#This Row],[Order Date]]</f>
        <v>5</v>
      </c>
      <c r="N1859" s="1">
        <f>WEEKNUM(orders[[#This Row],[Order Date]])</f>
        <v>11</v>
      </c>
      <c r="O1859" s="1" t="str" cm="1">
        <f t="array" ref="O1859">_xlfn.IFS(orders[[#This Row],[Customer Gender]]="M","Male", orders[[#This Row],[Customer Gender]]="F","Female", orders[[#This Row],[Customer Gender]]="O","Other", TRUE,"Unknown")</f>
        <v>Female</v>
      </c>
    </row>
    <row r="1860" spans="1:15">
      <c r="A1860" s="1" t="s">
        <v>1960</v>
      </c>
      <c r="B1860" s="1" t="s">
        <v>135</v>
      </c>
      <c r="C1860" s="1">
        <v>6</v>
      </c>
      <c r="D1860" s="1">
        <v>22.7</v>
      </c>
      <c r="E1860" s="11">
        <v>136.19999999999999</v>
      </c>
      <c r="F1860" s="3">
        <v>45726</v>
      </c>
      <c r="G1860" s="3">
        <v>45729</v>
      </c>
      <c r="H1860" s="1" t="s">
        <v>27</v>
      </c>
      <c r="I1860" s="1" t="s">
        <v>40</v>
      </c>
      <c r="J1860" s="1">
        <v>4</v>
      </c>
      <c r="K1860" s="1" t="s">
        <v>19</v>
      </c>
      <c r="L1860" s="1" t="s">
        <v>33</v>
      </c>
      <c r="M1860" s="1">
        <f>orders[[#This Row],[Ship Date]]-orders[[#This Row],[Order Date]]</f>
        <v>3</v>
      </c>
      <c r="N1860" s="1">
        <f>WEEKNUM(orders[[#This Row],[Order Date]])</f>
        <v>11</v>
      </c>
      <c r="O1860" s="1" t="str" cm="1">
        <f t="array" ref="O1860">_xlfn.IFS(orders[[#This Row],[Customer Gender]]="M","Male", orders[[#This Row],[Customer Gender]]="F","Female", orders[[#This Row],[Customer Gender]]="O","Other", TRUE,"Unknown")</f>
        <v>Female</v>
      </c>
    </row>
    <row r="1861" spans="1:15">
      <c r="A1861" s="1" t="s">
        <v>1961</v>
      </c>
      <c r="B1861" s="1" t="s">
        <v>26</v>
      </c>
      <c r="C1861" s="1">
        <v>2</v>
      </c>
      <c r="D1861" s="1">
        <v>133</v>
      </c>
      <c r="E1861" s="11">
        <v>266</v>
      </c>
      <c r="F1861" s="3">
        <v>45726</v>
      </c>
      <c r="G1861" s="3">
        <v>45726</v>
      </c>
      <c r="H1861" s="1" t="s">
        <v>23</v>
      </c>
      <c r="I1861" s="1" t="s">
        <v>40</v>
      </c>
      <c r="J1861" s="1">
        <v>5</v>
      </c>
      <c r="K1861" s="1" t="s">
        <v>19</v>
      </c>
      <c r="L1861" s="1" t="s">
        <v>33</v>
      </c>
      <c r="M1861" s="1">
        <f>orders[[#This Row],[Ship Date]]-orders[[#This Row],[Order Date]]</f>
        <v>0</v>
      </c>
      <c r="N1861" s="1">
        <f>WEEKNUM(orders[[#This Row],[Order Date]])</f>
        <v>11</v>
      </c>
      <c r="O1861" s="1" t="str" cm="1">
        <f t="array" ref="O1861">_xlfn.IFS(orders[[#This Row],[Customer Gender]]="M","Male", orders[[#This Row],[Customer Gender]]="F","Female", orders[[#This Row],[Customer Gender]]="O","Other", TRUE,"Unknown")</f>
        <v>Male</v>
      </c>
    </row>
    <row r="1862" spans="1:15">
      <c r="A1862" s="1" t="s">
        <v>1962</v>
      </c>
      <c r="B1862" s="1" t="s">
        <v>16</v>
      </c>
      <c r="C1862" s="1">
        <v>2</v>
      </c>
      <c r="D1862" s="1">
        <v>23.3</v>
      </c>
      <c r="E1862" s="11">
        <v>46.6</v>
      </c>
      <c r="F1862" s="3">
        <v>45726</v>
      </c>
      <c r="G1862" s="3">
        <v>45727</v>
      </c>
      <c r="H1862" s="1" t="s">
        <v>23</v>
      </c>
      <c r="I1862" s="1" t="s">
        <v>35</v>
      </c>
      <c r="J1862" s="1">
        <v>5</v>
      </c>
      <c r="K1862" s="1" t="s">
        <v>19</v>
      </c>
      <c r="L1862" s="1" t="s">
        <v>33</v>
      </c>
      <c r="M1862" s="1">
        <f>orders[[#This Row],[Ship Date]]-orders[[#This Row],[Order Date]]</f>
        <v>1</v>
      </c>
      <c r="N1862" s="1">
        <f>WEEKNUM(orders[[#This Row],[Order Date]])</f>
        <v>11</v>
      </c>
      <c r="O1862" s="1" t="str" cm="1">
        <f t="array" ref="O1862">_xlfn.IFS(orders[[#This Row],[Customer Gender]]="M","Male", orders[[#This Row],[Customer Gender]]="F","Female", orders[[#This Row],[Customer Gender]]="O","Other", TRUE,"Unknown")</f>
        <v>Male</v>
      </c>
    </row>
    <row r="1863" spans="1:15">
      <c r="A1863" s="1" t="s">
        <v>1963</v>
      </c>
      <c r="B1863" s="1" t="s">
        <v>44</v>
      </c>
      <c r="C1863" s="1">
        <v>3</v>
      </c>
      <c r="D1863" s="1">
        <v>20.7</v>
      </c>
      <c r="E1863" s="11">
        <v>62.099999999999994</v>
      </c>
      <c r="F1863" s="3">
        <v>45726</v>
      </c>
      <c r="G1863" s="3">
        <v>45728</v>
      </c>
      <c r="H1863" s="1" t="s">
        <v>89</v>
      </c>
      <c r="I1863" s="1" t="s">
        <v>18</v>
      </c>
      <c r="J1863" s="1">
        <v>5</v>
      </c>
      <c r="K1863" s="1" t="s">
        <v>19</v>
      </c>
      <c r="L1863" s="1" t="s">
        <v>33</v>
      </c>
      <c r="M1863" s="1">
        <f>orders[[#This Row],[Ship Date]]-orders[[#This Row],[Order Date]]</f>
        <v>2</v>
      </c>
      <c r="N1863" s="1">
        <f>WEEKNUM(orders[[#This Row],[Order Date]])</f>
        <v>11</v>
      </c>
      <c r="O1863" s="1" t="str" cm="1">
        <f t="array" ref="O1863">_xlfn.IFS(orders[[#This Row],[Customer Gender]]="M","Male", orders[[#This Row],[Customer Gender]]="F","Female", orders[[#This Row],[Customer Gender]]="O","Other", TRUE,"Unknown")</f>
        <v>Other</v>
      </c>
    </row>
    <row r="1864" spans="1:15">
      <c r="A1864" s="1" t="s">
        <v>1964</v>
      </c>
      <c r="B1864" s="1" t="s">
        <v>69</v>
      </c>
      <c r="C1864" s="1">
        <v>2</v>
      </c>
      <c r="D1864" s="1">
        <v>47</v>
      </c>
      <c r="E1864" s="11">
        <v>94</v>
      </c>
      <c r="F1864" s="3">
        <v>45726</v>
      </c>
      <c r="G1864" s="3">
        <v>45727</v>
      </c>
      <c r="H1864" s="1" t="s">
        <v>23</v>
      </c>
      <c r="I1864" s="1" t="s">
        <v>35</v>
      </c>
      <c r="J1864" s="1">
        <v>5</v>
      </c>
      <c r="K1864" s="1" t="s">
        <v>19</v>
      </c>
      <c r="L1864" s="1" t="s">
        <v>33</v>
      </c>
      <c r="M1864" s="1">
        <f>orders[[#This Row],[Ship Date]]-orders[[#This Row],[Order Date]]</f>
        <v>1</v>
      </c>
      <c r="N1864" s="1">
        <f>WEEKNUM(orders[[#This Row],[Order Date]])</f>
        <v>11</v>
      </c>
      <c r="O1864" s="1" t="str" cm="1">
        <f t="array" ref="O1864">_xlfn.IFS(orders[[#This Row],[Customer Gender]]="M","Male", orders[[#This Row],[Customer Gender]]="F","Female", orders[[#This Row],[Customer Gender]]="O","Other", TRUE,"Unknown")</f>
        <v>Male</v>
      </c>
    </row>
    <row r="1865" spans="1:15">
      <c r="A1865" s="1" t="s">
        <v>1965</v>
      </c>
      <c r="B1865" s="1" t="s">
        <v>69</v>
      </c>
      <c r="C1865" s="1">
        <v>3</v>
      </c>
      <c r="D1865" s="1">
        <v>38.200000000000003</v>
      </c>
      <c r="E1865" s="11">
        <v>114.60000000000001</v>
      </c>
      <c r="F1865" s="3">
        <v>45726</v>
      </c>
      <c r="G1865" s="3">
        <v>45728</v>
      </c>
      <c r="H1865" s="1" t="s">
        <v>27</v>
      </c>
      <c r="I1865" s="1" t="s">
        <v>40</v>
      </c>
      <c r="J1865" s="1">
        <v>2</v>
      </c>
      <c r="K1865" s="1" t="s">
        <v>19</v>
      </c>
      <c r="L1865" s="1" t="s">
        <v>33</v>
      </c>
      <c r="M1865" s="1">
        <f>orders[[#This Row],[Ship Date]]-orders[[#This Row],[Order Date]]</f>
        <v>2</v>
      </c>
      <c r="N1865" s="1">
        <f>WEEKNUM(orders[[#This Row],[Order Date]])</f>
        <v>11</v>
      </c>
      <c r="O1865" s="1" t="str" cm="1">
        <f t="array" ref="O1865">_xlfn.IFS(orders[[#This Row],[Customer Gender]]="M","Male", orders[[#This Row],[Customer Gender]]="F","Female", orders[[#This Row],[Customer Gender]]="O","Other", TRUE,"Unknown")</f>
        <v>Female</v>
      </c>
    </row>
    <row r="1866" spans="1:15">
      <c r="A1866" s="1" t="s">
        <v>1966</v>
      </c>
      <c r="B1866" s="1" t="s">
        <v>46</v>
      </c>
      <c r="C1866" s="1">
        <v>1</v>
      </c>
      <c r="D1866" s="1">
        <v>39.1</v>
      </c>
      <c r="E1866" s="11">
        <v>39.1</v>
      </c>
      <c r="F1866" s="3">
        <v>45726</v>
      </c>
      <c r="G1866" s="3">
        <v>45728</v>
      </c>
      <c r="H1866" s="1" t="s">
        <v>27</v>
      </c>
      <c r="I1866" s="1" t="s">
        <v>18</v>
      </c>
      <c r="J1866" s="1">
        <v>4</v>
      </c>
      <c r="K1866" s="1" t="s">
        <v>19</v>
      </c>
      <c r="L1866" s="1" t="s">
        <v>33</v>
      </c>
      <c r="M1866" s="1">
        <f>orders[[#This Row],[Ship Date]]-orders[[#This Row],[Order Date]]</f>
        <v>2</v>
      </c>
      <c r="N1866" s="1">
        <f>WEEKNUM(orders[[#This Row],[Order Date]])</f>
        <v>11</v>
      </c>
      <c r="O1866" s="1" t="str" cm="1">
        <f t="array" ref="O1866">_xlfn.IFS(orders[[#This Row],[Customer Gender]]="M","Male", orders[[#This Row],[Customer Gender]]="F","Female", orders[[#This Row],[Customer Gender]]="O","Other", TRUE,"Unknown")</f>
        <v>Female</v>
      </c>
    </row>
    <row r="1867" spans="1:15">
      <c r="A1867" s="1" t="s">
        <v>1967</v>
      </c>
      <c r="B1867" s="1" t="s">
        <v>42</v>
      </c>
      <c r="C1867" s="1">
        <v>25</v>
      </c>
      <c r="D1867" s="1">
        <v>55.6</v>
      </c>
      <c r="E1867" s="11">
        <v>1390</v>
      </c>
      <c r="F1867" s="3">
        <v>45726</v>
      </c>
      <c r="G1867" s="3">
        <v>45728</v>
      </c>
      <c r="H1867" s="1" t="s">
        <v>23</v>
      </c>
      <c r="I1867" s="1" t="s">
        <v>18</v>
      </c>
      <c r="J1867" s="1">
        <v>5</v>
      </c>
      <c r="K1867" s="1" t="s">
        <v>19</v>
      </c>
      <c r="L1867" s="1" t="s">
        <v>33</v>
      </c>
      <c r="M1867" s="1">
        <f>orders[[#This Row],[Ship Date]]-orders[[#This Row],[Order Date]]</f>
        <v>2</v>
      </c>
      <c r="N1867" s="1">
        <f>WEEKNUM(orders[[#This Row],[Order Date]])</f>
        <v>11</v>
      </c>
      <c r="O1867" s="1" t="str" cm="1">
        <f t="array" ref="O1867">_xlfn.IFS(orders[[#This Row],[Customer Gender]]="M","Male", orders[[#This Row],[Customer Gender]]="F","Female", orders[[#This Row],[Customer Gender]]="O","Other", TRUE,"Unknown")</f>
        <v>Male</v>
      </c>
    </row>
    <row r="1868" spans="1:15">
      <c r="A1868" s="1" t="s">
        <v>1968</v>
      </c>
      <c r="B1868" s="1" t="s">
        <v>123</v>
      </c>
      <c r="C1868" s="1">
        <v>1</v>
      </c>
      <c r="D1868" s="1">
        <v>43.1</v>
      </c>
      <c r="E1868" s="11">
        <v>43.1</v>
      </c>
      <c r="F1868" s="3">
        <v>45726</v>
      </c>
      <c r="G1868" s="3">
        <v>45726</v>
      </c>
      <c r="H1868" s="1" t="s">
        <v>89</v>
      </c>
      <c r="I1868" s="1" t="s">
        <v>35</v>
      </c>
      <c r="J1868" s="1">
        <v>5</v>
      </c>
      <c r="K1868" s="1" t="s">
        <v>19</v>
      </c>
      <c r="L1868" s="1" t="s">
        <v>33</v>
      </c>
      <c r="M1868" s="1">
        <f>orders[[#This Row],[Ship Date]]-orders[[#This Row],[Order Date]]</f>
        <v>0</v>
      </c>
      <c r="N1868" s="1">
        <f>WEEKNUM(orders[[#This Row],[Order Date]])</f>
        <v>11</v>
      </c>
      <c r="O1868" s="1" t="str" cm="1">
        <f t="array" ref="O1868">_xlfn.IFS(orders[[#This Row],[Customer Gender]]="M","Male", orders[[#This Row],[Customer Gender]]="F","Female", orders[[#This Row],[Customer Gender]]="O","Other", TRUE,"Unknown")</f>
        <v>Other</v>
      </c>
    </row>
    <row r="1869" spans="1:15">
      <c r="A1869" s="1" t="s">
        <v>1969</v>
      </c>
      <c r="B1869" s="1" t="s">
        <v>39</v>
      </c>
      <c r="C1869" s="1">
        <v>4</v>
      </c>
      <c r="D1869" s="1">
        <v>48.1</v>
      </c>
      <c r="E1869" s="11">
        <v>192.4</v>
      </c>
      <c r="F1869" s="3">
        <v>45726</v>
      </c>
      <c r="G1869" s="3">
        <v>45727</v>
      </c>
      <c r="H1869" s="1" t="s">
        <v>27</v>
      </c>
      <c r="I1869" s="1" t="s">
        <v>70</v>
      </c>
      <c r="J1869" s="1">
        <v>5</v>
      </c>
      <c r="K1869" s="1" t="s">
        <v>19</v>
      </c>
      <c r="L1869" s="1" t="s">
        <v>33</v>
      </c>
      <c r="M1869" s="1">
        <f>orders[[#This Row],[Ship Date]]-orders[[#This Row],[Order Date]]</f>
        <v>1</v>
      </c>
      <c r="N1869" s="1">
        <f>WEEKNUM(orders[[#This Row],[Order Date]])</f>
        <v>11</v>
      </c>
      <c r="O1869" s="1" t="str" cm="1">
        <f t="array" ref="O1869">_xlfn.IFS(orders[[#This Row],[Customer Gender]]="M","Male", orders[[#This Row],[Customer Gender]]="F","Female", orders[[#This Row],[Customer Gender]]="O","Other", TRUE,"Unknown")</f>
        <v>Female</v>
      </c>
    </row>
    <row r="1870" spans="1:15">
      <c r="A1870" s="1" t="s">
        <v>1970</v>
      </c>
      <c r="B1870" s="1" t="s">
        <v>32</v>
      </c>
      <c r="C1870" s="1">
        <v>1</v>
      </c>
      <c r="D1870" s="1">
        <v>42</v>
      </c>
      <c r="E1870" s="11">
        <v>42</v>
      </c>
      <c r="F1870" s="3">
        <v>45726</v>
      </c>
      <c r="G1870" s="3">
        <v>45727</v>
      </c>
      <c r="H1870" s="1" t="s">
        <v>89</v>
      </c>
      <c r="I1870" s="1" t="s">
        <v>18</v>
      </c>
      <c r="J1870" s="1">
        <v>4</v>
      </c>
      <c r="K1870" s="1" t="s">
        <v>19</v>
      </c>
      <c r="L1870" s="1" t="s">
        <v>33</v>
      </c>
      <c r="M1870" s="1">
        <f>orders[[#This Row],[Ship Date]]-orders[[#This Row],[Order Date]]</f>
        <v>1</v>
      </c>
      <c r="N1870" s="1">
        <f>WEEKNUM(orders[[#This Row],[Order Date]])</f>
        <v>11</v>
      </c>
      <c r="O1870" s="1" t="str" cm="1">
        <f t="array" ref="O1870">_xlfn.IFS(orders[[#This Row],[Customer Gender]]="M","Male", orders[[#This Row],[Customer Gender]]="F","Female", orders[[#This Row],[Customer Gender]]="O","Other", TRUE,"Unknown")</f>
        <v>Other</v>
      </c>
    </row>
    <row r="1871" spans="1:15">
      <c r="A1871" s="1" t="s">
        <v>1971</v>
      </c>
      <c r="B1871" s="1" t="s">
        <v>44</v>
      </c>
      <c r="C1871" s="1">
        <v>5</v>
      </c>
      <c r="D1871" s="1">
        <v>18.3</v>
      </c>
      <c r="E1871" s="11">
        <v>91.5</v>
      </c>
      <c r="F1871" s="3">
        <v>45726</v>
      </c>
      <c r="G1871" s="3">
        <v>45726</v>
      </c>
      <c r="H1871" s="1" t="s">
        <v>27</v>
      </c>
      <c r="I1871" s="1" t="s">
        <v>40</v>
      </c>
      <c r="J1871" s="1">
        <v>4</v>
      </c>
      <c r="K1871" s="1" t="s">
        <v>19</v>
      </c>
      <c r="L1871" s="1" t="s">
        <v>33</v>
      </c>
      <c r="M1871" s="1">
        <f>orders[[#This Row],[Ship Date]]-orders[[#This Row],[Order Date]]</f>
        <v>0</v>
      </c>
      <c r="N1871" s="1">
        <f>WEEKNUM(orders[[#This Row],[Order Date]])</f>
        <v>11</v>
      </c>
      <c r="O1871" s="1" t="str" cm="1">
        <f t="array" ref="O1871">_xlfn.IFS(orders[[#This Row],[Customer Gender]]="M","Male", orders[[#This Row],[Customer Gender]]="F","Female", orders[[#This Row],[Customer Gender]]="O","Other", TRUE,"Unknown")</f>
        <v>Female</v>
      </c>
    </row>
    <row r="1872" spans="1:15">
      <c r="A1872" s="1" t="s">
        <v>1972</v>
      </c>
      <c r="B1872" s="1" t="s">
        <v>54</v>
      </c>
      <c r="C1872" s="1">
        <v>4</v>
      </c>
      <c r="D1872" s="1">
        <v>45.3</v>
      </c>
      <c r="E1872" s="11">
        <v>181.2</v>
      </c>
      <c r="F1872" s="3">
        <v>45726</v>
      </c>
      <c r="G1872" s="3">
        <v>45729</v>
      </c>
      <c r="H1872" s="1" t="s">
        <v>27</v>
      </c>
      <c r="I1872" s="1" t="s">
        <v>18</v>
      </c>
      <c r="J1872" s="1">
        <v>5</v>
      </c>
      <c r="K1872" s="1" t="s">
        <v>19</v>
      </c>
      <c r="L1872" s="1" t="s">
        <v>33</v>
      </c>
      <c r="M1872" s="1">
        <f>orders[[#This Row],[Ship Date]]-orders[[#This Row],[Order Date]]</f>
        <v>3</v>
      </c>
      <c r="N1872" s="1">
        <f>WEEKNUM(orders[[#This Row],[Order Date]])</f>
        <v>11</v>
      </c>
      <c r="O1872" s="1" t="str" cm="1">
        <f t="array" ref="O1872">_xlfn.IFS(orders[[#This Row],[Customer Gender]]="M","Male", orders[[#This Row],[Customer Gender]]="F","Female", orders[[#This Row],[Customer Gender]]="O","Other", TRUE,"Unknown")</f>
        <v>Female</v>
      </c>
    </row>
    <row r="1873" spans="1:15">
      <c r="A1873" s="1" t="s">
        <v>1973</v>
      </c>
      <c r="B1873" s="1" t="s">
        <v>16</v>
      </c>
      <c r="C1873" s="1">
        <v>2</v>
      </c>
      <c r="D1873" s="1">
        <v>27.6</v>
      </c>
      <c r="E1873" s="11">
        <v>55.2</v>
      </c>
      <c r="F1873" s="3">
        <v>45726</v>
      </c>
      <c r="G1873" s="3">
        <v>45728</v>
      </c>
      <c r="H1873" s="1" t="s">
        <v>23</v>
      </c>
      <c r="I1873" s="1" t="s">
        <v>18</v>
      </c>
      <c r="J1873" s="1">
        <v>5</v>
      </c>
      <c r="K1873" s="1" t="s">
        <v>19</v>
      </c>
      <c r="L1873" s="1" t="s">
        <v>364</v>
      </c>
      <c r="M1873" s="1">
        <f>orders[[#This Row],[Ship Date]]-orders[[#This Row],[Order Date]]</f>
        <v>2</v>
      </c>
      <c r="N1873" s="1">
        <f>WEEKNUM(orders[[#This Row],[Order Date]])</f>
        <v>11</v>
      </c>
      <c r="O1873" s="1" t="str" cm="1">
        <f t="array" ref="O1873">_xlfn.IFS(orders[[#This Row],[Customer Gender]]="M","Male", orders[[#This Row],[Customer Gender]]="F","Female", orders[[#This Row],[Customer Gender]]="O","Other", TRUE,"Unknown")</f>
        <v>Male</v>
      </c>
    </row>
    <row r="1874" spans="1:15">
      <c r="A1874" s="1" t="s">
        <v>1974</v>
      </c>
      <c r="B1874" s="1" t="s">
        <v>32</v>
      </c>
      <c r="C1874" s="1">
        <v>5</v>
      </c>
      <c r="D1874" s="1">
        <v>26.9</v>
      </c>
      <c r="E1874" s="11">
        <v>134.5</v>
      </c>
      <c r="F1874" s="3">
        <v>45726</v>
      </c>
      <c r="G1874" s="3">
        <v>45727</v>
      </c>
      <c r="H1874" s="1" t="s">
        <v>27</v>
      </c>
      <c r="I1874" s="1" t="s">
        <v>40</v>
      </c>
      <c r="J1874" s="1">
        <v>4</v>
      </c>
      <c r="K1874" s="1" t="s">
        <v>19</v>
      </c>
      <c r="L1874" s="1" t="s">
        <v>188</v>
      </c>
      <c r="M1874" s="1">
        <f>orders[[#This Row],[Ship Date]]-orders[[#This Row],[Order Date]]</f>
        <v>1</v>
      </c>
      <c r="N1874" s="1">
        <f>WEEKNUM(orders[[#This Row],[Order Date]])</f>
        <v>11</v>
      </c>
      <c r="O1874" s="1" t="str" cm="1">
        <f t="array" ref="O1874">_xlfn.IFS(orders[[#This Row],[Customer Gender]]="M","Male", orders[[#This Row],[Customer Gender]]="F","Female", orders[[#This Row],[Customer Gender]]="O","Other", TRUE,"Unknown")</f>
        <v>Female</v>
      </c>
    </row>
    <row r="1875" spans="1:15">
      <c r="A1875" s="1" t="s">
        <v>1975</v>
      </c>
      <c r="B1875" s="1" t="s">
        <v>26</v>
      </c>
      <c r="C1875" s="1">
        <v>9</v>
      </c>
      <c r="D1875" s="1">
        <v>82.4</v>
      </c>
      <c r="E1875" s="11">
        <v>741.6</v>
      </c>
      <c r="F1875" s="3">
        <v>45726</v>
      </c>
      <c r="G1875" s="3">
        <v>45728</v>
      </c>
      <c r="H1875" s="1" t="s">
        <v>89</v>
      </c>
      <c r="I1875" s="1" t="s">
        <v>40</v>
      </c>
      <c r="J1875" s="1">
        <v>4</v>
      </c>
      <c r="K1875" s="1" t="s">
        <v>19</v>
      </c>
      <c r="L1875" s="1" t="s">
        <v>52</v>
      </c>
      <c r="M1875" s="1">
        <f>orders[[#This Row],[Ship Date]]-orders[[#This Row],[Order Date]]</f>
        <v>2</v>
      </c>
      <c r="N1875" s="1">
        <f>WEEKNUM(orders[[#This Row],[Order Date]])</f>
        <v>11</v>
      </c>
      <c r="O1875" s="1" t="str" cm="1">
        <f t="array" ref="O1875">_xlfn.IFS(orders[[#This Row],[Customer Gender]]="M","Male", orders[[#This Row],[Customer Gender]]="F","Female", orders[[#This Row],[Customer Gender]]="O","Other", TRUE,"Unknown")</f>
        <v>Other</v>
      </c>
    </row>
    <row r="1876" spans="1:15">
      <c r="A1876" s="1" t="s">
        <v>1976</v>
      </c>
      <c r="B1876" s="1" t="s">
        <v>39</v>
      </c>
      <c r="C1876" s="1">
        <v>1</v>
      </c>
      <c r="D1876" s="1">
        <v>103.7</v>
      </c>
      <c r="E1876" s="11">
        <v>103.7</v>
      </c>
      <c r="F1876" s="3">
        <v>45726</v>
      </c>
      <c r="G1876" s="3">
        <v>45728</v>
      </c>
      <c r="H1876" s="1" t="s">
        <v>27</v>
      </c>
      <c r="I1876" s="1" t="s">
        <v>35</v>
      </c>
      <c r="J1876" s="1">
        <v>4</v>
      </c>
      <c r="K1876" s="1" t="s">
        <v>19</v>
      </c>
      <c r="L1876" s="1" t="s">
        <v>52</v>
      </c>
      <c r="M1876" s="1">
        <f>orders[[#This Row],[Ship Date]]-orders[[#This Row],[Order Date]]</f>
        <v>2</v>
      </c>
      <c r="N1876" s="1">
        <f>WEEKNUM(orders[[#This Row],[Order Date]])</f>
        <v>11</v>
      </c>
      <c r="O1876" s="1" t="str" cm="1">
        <f t="array" ref="O1876">_xlfn.IFS(orders[[#This Row],[Customer Gender]]="M","Male", orders[[#This Row],[Customer Gender]]="F","Female", orders[[#This Row],[Customer Gender]]="O","Other", TRUE,"Unknown")</f>
        <v>Female</v>
      </c>
    </row>
    <row r="1877" spans="1:15">
      <c r="A1877" s="1" t="s">
        <v>1977</v>
      </c>
      <c r="B1877" s="1" t="s">
        <v>26</v>
      </c>
      <c r="C1877" s="1">
        <v>2</v>
      </c>
      <c r="D1877" s="1">
        <v>58.8</v>
      </c>
      <c r="E1877" s="11">
        <v>117.6</v>
      </c>
      <c r="F1877" s="3">
        <v>45726</v>
      </c>
      <c r="G1877" s="3">
        <v>45731</v>
      </c>
      <c r="H1877" s="1" t="s">
        <v>27</v>
      </c>
      <c r="I1877" s="1" t="s">
        <v>35</v>
      </c>
      <c r="J1877" s="1">
        <v>5</v>
      </c>
      <c r="K1877" s="1" t="s">
        <v>19</v>
      </c>
      <c r="L1877" s="1" t="s">
        <v>55</v>
      </c>
      <c r="M1877" s="1">
        <f>orders[[#This Row],[Ship Date]]-orders[[#This Row],[Order Date]]</f>
        <v>5</v>
      </c>
      <c r="N1877" s="1">
        <f>WEEKNUM(orders[[#This Row],[Order Date]])</f>
        <v>11</v>
      </c>
      <c r="O1877" s="1" t="str" cm="1">
        <f t="array" ref="O1877">_xlfn.IFS(orders[[#This Row],[Customer Gender]]="M","Male", orders[[#This Row],[Customer Gender]]="F","Female", orders[[#This Row],[Customer Gender]]="O","Other", TRUE,"Unknown")</f>
        <v>Female</v>
      </c>
    </row>
    <row r="1878" spans="1:15">
      <c r="A1878" s="1" t="s">
        <v>1978</v>
      </c>
      <c r="B1878" s="1" t="s">
        <v>76</v>
      </c>
      <c r="C1878" s="1">
        <v>1</v>
      </c>
      <c r="D1878" s="1">
        <v>31.5</v>
      </c>
      <c r="E1878" s="11">
        <v>31.5</v>
      </c>
      <c r="F1878" s="3">
        <v>45726</v>
      </c>
      <c r="G1878" s="3">
        <v>45727</v>
      </c>
      <c r="H1878" s="1" t="s">
        <v>27</v>
      </c>
      <c r="I1878" s="1" t="s">
        <v>35</v>
      </c>
      <c r="J1878" s="1">
        <v>3</v>
      </c>
      <c r="K1878" s="1" t="s">
        <v>19</v>
      </c>
      <c r="L1878" s="1" t="s">
        <v>55</v>
      </c>
      <c r="M1878" s="1">
        <f>orders[[#This Row],[Ship Date]]-orders[[#This Row],[Order Date]]</f>
        <v>1</v>
      </c>
      <c r="N1878" s="1">
        <f>WEEKNUM(orders[[#This Row],[Order Date]])</f>
        <v>11</v>
      </c>
      <c r="O1878" s="1" t="str" cm="1">
        <f t="array" ref="O1878">_xlfn.IFS(orders[[#This Row],[Customer Gender]]="M","Male", orders[[#This Row],[Customer Gender]]="F","Female", orders[[#This Row],[Customer Gender]]="O","Other", TRUE,"Unknown")</f>
        <v>Female</v>
      </c>
    </row>
    <row r="1879" spans="1:15">
      <c r="A1879" s="1" t="s">
        <v>1979</v>
      </c>
      <c r="B1879" s="1" t="s">
        <v>42</v>
      </c>
      <c r="C1879" s="1">
        <v>5</v>
      </c>
      <c r="D1879" s="1">
        <v>36.799999999999997</v>
      </c>
      <c r="E1879" s="11">
        <v>184</v>
      </c>
      <c r="F1879" s="3">
        <v>45726</v>
      </c>
      <c r="G1879" s="3">
        <v>45728</v>
      </c>
      <c r="H1879" s="1" t="s">
        <v>27</v>
      </c>
      <c r="I1879" s="1" t="s">
        <v>18</v>
      </c>
      <c r="J1879" s="1">
        <v>4</v>
      </c>
      <c r="K1879" s="1" t="s">
        <v>19</v>
      </c>
      <c r="L1879" s="1" t="s">
        <v>62</v>
      </c>
      <c r="M1879" s="1">
        <f>orders[[#This Row],[Ship Date]]-orders[[#This Row],[Order Date]]</f>
        <v>2</v>
      </c>
      <c r="N1879" s="1">
        <f>WEEKNUM(orders[[#This Row],[Order Date]])</f>
        <v>11</v>
      </c>
      <c r="O1879" s="1" t="str" cm="1">
        <f t="array" ref="O1879">_xlfn.IFS(orders[[#This Row],[Customer Gender]]="M","Male", orders[[#This Row],[Customer Gender]]="F","Female", orders[[#This Row],[Customer Gender]]="O","Other", TRUE,"Unknown")</f>
        <v>Female</v>
      </c>
    </row>
    <row r="1880" spans="1:15">
      <c r="A1880" s="1" t="s">
        <v>1980</v>
      </c>
      <c r="B1880" s="1" t="s">
        <v>30</v>
      </c>
      <c r="C1880" s="1">
        <v>1</v>
      </c>
      <c r="D1880" s="1">
        <v>84.4</v>
      </c>
      <c r="E1880" s="11">
        <v>84.4</v>
      </c>
      <c r="F1880" s="3">
        <v>45726</v>
      </c>
      <c r="G1880" s="3">
        <v>45727</v>
      </c>
      <c r="H1880" s="1" t="s">
        <v>27</v>
      </c>
      <c r="I1880" s="1" t="s">
        <v>18</v>
      </c>
      <c r="J1880" s="1">
        <v>4</v>
      </c>
      <c r="K1880" s="1" t="s">
        <v>19</v>
      </c>
      <c r="L1880" s="1" t="s">
        <v>62</v>
      </c>
      <c r="M1880" s="1">
        <f>orders[[#This Row],[Ship Date]]-orders[[#This Row],[Order Date]]</f>
        <v>1</v>
      </c>
      <c r="N1880" s="1">
        <f>WEEKNUM(orders[[#This Row],[Order Date]])</f>
        <v>11</v>
      </c>
      <c r="O1880" s="1" t="str" cm="1">
        <f t="array" ref="O1880">_xlfn.IFS(orders[[#This Row],[Customer Gender]]="M","Male", orders[[#This Row],[Customer Gender]]="F","Female", orders[[#This Row],[Customer Gender]]="O","Other", TRUE,"Unknown")</f>
        <v>Female</v>
      </c>
    </row>
    <row r="1881" spans="1:15">
      <c r="A1881" s="1" t="s">
        <v>1981</v>
      </c>
      <c r="B1881" s="1" t="s">
        <v>81</v>
      </c>
      <c r="C1881" s="1">
        <v>1</v>
      </c>
      <c r="D1881" s="1">
        <v>44.7</v>
      </c>
      <c r="E1881" s="11">
        <v>44.7</v>
      </c>
      <c r="F1881" s="3">
        <v>45726</v>
      </c>
      <c r="G1881" s="3">
        <v>45727</v>
      </c>
      <c r="H1881" s="1" t="s">
        <v>23</v>
      </c>
      <c r="I1881" s="1" t="s">
        <v>18</v>
      </c>
      <c r="J1881" s="1">
        <v>3</v>
      </c>
      <c r="K1881" s="1" t="s">
        <v>19</v>
      </c>
      <c r="L1881" s="1" t="s">
        <v>62</v>
      </c>
      <c r="M1881" s="1">
        <f>orders[[#This Row],[Ship Date]]-orders[[#This Row],[Order Date]]</f>
        <v>1</v>
      </c>
      <c r="N1881" s="1">
        <f>WEEKNUM(orders[[#This Row],[Order Date]])</f>
        <v>11</v>
      </c>
      <c r="O1881" s="1" t="str" cm="1">
        <f t="array" ref="O1881">_xlfn.IFS(orders[[#This Row],[Customer Gender]]="M","Male", orders[[#This Row],[Customer Gender]]="F","Female", orders[[#This Row],[Customer Gender]]="O","Other", TRUE,"Unknown")</f>
        <v>Male</v>
      </c>
    </row>
    <row r="1882" spans="1:15">
      <c r="A1882" s="1" t="s">
        <v>1982</v>
      </c>
      <c r="B1882" s="1" t="s">
        <v>46</v>
      </c>
      <c r="C1882" s="1">
        <v>8</v>
      </c>
      <c r="D1882" s="1">
        <v>39.4</v>
      </c>
      <c r="E1882" s="11">
        <v>315.2</v>
      </c>
      <c r="F1882" s="3">
        <v>45726</v>
      </c>
      <c r="G1882" s="3">
        <v>45727</v>
      </c>
      <c r="H1882" s="1" t="s">
        <v>27</v>
      </c>
      <c r="I1882" s="1" t="s">
        <v>35</v>
      </c>
      <c r="J1882" s="1">
        <v>5</v>
      </c>
      <c r="K1882" s="1" t="s">
        <v>19</v>
      </c>
      <c r="L1882" s="1" t="s">
        <v>62</v>
      </c>
      <c r="M1882" s="1">
        <f>orders[[#This Row],[Ship Date]]-orders[[#This Row],[Order Date]]</f>
        <v>1</v>
      </c>
      <c r="N1882" s="1">
        <f>WEEKNUM(orders[[#This Row],[Order Date]])</f>
        <v>11</v>
      </c>
      <c r="O1882" s="1" t="str" cm="1">
        <f t="array" ref="O1882">_xlfn.IFS(orders[[#This Row],[Customer Gender]]="M","Male", orders[[#This Row],[Customer Gender]]="F","Female", orders[[#This Row],[Customer Gender]]="O","Other", TRUE,"Unknown")</f>
        <v>Female</v>
      </c>
    </row>
    <row r="1883" spans="1:15">
      <c r="A1883" s="1" t="s">
        <v>1983</v>
      </c>
      <c r="B1883" s="1" t="s">
        <v>67</v>
      </c>
      <c r="C1883" s="1">
        <v>4</v>
      </c>
      <c r="D1883" s="1">
        <v>34.9</v>
      </c>
      <c r="E1883" s="11">
        <v>139.6</v>
      </c>
      <c r="F1883" s="3">
        <v>45726</v>
      </c>
      <c r="G1883" s="3">
        <v>45728</v>
      </c>
      <c r="H1883" s="1" t="s">
        <v>27</v>
      </c>
      <c r="I1883" s="1" t="s">
        <v>18</v>
      </c>
      <c r="J1883" s="1">
        <v>5</v>
      </c>
      <c r="K1883" s="1" t="s">
        <v>19</v>
      </c>
      <c r="L1883" s="1" t="s">
        <v>62</v>
      </c>
      <c r="M1883" s="1">
        <f>orders[[#This Row],[Ship Date]]-orders[[#This Row],[Order Date]]</f>
        <v>2</v>
      </c>
      <c r="N1883" s="1">
        <f>WEEKNUM(orders[[#This Row],[Order Date]])</f>
        <v>11</v>
      </c>
      <c r="O1883" s="1" t="str" cm="1">
        <f t="array" ref="O1883">_xlfn.IFS(orders[[#This Row],[Customer Gender]]="M","Male", orders[[#This Row],[Customer Gender]]="F","Female", orders[[#This Row],[Customer Gender]]="O","Other", TRUE,"Unknown")</f>
        <v>Female</v>
      </c>
    </row>
    <row r="1884" spans="1:15">
      <c r="A1884" s="1" t="s">
        <v>1984</v>
      </c>
      <c r="B1884" s="1" t="s">
        <v>22</v>
      </c>
      <c r="C1884" s="1">
        <v>3</v>
      </c>
      <c r="D1884" s="1">
        <v>62.3</v>
      </c>
      <c r="E1884" s="11">
        <v>186.89999999999998</v>
      </c>
      <c r="F1884" s="3">
        <v>45726</v>
      </c>
      <c r="G1884" s="3">
        <v>45728</v>
      </c>
      <c r="H1884" s="1" t="s">
        <v>23</v>
      </c>
      <c r="I1884" s="1" t="s">
        <v>70</v>
      </c>
      <c r="J1884" s="1">
        <v>5</v>
      </c>
      <c r="K1884" s="1" t="s">
        <v>19</v>
      </c>
      <c r="L1884" s="1" t="s">
        <v>62</v>
      </c>
      <c r="M1884" s="1">
        <f>orders[[#This Row],[Ship Date]]-orders[[#This Row],[Order Date]]</f>
        <v>2</v>
      </c>
      <c r="N1884" s="1">
        <f>WEEKNUM(orders[[#This Row],[Order Date]])</f>
        <v>11</v>
      </c>
      <c r="O1884" s="1" t="str" cm="1">
        <f t="array" ref="O1884">_xlfn.IFS(orders[[#This Row],[Customer Gender]]="M","Male", orders[[#This Row],[Customer Gender]]="F","Female", orders[[#This Row],[Customer Gender]]="O","Other", TRUE,"Unknown")</f>
        <v>Male</v>
      </c>
    </row>
    <row r="1885" spans="1:15">
      <c r="A1885" s="1" t="s">
        <v>1985</v>
      </c>
      <c r="B1885" s="1" t="s">
        <v>44</v>
      </c>
      <c r="C1885" s="1">
        <v>4</v>
      </c>
      <c r="D1885" s="1">
        <v>21.1</v>
      </c>
      <c r="E1885" s="11">
        <v>84.4</v>
      </c>
      <c r="F1885" s="3">
        <v>45726</v>
      </c>
      <c r="G1885" s="3">
        <v>45729</v>
      </c>
      <c r="H1885" s="1" t="s">
        <v>23</v>
      </c>
      <c r="I1885" s="1" t="s">
        <v>51</v>
      </c>
      <c r="J1885" s="1">
        <v>4</v>
      </c>
      <c r="K1885" s="1" t="s">
        <v>19</v>
      </c>
      <c r="L1885" s="1" t="s">
        <v>62</v>
      </c>
      <c r="M1885" s="1">
        <f>orders[[#This Row],[Ship Date]]-orders[[#This Row],[Order Date]]</f>
        <v>3</v>
      </c>
      <c r="N1885" s="1">
        <f>WEEKNUM(orders[[#This Row],[Order Date]])</f>
        <v>11</v>
      </c>
      <c r="O1885" s="1" t="str" cm="1">
        <f t="array" ref="O1885">_xlfn.IFS(orders[[#This Row],[Customer Gender]]="M","Male", orders[[#This Row],[Customer Gender]]="F","Female", orders[[#This Row],[Customer Gender]]="O","Other", TRUE,"Unknown")</f>
        <v>Male</v>
      </c>
    </row>
    <row r="1886" spans="1:15">
      <c r="A1886" s="1" t="s">
        <v>1986</v>
      </c>
      <c r="B1886" s="1" t="s">
        <v>44</v>
      </c>
      <c r="C1886" s="1">
        <v>3</v>
      </c>
      <c r="D1886" s="1">
        <v>33.200000000000003</v>
      </c>
      <c r="E1886" s="11">
        <v>99.600000000000009</v>
      </c>
      <c r="F1886" s="3">
        <v>45726</v>
      </c>
      <c r="G1886" s="3">
        <v>45740</v>
      </c>
      <c r="H1886" s="1" t="s">
        <v>17</v>
      </c>
      <c r="I1886" s="1" t="s">
        <v>18</v>
      </c>
      <c r="J1886" s="1">
        <v>2</v>
      </c>
      <c r="K1886" s="1" t="s">
        <v>19</v>
      </c>
      <c r="L1886" s="1" t="s">
        <v>62</v>
      </c>
      <c r="M1886" s="1">
        <f>orders[[#This Row],[Ship Date]]-orders[[#This Row],[Order Date]]</f>
        <v>14</v>
      </c>
      <c r="N1886" s="1">
        <f>WEEKNUM(orders[[#This Row],[Order Date]])</f>
        <v>11</v>
      </c>
      <c r="O1886" s="1" t="str" cm="1">
        <f t="array" ref="O1886">_xlfn.IFS(orders[[#This Row],[Customer Gender]]="M","Male", orders[[#This Row],[Customer Gender]]="F","Female", orders[[#This Row],[Customer Gender]]="O","Other", TRUE,"Unknown")</f>
        <v>Unknown</v>
      </c>
    </row>
    <row r="1887" spans="1:15">
      <c r="A1887" s="1" t="s">
        <v>1987</v>
      </c>
      <c r="B1887" s="1" t="s">
        <v>22</v>
      </c>
      <c r="C1887" s="1">
        <v>4</v>
      </c>
      <c r="D1887" s="1">
        <v>74.5</v>
      </c>
      <c r="E1887" s="11">
        <v>298</v>
      </c>
      <c r="F1887" s="3">
        <v>45726</v>
      </c>
      <c r="G1887" s="3">
        <v>45727</v>
      </c>
      <c r="H1887" s="1" t="s">
        <v>23</v>
      </c>
      <c r="I1887" s="1" t="s">
        <v>70</v>
      </c>
      <c r="J1887" s="1">
        <v>4</v>
      </c>
      <c r="K1887" s="1" t="s">
        <v>19</v>
      </c>
      <c r="L1887" s="1" t="s">
        <v>62</v>
      </c>
      <c r="M1887" s="1">
        <f>orders[[#This Row],[Ship Date]]-orders[[#This Row],[Order Date]]</f>
        <v>1</v>
      </c>
      <c r="N1887" s="1">
        <f>WEEKNUM(orders[[#This Row],[Order Date]])</f>
        <v>11</v>
      </c>
      <c r="O1887" s="1" t="str" cm="1">
        <f t="array" ref="O1887">_xlfn.IFS(orders[[#This Row],[Customer Gender]]="M","Male", orders[[#This Row],[Customer Gender]]="F","Female", orders[[#This Row],[Customer Gender]]="O","Other", TRUE,"Unknown")</f>
        <v>Male</v>
      </c>
    </row>
    <row r="1888" spans="1:15">
      <c r="A1888" s="1" t="s">
        <v>1988</v>
      </c>
      <c r="B1888" s="1" t="s">
        <v>54</v>
      </c>
      <c r="C1888" s="1">
        <v>12</v>
      </c>
      <c r="D1888" s="1">
        <v>68.599999999999994</v>
      </c>
      <c r="E1888" s="11">
        <v>823.19999999999993</v>
      </c>
      <c r="F1888" s="3">
        <v>45726</v>
      </c>
      <c r="G1888" s="3">
        <v>45729</v>
      </c>
      <c r="H1888" s="1" t="s">
        <v>27</v>
      </c>
      <c r="I1888" s="1" t="s">
        <v>18</v>
      </c>
      <c r="J1888" s="1">
        <v>5</v>
      </c>
      <c r="K1888" s="1" t="s">
        <v>19</v>
      </c>
      <c r="L1888" s="1" t="s">
        <v>62</v>
      </c>
      <c r="M1888" s="1">
        <f>orders[[#This Row],[Ship Date]]-orders[[#This Row],[Order Date]]</f>
        <v>3</v>
      </c>
      <c r="N1888" s="1">
        <f>WEEKNUM(orders[[#This Row],[Order Date]])</f>
        <v>11</v>
      </c>
      <c r="O1888" s="1" t="str" cm="1">
        <f t="array" ref="O1888">_xlfn.IFS(orders[[#This Row],[Customer Gender]]="M","Male", orders[[#This Row],[Customer Gender]]="F","Female", orders[[#This Row],[Customer Gender]]="O","Other", TRUE,"Unknown")</f>
        <v>Female</v>
      </c>
    </row>
    <row r="1889" spans="1:15">
      <c r="A1889" s="1" t="s">
        <v>1989</v>
      </c>
      <c r="B1889" s="1" t="s">
        <v>37</v>
      </c>
      <c r="C1889" s="1">
        <v>14</v>
      </c>
      <c r="D1889" s="1">
        <v>36.4</v>
      </c>
      <c r="E1889" s="11">
        <v>509.59999999999997</v>
      </c>
      <c r="F1889" s="3">
        <v>45726</v>
      </c>
      <c r="G1889" s="3">
        <v>45728</v>
      </c>
      <c r="H1889" s="1" t="s">
        <v>27</v>
      </c>
      <c r="I1889" s="1" t="s">
        <v>18</v>
      </c>
      <c r="J1889" s="1">
        <v>3</v>
      </c>
      <c r="K1889" s="1" t="s">
        <v>19</v>
      </c>
      <c r="L1889" s="1" t="s">
        <v>72</v>
      </c>
      <c r="M1889" s="1">
        <f>orders[[#This Row],[Ship Date]]-orders[[#This Row],[Order Date]]</f>
        <v>2</v>
      </c>
      <c r="N1889" s="1">
        <f>WEEKNUM(orders[[#This Row],[Order Date]])</f>
        <v>11</v>
      </c>
      <c r="O1889" s="1" t="str" cm="1">
        <f t="array" ref="O1889">_xlfn.IFS(orders[[#This Row],[Customer Gender]]="M","Male", orders[[#This Row],[Customer Gender]]="F","Female", orders[[#This Row],[Customer Gender]]="O","Other", TRUE,"Unknown")</f>
        <v>Female</v>
      </c>
    </row>
    <row r="1890" spans="1:15">
      <c r="A1890" s="1" t="s">
        <v>1990</v>
      </c>
      <c r="B1890" s="1" t="s">
        <v>128</v>
      </c>
      <c r="C1890" s="1">
        <v>5</v>
      </c>
      <c r="D1890" s="1">
        <v>67.599999999999994</v>
      </c>
      <c r="E1890" s="11">
        <v>338</v>
      </c>
      <c r="F1890" s="3">
        <v>45727</v>
      </c>
      <c r="G1890" s="3">
        <v>45730</v>
      </c>
      <c r="H1890" s="1" t="s">
        <v>27</v>
      </c>
      <c r="I1890" s="1" t="s">
        <v>70</v>
      </c>
      <c r="J1890" s="1">
        <v>3</v>
      </c>
      <c r="K1890" s="1" t="s">
        <v>19</v>
      </c>
      <c r="L1890" s="1" t="s">
        <v>72</v>
      </c>
      <c r="M1890" s="1">
        <f>orders[[#This Row],[Ship Date]]-orders[[#This Row],[Order Date]]</f>
        <v>3</v>
      </c>
      <c r="N1890" s="1">
        <f>WEEKNUM(orders[[#This Row],[Order Date]])</f>
        <v>11</v>
      </c>
      <c r="O1890" s="1" t="str" cm="1">
        <f t="array" ref="O1890">_xlfn.IFS(orders[[#This Row],[Customer Gender]]="M","Male", orders[[#This Row],[Customer Gender]]="F","Female", orders[[#This Row],[Customer Gender]]="O","Other", TRUE,"Unknown")</f>
        <v>Female</v>
      </c>
    </row>
    <row r="1891" spans="1:15">
      <c r="A1891" s="1" t="s">
        <v>1991</v>
      </c>
      <c r="B1891" s="1" t="s">
        <v>123</v>
      </c>
      <c r="C1891" s="1">
        <v>1</v>
      </c>
      <c r="D1891" s="1">
        <v>46.3</v>
      </c>
      <c r="E1891" s="11">
        <v>46.3</v>
      </c>
      <c r="F1891" s="3">
        <v>45727</v>
      </c>
      <c r="G1891" s="3">
        <v>45728</v>
      </c>
      <c r="H1891" s="1" t="s">
        <v>23</v>
      </c>
      <c r="I1891" s="1" t="s">
        <v>40</v>
      </c>
      <c r="J1891" s="1">
        <v>4</v>
      </c>
      <c r="K1891" s="1" t="s">
        <v>19</v>
      </c>
      <c r="L1891" s="1" t="s">
        <v>72</v>
      </c>
      <c r="M1891" s="1">
        <f>orders[[#This Row],[Ship Date]]-orders[[#This Row],[Order Date]]</f>
        <v>1</v>
      </c>
      <c r="N1891" s="1">
        <f>WEEKNUM(orders[[#This Row],[Order Date]])</f>
        <v>11</v>
      </c>
      <c r="O1891" s="1" t="str" cm="1">
        <f t="array" ref="O1891">_xlfn.IFS(orders[[#This Row],[Customer Gender]]="M","Male", orders[[#This Row],[Customer Gender]]="F","Female", orders[[#This Row],[Customer Gender]]="O","Other", TRUE,"Unknown")</f>
        <v>Male</v>
      </c>
    </row>
    <row r="1892" spans="1:15">
      <c r="A1892" s="1" t="s">
        <v>1992</v>
      </c>
      <c r="B1892" s="1" t="s">
        <v>22</v>
      </c>
      <c r="C1892" s="1">
        <v>3</v>
      </c>
      <c r="D1892" s="1">
        <v>124.2</v>
      </c>
      <c r="E1892" s="11">
        <v>372.6</v>
      </c>
      <c r="F1892" s="3">
        <v>45727</v>
      </c>
      <c r="G1892" s="3">
        <v>45729</v>
      </c>
      <c r="H1892" s="1" t="s">
        <v>27</v>
      </c>
      <c r="I1892" s="1" t="s">
        <v>35</v>
      </c>
      <c r="J1892" s="1">
        <v>5</v>
      </c>
      <c r="K1892" s="1" t="s">
        <v>19</v>
      </c>
      <c r="L1892" s="1" t="s">
        <v>77</v>
      </c>
      <c r="M1892" s="1">
        <f>orders[[#This Row],[Ship Date]]-orders[[#This Row],[Order Date]]</f>
        <v>2</v>
      </c>
      <c r="N1892" s="1">
        <f>WEEKNUM(orders[[#This Row],[Order Date]])</f>
        <v>11</v>
      </c>
      <c r="O1892" s="1" t="str" cm="1">
        <f t="array" ref="O1892">_xlfn.IFS(orders[[#This Row],[Customer Gender]]="M","Male", orders[[#This Row],[Customer Gender]]="F","Female", orders[[#This Row],[Customer Gender]]="O","Other", TRUE,"Unknown")</f>
        <v>Female</v>
      </c>
    </row>
    <row r="1893" spans="1:15">
      <c r="A1893" s="1" t="s">
        <v>1993</v>
      </c>
      <c r="B1893" s="1" t="s">
        <v>54</v>
      </c>
      <c r="C1893" s="1">
        <v>2</v>
      </c>
      <c r="D1893" s="1">
        <v>37</v>
      </c>
      <c r="E1893" s="11">
        <v>74</v>
      </c>
      <c r="F1893" s="3">
        <v>45727</v>
      </c>
      <c r="G1893" s="3">
        <v>45733</v>
      </c>
      <c r="H1893" s="1" t="s">
        <v>23</v>
      </c>
      <c r="I1893" s="1" t="s">
        <v>18</v>
      </c>
      <c r="J1893" s="1">
        <v>4</v>
      </c>
      <c r="K1893" s="1" t="s">
        <v>19</v>
      </c>
      <c r="L1893" s="1" t="s">
        <v>77</v>
      </c>
      <c r="M1893" s="1">
        <f>orders[[#This Row],[Ship Date]]-orders[[#This Row],[Order Date]]</f>
        <v>6</v>
      </c>
      <c r="N1893" s="1">
        <f>WEEKNUM(orders[[#This Row],[Order Date]])</f>
        <v>11</v>
      </c>
      <c r="O1893" s="1" t="str" cm="1">
        <f t="array" ref="O1893">_xlfn.IFS(orders[[#This Row],[Customer Gender]]="M","Male", orders[[#This Row],[Customer Gender]]="F","Female", orders[[#This Row],[Customer Gender]]="O","Other", TRUE,"Unknown")</f>
        <v>Male</v>
      </c>
    </row>
    <row r="1894" spans="1:15">
      <c r="A1894" s="1" t="s">
        <v>1994</v>
      </c>
      <c r="B1894" s="1" t="s">
        <v>37</v>
      </c>
      <c r="C1894" s="1">
        <v>1</v>
      </c>
      <c r="D1894" s="1">
        <v>41.8</v>
      </c>
      <c r="E1894" s="11">
        <v>41.8</v>
      </c>
      <c r="F1894" s="3">
        <v>45727</v>
      </c>
      <c r="G1894" s="3">
        <v>45728</v>
      </c>
      <c r="H1894" s="1" t="s">
        <v>23</v>
      </c>
      <c r="I1894" s="1" t="s">
        <v>40</v>
      </c>
      <c r="J1894" s="1">
        <v>4</v>
      </c>
      <c r="K1894" s="1" t="s">
        <v>19</v>
      </c>
      <c r="L1894" s="1" t="s">
        <v>292</v>
      </c>
      <c r="M1894" s="1">
        <f>orders[[#This Row],[Ship Date]]-orders[[#This Row],[Order Date]]</f>
        <v>1</v>
      </c>
      <c r="N1894" s="1">
        <f>WEEKNUM(orders[[#This Row],[Order Date]])</f>
        <v>11</v>
      </c>
      <c r="O1894" s="1" t="str" cm="1">
        <f t="array" ref="O1894">_xlfn.IFS(orders[[#This Row],[Customer Gender]]="M","Male", orders[[#This Row],[Customer Gender]]="F","Female", orders[[#This Row],[Customer Gender]]="O","Other", TRUE,"Unknown")</f>
        <v>Male</v>
      </c>
    </row>
    <row r="1895" spans="1:15">
      <c r="A1895" s="1" t="s">
        <v>1995</v>
      </c>
      <c r="B1895" s="1" t="s">
        <v>46</v>
      </c>
      <c r="C1895" s="1">
        <v>2</v>
      </c>
      <c r="D1895" s="1">
        <v>57.2</v>
      </c>
      <c r="E1895" s="11">
        <v>114.4</v>
      </c>
      <c r="F1895" s="3">
        <v>45727</v>
      </c>
      <c r="G1895" s="3">
        <v>45729</v>
      </c>
      <c r="H1895" s="1" t="s">
        <v>23</v>
      </c>
      <c r="I1895" s="1" t="s">
        <v>40</v>
      </c>
      <c r="J1895" s="1">
        <v>3</v>
      </c>
      <c r="K1895" s="1" t="s">
        <v>19</v>
      </c>
      <c r="L1895" s="1" t="s">
        <v>113</v>
      </c>
      <c r="M1895" s="1">
        <f>orders[[#This Row],[Ship Date]]-orders[[#This Row],[Order Date]]</f>
        <v>2</v>
      </c>
      <c r="N1895" s="1">
        <f>WEEKNUM(orders[[#This Row],[Order Date]])</f>
        <v>11</v>
      </c>
      <c r="O1895" s="1" t="str" cm="1">
        <f t="array" ref="O1895">_xlfn.IFS(orders[[#This Row],[Customer Gender]]="M","Male", orders[[#This Row],[Customer Gender]]="F","Female", orders[[#This Row],[Customer Gender]]="O","Other", TRUE,"Unknown")</f>
        <v>Male</v>
      </c>
    </row>
    <row r="1896" spans="1:15">
      <c r="A1896" s="1" t="s">
        <v>1996</v>
      </c>
      <c r="B1896" s="1" t="s">
        <v>39</v>
      </c>
      <c r="C1896" s="1">
        <v>2</v>
      </c>
      <c r="D1896" s="1">
        <v>47.1</v>
      </c>
      <c r="E1896" s="11">
        <v>94.2</v>
      </c>
      <c r="F1896" s="3">
        <v>45727</v>
      </c>
      <c r="G1896" s="3">
        <v>45729</v>
      </c>
      <c r="H1896" s="1" t="s">
        <v>27</v>
      </c>
      <c r="I1896" s="1" t="s">
        <v>18</v>
      </c>
      <c r="J1896" s="1">
        <v>2</v>
      </c>
      <c r="K1896" s="1" t="s">
        <v>19</v>
      </c>
      <c r="L1896" s="1" t="s">
        <v>113</v>
      </c>
      <c r="M1896" s="1">
        <f>orders[[#This Row],[Ship Date]]-orders[[#This Row],[Order Date]]</f>
        <v>2</v>
      </c>
      <c r="N1896" s="1">
        <f>WEEKNUM(orders[[#This Row],[Order Date]])</f>
        <v>11</v>
      </c>
      <c r="O1896" s="1" t="str" cm="1">
        <f t="array" ref="O1896">_xlfn.IFS(orders[[#This Row],[Customer Gender]]="M","Male", orders[[#This Row],[Customer Gender]]="F","Female", orders[[#This Row],[Customer Gender]]="O","Other", TRUE,"Unknown")</f>
        <v>Female</v>
      </c>
    </row>
    <row r="1897" spans="1:15">
      <c r="A1897" s="1" t="s">
        <v>1997</v>
      </c>
      <c r="B1897" s="1" t="s">
        <v>37</v>
      </c>
      <c r="C1897" s="1">
        <v>3</v>
      </c>
      <c r="D1897" s="1">
        <v>86.4</v>
      </c>
      <c r="E1897" s="11">
        <v>259.20000000000005</v>
      </c>
      <c r="F1897" s="3">
        <v>45727</v>
      </c>
      <c r="G1897" s="3">
        <v>45728</v>
      </c>
      <c r="H1897" s="1" t="s">
        <v>23</v>
      </c>
      <c r="I1897" s="1" t="s">
        <v>40</v>
      </c>
      <c r="J1897" s="1">
        <v>3</v>
      </c>
      <c r="K1897" s="1" t="s">
        <v>19</v>
      </c>
      <c r="L1897" s="1" t="s">
        <v>997</v>
      </c>
      <c r="M1897" s="1">
        <f>orders[[#This Row],[Ship Date]]-orders[[#This Row],[Order Date]]</f>
        <v>1</v>
      </c>
      <c r="N1897" s="1">
        <f>WEEKNUM(orders[[#This Row],[Order Date]])</f>
        <v>11</v>
      </c>
      <c r="O1897" s="1" t="str" cm="1">
        <f t="array" ref="O1897">_xlfn.IFS(orders[[#This Row],[Customer Gender]]="M","Male", orders[[#This Row],[Customer Gender]]="F","Female", orders[[#This Row],[Customer Gender]]="O","Other", TRUE,"Unknown")</f>
        <v>Male</v>
      </c>
    </row>
    <row r="1898" spans="1:15">
      <c r="A1898" s="1" t="s">
        <v>1998</v>
      </c>
      <c r="B1898" s="1" t="s">
        <v>39</v>
      </c>
      <c r="C1898" s="1">
        <v>5</v>
      </c>
      <c r="D1898" s="1">
        <v>105</v>
      </c>
      <c r="E1898" s="11">
        <v>525</v>
      </c>
      <c r="F1898" s="3">
        <v>45727</v>
      </c>
      <c r="G1898" s="3">
        <v>45730</v>
      </c>
      <c r="H1898" s="1" t="s">
        <v>23</v>
      </c>
      <c r="I1898" s="1" t="s">
        <v>18</v>
      </c>
      <c r="J1898" s="1">
        <v>4</v>
      </c>
      <c r="K1898" s="1" t="s">
        <v>19</v>
      </c>
      <c r="L1898" s="1" t="s">
        <v>82</v>
      </c>
      <c r="M1898" s="1">
        <f>orders[[#This Row],[Ship Date]]-orders[[#This Row],[Order Date]]</f>
        <v>3</v>
      </c>
      <c r="N1898" s="1">
        <f>WEEKNUM(orders[[#This Row],[Order Date]])</f>
        <v>11</v>
      </c>
      <c r="O1898" s="1" t="str" cm="1">
        <f t="array" ref="O1898">_xlfn.IFS(orders[[#This Row],[Customer Gender]]="M","Male", orders[[#This Row],[Customer Gender]]="F","Female", orders[[#This Row],[Customer Gender]]="O","Other", TRUE,"Unknown")</f>
        <v>Male</v>
      </c>
    </row>
    <row r="1899" spans="1:15">
      <c r="A1899" s="1" t="s">
        <v>1999</v>
      </c>
      <c r="B1899" s="1" t="s">
        <v>146</v>
      </c>
      <c r="C1899" s="1">
        <v>1</v>
      </c>
      <c r="D1899" s="1">
        <v>33</v>
      </c>
      <c r="E1899" s="11">
        <v>33</v>
      </c>
      <c r="F1899" s="3">
        <v>45727</v>
      </c>
      <c r="G1899" s="3">
        <v>45730</v>
      </c>
      <c r="H1899" s="1" t="s">
        <v>23</v>
      </c>
      <c r="I1899" s="1" t="s">
        <v>70</v>
      </c>
      <c r="J1899" s="1">
        <v>4</v>
      </c>
      <c r="K1899" s="1" t="s">
        <v>19</v>
      </c>
      <c r="L1899" s="1" t="s">
        <v>115</v>
      </c>
      <c r="M1899" s="1">
        <f>orders[[#This Row],[Ship Date]]-orders[[#This Row],[Order Date]]</f>
        <v>3</v>
      </c>
      <c r="N1899" s="1">
        <f>WEEKNUM(orders[[#This Row],[Order Date]])</f>
        <v>11</v>
      </c>
      <c r="O1899" s="1" t="str" cm="1">
        <f t="array" ref="O1899">_xlfn.IFS(orders[[#This Row],[Customer Gender]]="M","Male", orders[[#This Row],[Customer Gender]]="F","Female", orders[[#This Row],[Customer Gender]]="O","Other", TRUE,"Unknown")</f>
        <v>Male</v>
      </c>
    </row>
    <row r="1900" spans="1:15">
      <c r="A1900" s="1" t="s">
        <v>2000</v>
      </c>
      <c r="B1900" s="1" t="s">
        <v>39</v>
      </c>
      <c r="C1900" s="1">
        <v>5</v>
      </c>
      <c r="D1900" s="1">
        <v>106.6</v>
      </c>
      <c r="E1900" s="11">
        <v>533</v>
      </c>
      <c r="F1900" s="3">
        <v>45727</v>
      </c>
      <c r="G1900" s="3">
        <v>45740</v>
      </c>
      <c r="H1900" s="1" t="s">
        <v>27</v>
      </c>
      <c r="I1900" s="1" t="s">
        <v>40</v>
      </c>
      <c r="J1900" s="1">
        <v>4</v>
      </c>
      <c r="K1900" s="1" t="s">
        <v>19</v>
      </c>
      <c r="L1900" s="1" t="s">
        <v>24</v>
      </c>
      <c r="M1900" s="1">
        <f>orders[[#This Row],[Ship Date]]-orders[[#This Row],[Order Date]]</f>
        <v>13</v>
      </c>
      <c r="N1900" s="1">
        <f>WEEKNUM(orders[[#This Row],[Order Date]])</f>
        <v>11</v>
      </c>
      <c r="O1900" s="1" t="str" cm="1">
        <f t="array" ref="O1900">_xlfn.IFS(orders[[#This Row],[Customer Gender]]="M","Male", orders[[#This Row],[Customer Gender]]="F","Female", orders[[#This Row],[Customer Gender]]="O","Other", TRUE,"Unknown")</f>
        <v>Female</v>
      </c>
    </row>
    <row r="1901" spans="1:15">
      <c r="A1901" s="1" t="s">
        <v>2001</v>
      </c>
      <c r="B1901" s="1" t="s">
        <v>54</v>
      </c>
      <c r="C1901" s="1">
        <v>32</v>
      </c>
      <c r="D1901" s="1">
        <v>26.8</v>
      </c>
      <c r="E1901" s="11">
        <v>857.6</v>
      </c>
      <c r="F1901" s="3">
        <v>45727</v>
      </c>
      <c r="G1901" s="3">
        <v>45728</v>
      </c>
      <c r="H1901" s="1" t="s">
        <v>27</v>
      </c>
      <c r="I1901" s="1" t="s">
        <v>40</v>
      </c>
      <c r="J1901" s="1">
        <v>4</v>
      </c>
      <c r="K1901" s="1" t="s">
        <v>19</v>
      </c>
      <c r="L1901" s="1" t="s">
        <v>24</v>
      </c>
      <c r="M1901" s="1">
        <f>orders[[#This Row],[Ship Date]]-orders[[#This Row],[Order Date]]</f>
        <v>1</v>
      </c>
      <c r="N1901" s="1">
        <f>WEEKNUM(orders[[#This Row],[Order Date]])</f>
        <v>11</v>
      </c>
      <c r="O1901" s="1" t="str" cm="1">
        <f t="array" ref="O1901">_xlfn.IFS(orders[[#This Row],[Customer Gender]]="M","Male", orders[[#This Row],[Customer Gender]]="F","Female", orders[[#This Row],[Customer Gender]]="O","Other", TRUE,"Unknown")</f>
        <v>Female</v>
      </c>
    </row>
    <row r="1902" spans="1:15">
      <c r="A1902" s="1" t="s">
        <v>2002</v>
      </c>
      <c r="B1902" s="1" t="s">
        <v>135</v>
      </c>
      <c r="C1902" s="1">
        <v>5</v>
      </c>
      <c r="D1902" s="1">
        <v>25.8</v>
      </c>
      <c r="E1902" s="11">
        <v>129</v>
      </c>
      <c r="F1902" s="3">
        <v>45727</v>
      </c>
      <c r="G1902" s="3">
        <v>45727</v>
      </c>
      <c r="H1902" s="1" t="s">
        <v>27</v>
      </c>
      <c r="I1902" s="1" t="s">
        <v>35</v>
      </c>
      <c r="J1902" s="1">
        <v>5</v>
      </c>
      <c r="K1902" s="1" t="s">
        <v>19</v>
      </c>
      <c r="L1902" s="1" t="s">
        <v>33</v>
      </c>
      <c r="M1902" s="1">
        <f>orders[[#This Row],[Ship Date]]-orders[[#This Row],[Order Date]]</f>
        <v>0</v>
      </c>
      <c r="N1902" s="1">
        <f>WEEKNUM(orders[[#This Row],[Order Date]])</f>
        <v>11</v>
      </c>
      <c r="O1902" s="1" t="str" cm="1">
        <f t="array" ref="O1902">_xlfn.IFS(orders[[#This Row],[Customer Gender]]="M","Male", orders[[#This Row],[Customer Gender]]="F","Female", orders[[#This Row],[Customer Gender]]="O","Other", TRUE,"Unknown")</f>
        <v>Female</v>
      </c>
    </row>
    <row r="1903" spans="1:15">
      <c r="A1903" s="1" t="s">
        <v>2003</v>
      </c>
      <c r="B1903" s="1" t="s">
        <v>26</v>
      </c>
      <c r="C1903" s="1">
        <v>3</v>
      </c>
      <c r="D1903" s="1">
        <v>217</v>
      </c>
      <c r="E1903" s="11">
        <v>651</v>
      </c>
      <c r="F1903" s="3">
        <v>45727</v>
      </c>
      <c r="G1903" s="3">
        <v>45728</v>
      </c>
      <c r="H1903" s="1" t="s">
        <v>27</v>
      </c>
      <c r="I1903" s="1" t="s">
        <v>35</v>
      </c>
      <c r="J1903" s="1">
        <v>3</v>
      </c>
      <c r="K1903" s="1" t="s">
        <v>19</v>
      </c>
      <c r="L1903" s="1" t="s">
        <v>33</v>
      </c>
      <c r="M1903" s="1">
        <f>orders[[#This Row],[Ship Date]]-orders[[#This Row],[Order Date]]</f>
        <v>1</v>
      </c>
      <c r="N1903" s="1">
        <f>WEEKNUM(orders[[#This Row],[Order Date]])</f>
        <v>11</v>
      </c>
      <c r="O1903" s="1" t="str" cm="1">
        <f t="array" ref="O1903">_xlfn.IFS(orders[[#This Row],[Customer Gender]]="M","Male", orders[[#This Row],[Customer Gender]]="F","Female", orders[[#This Row],[Customer Gender]]="O","Other", TRUE,"Unknown")</f>
        <v>Female</v>
      </c>
    </row>
    <row r="1904" spans="1:15">
      <c r="A1904" s="1" t="s">
        <v>2004</v>
      </c>
      <c r="B1904" s="1" t="s">
        <v>26</v>
      </c>
      <c r="C1904" s="1">
        <v>2</v>
      </c>
      <c r="D1904" s="1">
        <v>97.3</v>
      </c>
      <c r="E1904" s="11">
        <v>194.6</v>
      </c>
      <c r="F1904" s="3">
        <v>45727</v>
      </c>
      <c r="G1904" s="3">
        <v>45728</v>
      </c>
      <c r="H1904" s="1" t="s">
        <v>23</v>
      </c>
      <c r="I1904" s="1" t="s">
        <v>40</v>
      </c>
      <c r="J1904" s="1">
        <v>2</v>
      </c>
      <c r="K1904" s="1" t="s">
        <v>19</v>
      </c>
      <c r="L1904" s="1" t="s">
        <v>33</v>
      </c>
      <c r="M1904" s="1">
        <f>orders[[#This Row],[Ship Date]]-orders[[#This Row],[Order Date]]</f>
        <v>1</v>
      </c>
      <c r="N1904" s="1">
        <f>WEEKNUM(orders[[#This Row],[Order Date]])</f>
        <v>11</v>
      </c>
      <c r="O1904" s="1" t="str" cm="1">
        <f t="array" ref="O1904">_xlfn.IFS(orders[[#This Row],[Customer Gender]]="M","Male", orders[[#This Row],[Customer Gender]]="F","Female", orders[[#This Row],[Customer Gender]]="O","Other", TRUE,"Unknown")</f>
        <v>Male</v>
      </c>
    </row>
    <row r="1905" spans="1:15">
      <c r="A1905" s="1" t="s">
        <v>2005</v>
      </c>
      <c r="B1905" s="1" t="s">
        <v>22</v>
      </c>
      <c r="C1905" s="1">
        <v>1</v>
      </c>
      <c r="D1905" s="1">
        <v>49.8</v>
      </c>
      <c r="E1905" s="11">
        <v>49.8</v>
      </c>
      <c r="F1905" s="3">
        <v>45727</v>
      </c>
      <c r="G1905" s="3">
        <v>45728</v>
      </c>
      <c r="H1905" s="1" t="s">
        <v>27</v>
      </c>
      <c r="I1905" s="1" t="s">
        <v>18</v>
      </c>
      <c r="J1905" s="1">
        <v>4</v>
      </c>
      <c r="K1905" s="1" t="s">
        <v>19</v>
      </c>
      <c r="L1905" s="1" t="s">
        <v>33</v>
      </c>
      <c r="M1905" s="1">
        <f>orders[[#This Row],[Ship Date]]-orders[[#This Row],[Order Date]]</f>
        <v>1</v>
      </c>
      <c r="N1905" s="1">
        <f>WEEKNUM(orders[[#This Row],[Order Date]])</f>
        <v>11</v>
      </c>
      <c r="O1905" s="1" t="str" cm="1">
        <f t="array" ref="O1905">_xlfn.IFS(orders[[#This Row],[Customer Gender]]="M","Male", orders[[#This Row],[Customer Gender]]="F","Female", orders[[#This Row],[Customer Gender]]="O","Other", TRUE,"Unknown")</f>
        <v>Female</v>
      </c>
    </row>
    <row r="1906" spans="1:15">
      <c r="A1906" s="1" t="s">
        <v>2006</v>
      </c>
      <c r="B1906" s="1" t="s">
        <v>69</v>
      </c>
      <c r="C1906" s="1">
        <v>5</v>
      </c>
      <c r="D1906" s="1">
        <v>32.6</v>
      </c>
      <c r="E1906" s="11">
        <v>163</v>
      </c>
      <c r="F1906" s="3">
        <v>45727</v>
      </c>
      <c r="G1906" s="3">
        <v>45728</v>
      </c>
      <c r="H1906" s="1" t="s">
        <v>27</v>
      </c>
      <c r="I1906" s="1" t="s">
        <v>18</v>
      </c>
      <c r="J1906" s="1">
        <v>4</v>
      </c>
      <c r="K1906" s="1" t="s">
        <v>19</v>
      </c>
      <c r="L1906" s="1" t="s">
        <v>33</v>
      </c>
      <c r="M1906" s="1">
        <f>orders[[#This Row],[Ship Date]]-orders[[#This Row],[Order Date]]</f>
        <v>1</v>
      </c>
      <c r="N1906" s="1">
        <f>WEEKNUM(orders[[#This Row],[Order Date]])</f>
        <v>11</v>
      </c>
      <c r="O1906" s="1" t="str" cm="1">
        <f t="array" ref="O1906">_xlfn.IFS(orders[[#This Row],[Customer Gender]]="M","Male", orders[[#This Row],[Customer Gender]]="F","Female", orders[[#This Row],[Customer Gender]]="O","Other", TRUE,"Unknown")</f>
        <v>Female</v>
      </c>
    </row>
    <row r="1907" spans="1:15">
      <c r="A1907" s="1" t="s">
        <v>2007</v>
      </c>
      <c r="B1907" s="1" t="s">
        <v>46</v>
      </c>
      <c r="C1907" s="1">
        <v>2</v>
      </c>
      <c r="D1907" s="1">
        <v>40.1</v>
      </c>
      <c r="E1907" s="11">
        <v>80.2</v>
      </c>
      <c r="F1907" s="3">
        <v>45727</v>
      </c>
      <c r="G1907" s="3">
        <v>45730</v>
      </c>
      <c r="H1907" s="1" t="s">
        <v>23</v>
      </c>
      <c r="I1907" s="1" t="s">
        <v>35</v>
      </c>
      <c r="J1907" s="1">
        <v>5</v>
      </c>
      <c r="K1907" s="1" t="s">
        <v>19</v>
      </c>
      <c r="L1907" s="1" t="s">
        <v>33</v>
      </c>
      <c r="M1907" s="1">
        <f>orders[[#This Row],[Ship Date]]-orders[[#This Row],[Order Date]]</f>
        <v>3</v>
      </c>
      <c r="N1907" s="1">
        <f>WEEKNUM(orders[[#This Row],[Order Date]])</f>
        <v>11</v>
      </c>
      <c r="O1907" s="1" t="str" cm="1">
        <f t="array" ref="O1907">_xlfn.IFS(orders[[#This Row],[Customer Gender]]="M","Male", orders[[#This Row],[Customer Gender]]="F","Female", orders[[#This Row],[Customer Gender]]="O","Other", TRUE,"Unknown")</f>
        <v>Male</v>
      </c>
    </row>
    <row r="1908" spans="1:15">
      <c r="A1908" s="1" t="s">
        <v>2008</v>
      </c>
      <c r="B1908" s="1" t="s">
        <v>54</v>
      </c>
      <c r="C1908" s="1">
        <v>2</v>
      </c>
      <c r="D1908" s="1">
        <v>49.4</v>
      </c>
      <c r="E1908" s="11">
        <v>98.8</v>
      </c>
      <c r="F1908" s="3">
        <v>45727</v>
      </c>
      <c r="G1908" s="3">
        <v>45729</v>
      </c>
      <c r="H1908" s="1" t="s">
        <v>23</v>
      </c>
      <c r="I1908" s="1" t="s">
        <v>35</v>
      </c>
      <c r="J1908" s="1">
        <v>4</v>
      </c>
      <c r="K1908" s="1" t="s">
        <v>19</v>
      </c>
      <c r="L1908" s="1" t="s">
        <v>33</v>
      </c>
      <c r="M1908" s="1">
        <f>orders[[#This Row],[Ship Date]]-orders[[#This Row],[Order Date]]</f>
        <v>2</v>
      </c>
      <c r="N1908" s="1">
        <f>WEEKNUM(orders[[#This Row],[Order Date]])</f>
        <v>11</v>
      </c>
      <c r="O1908" s="1" t="str" cm="1">
        <f t="array" ref="O1908">_xlfn.IFS(orders[[#This Row],[Customer Gender]]="M","Male", orders[[#This Row],[Customer Gender]]="F","Female", orders[[#This Row],[Customer Gender]]="O","Other", TRUE,"Unknown")</f>
        <v>Male</v>
      </c>
    </row>
    <row r="1909" spans="1:15">
      <c r="A1909" s="1" t="s">
        <v>2009</v>
      </c>
      <c r="B1909" s="1" t="s">
        <v>26</v>
      </c>
      <c r="C1909" s="1">
        <v>1</v>
      </c>
      <c r="D1909" s="1">
        <v>67.3</v>
      </c>
      <c r="E1909" s="11">
        <v>67.3</v>
      </c>
      <c r="F1909" s="3">
        <v>45727</v>
      </c>
      <c r="G1909" s="3">
        <v>45728</v>
      </c>
      <c r="H1909" s="1" t="s">
        <v>27</v>
      </c>
      <c r="I1909" s="1" t="s">
        <v>18</v>
      </c>
      <c r="J1909" s="1">
        <v>5</v>
      </c>
      <c r="K1909" s="1" t="s">
        <v>19</v>
      </c>
      <c r="L1909" s="1" t="s">
        <v>33</v>
      </c>
      <c r="M1909" s="1">
        <f>orders[[#This Row],[Ship Date]]-orders[[#This Row],[Order Date]]</f>
        <v>1</v>
      </c>
      <c r="N1909" s="1">
        <f>WEEKNUM(orders[[#This Row],[Order Date]])</f>
        <v>11</v>
      </c>
      <c r="O1909" s="1" t="str" cm="1">
        <f t="array" ref="O1909">_xlfn.IFS(orders[[#This Row],[Customer Gender]]="M","Male", orders[[#This Row],[Customer Gender]]="F","Female", orders[[#This Row],[Customer Gender]]="O","Other", TRUE,"Unknown")</f>
        <v>Female</v>
      </c>
    </row>
    <row r="1910" spans="1:15">
      <c r="A1910" s="1" t="s">
        <v>2010</v>
      </c>
      <c r="B1910" s="1" t="s">
        <v>146</v>
      </c>
      <c r="C1910" s="1">
        <v>4</v>
      </c>
      <c r="D1910" s="1">
        <v>44.5</v>
      </c>
      <c r="E1910" s="11">
        <v>178</v>
      </c>
      <c r="F1910" s="3">
        <v>45727</v>
      </c>
      <c r="G1910" s="3">
        <v>45730</v>
      </c>
      <c r="H1910" s="1" t="s">
        <v>17</v>
      </c>
      <c r="I1910" s="1" t="s">
        <v>35</v>
      </c>
      <c r="J1910" s="1">
        <v>4</v>
      </c>
      <c r="K1910" s="1" t="s">
        <v>19</v>
      </c>
      <c r="L1910" s="1" t="s">
        <v>33</v>
      </c>
      <c r="M1910" s="1">
        <f>orders[[#This Row],[Ship Date]]-orders[[#This Row],[Order Date]]</f>
        <v>3</v>
      </c>
      <c r="N1910" s="1">
        <f>WEEKNUM(orders[[#This Row],[Order Date]])</f>
        <v>11</v>
      </c>
      <c r="O1910" s="1" t="str" cm="1">
        <f t="array" ref="O1910">_xlfn.IFS(orders[[#This Row],[Customer Gender]]="M","Male", orders[[#This Row],[Customer Gender]]="F","Female", orders[[#This Row],[Customer Gender]]="O","Other", TRUE,"Unknown")</f>
        <v>Unknown</v>
      </c>
    </row>
    <row r="1911" spans="1:15">
      <c r="A1911" s="1" t="s">
        <v>2011</v>
      </c>
      <c r="B1911" s="1" t="s">
        <v>39</v>
      </c>
      <c r="C1911" s="1">
        <v>11</v>
      </c>
      <c r="D1911" s="1">
        <v>111.1</v>
      </c>
      <c r="E1911" s="11">
        <v>1222.0999999999999</v>
      </c>
      <c r="F1911" s="3">
        <v>45727</v>
      </c>
      <c r="G1911" s="3">
        <v>45728</v>
      </c>
      <c r="H1911" s="1" t="s">
        <v>27</v>
      </c>
      <c r="I1911" s="1" t="s">
        <v>70</v>
      </c>
      <c r="J1911" s="1">
        <v>4</v>
      </c>
      <c r="K1911" s="1" t="s">
        <v>19</v>
      </c>
      <c r="L1911" s="1" t="s">
        <v>33</v>
      </c>
      <c r="M1911" s="1">
        <f>orders[[#This Row],[Ship Date]]-orders[[#This Row],[Order Date]]</f>
        <v>1</v>
      </c>
      <c r="N1911" s="1">
        <f>WEEKNUM(orders[[#This Row],[Order Date]])</f>
        <v>11</v>
      </c>
      <c r="O1911" s="1" t="str" cm="1">
        <f t="array" ref="O1911">_xlfn.IFS(orders[[#This Row],[Customer Gender]]="M","Male", orders[[#This Row],[Customer Gender]]="F","Female", orders[[#This Row],[Customer Gender]]="O","Other", TRUE,"Unknown")</f>
        <v>Female</v>
      </c>
    </row>
    <row r="1912" spans="1:15">
      <c r="A1912" s="1" t="s">
        <v>2012</v>
      </c>
      <c r="B1912" s="1" t="s">
        <v>44</v>
      </c>
      <c r="C1912" s="1">
        <v>3</v>
      </c>
      <c r="D1912" s="1">
        <v>19.7</v>
      </c>
      <c r="E1912" s="11">
        <v>59.099999999999994</v>
      </c>
      <c r="F1912" s="3">
        <v>45727</v>
      </c>
      <c r="G1912" s="3">
        <v>45728</v>
      </c>
      <c r="H1912" s="1" t="s">
        <v>27</v>
      </c>
      <c r="I1912" s="1" t="s">
        <v>70</v>
      </c>
      <c r="J1912" s="1">
        <v>2</v>
      </c>
      <c r="K1912" s="1" t="s">
        <v>19</v>
      </c>
      <c r="L1912" s="1" t="s">
        <v>33</v>
      </c>
      <c r="M1912" s="1">
        <f>orders[[#This Row],[Ship Date]]-orders[[#This Row],[Order Date]]</f>
        <v>1</v>
      </c>
      <c r="N1912" s="1">
        <f>WEEKNUM(orders[[#This Row],[Order Date]])</f>
        <v>11</v>
      </c>
      <c r="O1912" s="1" t="str" cm="1">
        <f t="array" ref="O1912">_xlfn.IFS(orders[[#This Row],[Customer Gender]]="M","Male", orders[[#This Row],[Customer Gender]]="F","Female", orders[[#This Row],[Customer Gender]]="O","Other", TRUE,"Unknown")</f>
        <v>Female</v>
      </c>
    </row>
    <row r="1913" spans="1:15">
      <c r="A1913" s="1" t="s">
        <v>2013</v>
      </c>
      <c r="B1913" s="1" t="s">
        <v>22</v>
      </c>
      <c r="C1913" s="1">
        <v>1</v>
      </c>
      <c r="D1913" s="1">
        <v>40.299999999999997</v>
      </c>
      <c r="E1913" s="11">
        <v>40.299999999999997</v>
      </c>
      <c r="F1913" s="3">
        <v>45727</v>
      </c>
      <c r="G1913" s="3">
        <v>45728</v>
      </c>
      <c r="H1913" s="1" t="s">
        <v>89</v>
      </c>
      <c r="I1913" s="1" t="s">
        <v>35</v>
      </c>
      <c r="J1913" s="1">
        <v>4</v>
      </c>
      <c r="K1913" s="1" t="s">
        <v>19</v>
      </c>
      <c r="L1913" s="1" t="s">
        <v>33</v>
      </c>
      <c r="M1913" s="1">
        <f>orders[[#This Row],[Ship Date]]-orders[[#This Row],[Order Date]]</f>
        <v>1</v>
      </c>
      <c r="N1913" s="1">
        <f>WEEKNUM(orders[[#This Row],[Order Date]])</f>
        <v>11</v>
      </c>
      <c r="O1913" s="1" t="str" cm="1">
        <f t="array" ref="O1913">_xlfn.IFS(orders[[#This Row],[Customer Gender]]="M","Male", orders[[#This Row],[Customer Gender]]="F","Female", orders[[#This Row],[Customer Gender]]="O","Other", TRUE,"Unknown")</f>
        <v>Other</v>
      </c>
    </row>
    <row r="1914" spans="1:15">
      <c r="A1914" s="1" t="s">
        <v>2014</v>
      </c>
      <c r="B1914" s="1" t="s">
        <v>39</v>
      </c>
      <c r="C1914" s="1">
        <v>2</v>
      </c>
      <c r="D1914" s="1">
        <v>108.8</v>
      </c>
      <c r="E1914" s="11">
        <v>217.6</v>
      </c>
      <c r="F1914" s="3">
        <v>45727</v>
      </c>
      <c r="G1914" s="3">
        <v>45732</v>
      </c>
      <c r="H1914" s="1" t="s">
        <v>23</v>
      </c>
      <c r="I1914" s="1" t="s">
        <v>18</v>
      </c>
      <c r="J1914" s="1">
        <v>5</v>
      </c>
      <c r="K1914" s="1" t="s">
        <v>19</v>
      </c>
      <c r="L1914" s="1" t="s">
        <v>55</v>
      </c>
      <c r="M1914" s="1">
        <f>orders[[#This Row],[Ship Date]]-orders[[#This Row],[Order Date]]</f>
        <v>5</v>
      </c>
      <c r="N1914" s="1">
        <f>WEEKNUM(orders[[#This Row],[Order Date]])</f>
        <v>11</v>
      </c>
      <c r="O1914" s="1" t="str" cm="1">
        <f t="array" ref="O1914">_xlfn.IFS(orders[[#This Row],[Customer Gender]]="M","Male", orders[[#This Row],[Customer Gender]]="F","Female", orders[[#This Row],[Customer Gender]]="O","Other", TRUE,"Unknown")</f>
        <v>Male</v>
      </c>
    </row>
    <row r="1915" spans="1:15">
      <c r="A1915" s="1" t="s">
        <v>2015</v>
      </c>
      <c r="B1915" s="1" t="s">
        <v>44</v>
      </c>
      <c r="C1915" s="1">
        <v>3</v>
      </c>
      <c r="D1915" s="1">
        <v>48.2</v>
      </c>
      <c r="E1915" s="11">
        <v>144.60000000000002</v>
      </c>
      <c r="F1915" s="3">
        <v>45727</v>
      </c>
      <c r="G1915" s="3">
        <v>45732</v>
      </c>
      <c r="H1915" s="1" t="s">
        <v>27</v>
      </c>
      <c r="I1915" s="1" t="s">
        <v>70</v>
      </c>
      <c r="J1915" s="1">
        <v>4</v>
      </c>
      <c r="K1915" s="1" t="s">
        <v>19</v>
      </c>
      <c r="L1915" s="1" t="s">
        <v>59</v>
      </c>
      <c r="M1915" s="1">
        <f>orders[[#This Row],[Ship Date]]-orders[[#This Row],[Order Date]]</f>
        <v>5</v>
      </c>
      <c r="N1915" s="1">
        <f>WEEKNUM(orders[[#This Row],[Order Date]])</f>
        <v>11</v>
      </c>
      <c r="O1915" s="1" t="str" cm="1">
        <f t="array" ref="O1915">_xlfn.IFS(orders[[#This Row],[Customer Gender]]="M","Male", orders[[#This Row],[Customer Gender]]="F","Female", orders[[#This Row],[Customer Gender]]="O","Other", TRUE,"Unknown")</f>
        <v>Female</v>
      </c>
    </row>
    <row r="1916" spans="1:15">
      <c r="A1916" s="1" t="s">
        <v>2016</v>
      </c>
      <c r="B1916" s="1" t="s">
        <v>26</v>
      </c>
      <c r="C1916" s="1">
        <v>3</v>
      </c>
      <c r="D1916" s="1">
        <v>104.7</v>
      </c>
      <c r="E1916" s="11">
        <v>314.10000000000002</v>
      </c>
      <c r="F1916" s="3">
        <v>45727</v>
      </c>
      <c r="G1916" s="3">
        <v>45729</v>
      </c>
      <c r="H1916" s="1" t="s">
        <v>27</v>
      </c>
      <c r="I1916" s="1" t="s">
        <v>18</v>
      </c>
      <c r="J1916" s="1">
        <v>3</v>
      </c>
      <c r="K1916" s="1" t="s">
        <v>19</v>
      </c>
      <c r="L1916" s="1" t="s">
        <v>59</v>
      </c>
      <c r="M1916" s="1">
        <f>orders[[#This Row],[Ship Date]]-orders[[#This Row],[Order Date]]</f>
        <v>2</v>
      </c>
      <c r="N1916" s="1">
        <f>WEEKNUM(orders[[#This Row],[Order Date]])</f>
        <v>11</v>
      </c>
      <c r="O1916" s="1" t="str" cm="1">
        <f t="array" ref="O1916">_xlfn.IFS(orders[[#This Row],[Customer Gender]]="M","Male", orders[[#This Row],[Customer Gender]]="F","Female", orders[[#This Row],[Customer Gender]]="O","Other", TRUE,"Unknown")</f>
        <v>Female</v>
      </c>
    </row>
    <row r="1917" spans="1:15">
      <c r="A1917" s="1" t="s">
        <v>2017</v>
      </c>
      <c r="B1917" s="1" t="s">
        <v>22</v>
      </c>
      <c r="C1917" s="1">
        <v>2</v>
      </c>
      <c r="D1917" s="1">
        <v>80.599999999999994</v>
      </c>
      <c r="E1917" s="11">
        <v>161.19999999999999</v>
      </c>
      <c r="F1917" s="3">
        <v>45727</v>
      </c>
      <c r="G1917" s="3">
        <v>45727</v>
      </c>
      <c r="H1917" s="1" t="s">
        <v>27</v>
      </c>
      <c r="I1917" s="1" t="s">
        <v>35</v>
      </c>
      <c r="J1917" s="1">
        <v>4</v>
      </c>
      <c r="K1917" s="1" t="s">
        <v>19</v>
      </c>
      <c r="L1917" s="1" t="s">
        <v>62</v>
      </c>
      <c r="M1917" s="1">
        <f>orders[[#This Row],[Ship Date]]-orders[[#This Row],[Order Date]]</f>
        <v>0</v>
      </c>
      <c r="N1917" s="1">
        <f>WEEKNUM(orders[[#This Row],[Order Date]])</f>
        <v>11</v>
      </c>
      <c r="O1917" s="1" t="str" cm="1">
        <f t="array" ref="O1917">_xlfn.IFS(orders[[#This Row],[Customer Gender]]="M","Male", orders[[#This Row],[Customer Gender]]="F","Female", orders[[#This Row],[Customer Gender]]="O","Other", TRUE,"Unknown")</f>
        <v>Female</v>
      </c>
    </row>
    <row r="1918" spans="1:15">
      <c r="A1918" s="1" t="s">
        <v>2018</v>
      </c>
      <c r="B1918" s="1" t="s">
        <v>39</v>
      </c>
      <c r="C1918" s="1">
        <v>1</v>
      </c>
      <c r="D1918" s="1">
        <v>65.5</v>
      </c>
      <c r="E1918" s="11">
        <v>65.5</v>
      </c>
      <c r="F1918" s="3">
        <v>45727</v>
      </c>
      <c r="G1918" s="3">
        <v>45729</v>
      </c>
      <c r="H1918" s="1" t="s">
        <v>89</v>
      </c>
      <c r="I1918" s="1" t="s">
        <v>35</v>
      </c>
      <c r="J1918" s="1">
        <v>4</v>
      </c>
      <c r="K1918" s="1" t="s">
        <v>19</v>
      </c>
      <c r="L1918" s="1" t="s">
        <v>62</v>
      </c>
      <c r="M1918" s="1">
        <f>orders[[#This Row],[Ship Date]]-orders[[#This Row],[Order Date]]</f>
        <v>2</v>
      </c>
      <c r="N1918" s="1">
        <f>WEEKNUM(orders[[#This Row],[Order Date]])</f>
        <v>11</v>
      </c>
      <c r="O1918" s="1" t="str" cm="1">
        <f t="array" ref="O1918">_xlfn.IFS(orders[[#This Row],[Customer Gender]]="M","Male", orders[[#This Row],[Customer Gender]]="F","Female", orders[[#This Row],[Customer Gender]]="O","Other", TRUE,"Unknown")</f>
        <v>Other</v>
      </c>
    </row>
    <row r="1919" spans="1:15">
      <c r="A1919" s="1" t="s">
        <v>2019</v>
      </c>
      <c r="B1919" s="1" t="s">
        <v>46</v>
      </c>
      <c r="C1919" s="1">
        <v>3</v>
      </c>
      <c r="D1919" s="1">
        <v>61.4</v>
      </c>
      <c r="E1919" s="11">
        <v>184.2</v>
      </c>
      <c r="F1919" s="3">
        <v>45727</v>
      </c>
      <c r="G1919" s="3">
        <v>45729</v>
      </c>
      <c r="H1919" s="1" t="s">
        <v>27</v>
      </c>
      <c r="I1919" s="1" t="s">
        <v>70</v>
      </c>
      <c r="J1919" s="1">
        <v>5</v>
      </c>
      <c r="K1919" s="1" t="s">
        <v>19</v>
      </c>
      <c r="L1919" s="1" t="s">
        <v>62</v>
      </c>
      <c r="M1919" s="1">
        <f>orders[[#This Row],[Ship Date]]-orders[[#This Row],[Order Date]]</f>
        <v>2</v>
      </c>
      <c r="N1919" s="1">
        <f>WEEKNUM(orders[[#This Row],[Order Date]])</f>
        <v>11</v>
      </c>
      <c r="O1919" s="1" t="str" cm="1">
        <f t="array" ref="O1919">_xlfn.IFS(orders[[#This Row],[Customer Gender]]="M","Male", orders[[#This Row],[Customer Gender]]="F","Female", orders[[#This Row],[Customer Gender]]="O","Other", TRUE,"Unknown")</f>
        <v>Female</v>
      </c>
    </row>
    <row r="1920" spans="1:15">
      <c r="A1920" s="1" t="s">
        <v>2020</v>
      </c>
      <c r="B1920" s="1" t="s">
        <v>16</v>
      </c>
      <c r="C1920" s="1">
        <v>1</v>
      </c>
      <c r="D1920" s="1">
        <v>12.5</v>
      </c>
      <c r="E1920" s="11">
        <v>12.5</v>
      </c>
      <c r="F1920" s="3">
        <v>45728</v>
      </c>
      <c r="G1920" s="3">
        <v>45731</v>
      </c>
      <c r="H1920" s="1" t="s">
        <v>27</v>
      </c>
      <c r="I1920" s="1" t="s">
        <v>18</v>
      </c>
      <c r="J1920" s="1">
        <v>3</v>
      </c>
      <c r="K1920" s="1" t="s">
        <v>19</v>
      </c>
      <c r="L1920" s="1" t="s">
        <v>62</v>
      </c>
      <c r="M1920" s="1">
        <f>orders[[#This Row],[Ship Date]]-orders[[#This Row],[Order Date]]</f>
        <v>3</v>
      </c>
      <c r="N1920" s="1">
        <f>WEEKNUM(orders[[#This Row],[Order Date]])</f>
        <v>11</v>
      </c>
      <c r="O1920" s="1" t="str" cm="1">
        <f t="array" ref="O1920">_xlfn.IFS(orders[[#This Row],[Customer Gender]]="M","Male", orders[[#This Row],[Customer Gender]]="F","Female", orders[[#This Row],[Customer Gender]]="O","Other", TRUE,"Unknown")</f>
        <v>Female</v>
      </c>
    </row>
    <row r="1921" spans="1:15">
      <c r="A1921" s="1" t="s">
        <v>2021</v>
      </c>
      <c r="B1921" s="1" t="s">
        <v>32</v>
      </c>
      <c r="C1921" s="1">
        <v>4</v>
      </c>
      <c r="D1921" s="1">
        <v>35.1</v>
      </c>
      <c r="E1921" s="11">
        <v>140.4</v>
      </c>
      <c r="F1921" s="3">
        <v>45728</v>
      </c>
      <c r="G1921" s="3">
        <v>45729</v>
      </c>
      <c r="H1921" s="1" t="s">
        <v>23</v>
      </c>
      <c r="I1921" s="1" t="s">
        <v>40</v>
      </c>
      <c r="J1921" s="1">
        <v>3</v>
      </c>
      <c r="K1921" s="1" t="s">
        <v>19</v>
      </c>
      <c r="L1921" s="1" t="s">
        <v>103</v>
      </c>
      <c r="M1921" s="1">
        <f>orders[[#This Row],[Ship Date]]-orders[[#This Row],[Order Date]]</f>
        <v>1</v>
      </c>
      <c r="N1921" s="1">
        <f>WEEKNUM(orders[[#This Row],[Order Date]])</f>
        <v>11</v>
      </c>
      <c r="O1921" s="1" t="str" cm="1">
        <f t="array" ref="O1921">_xlfn.IFS(orders[[#This Row],[Customer Gender]]="M","Male", orders[[#This Row],[Customer Gender]]="F","Female", orders[[#This Row],[Customer Gender]]="O","Other", TRUE,"Unknown")</f>
        <v>Male</v>
      </c>
    </row>
    <row r="1922" spans="1:15">
      <c r="A1922" s="1" t="s">
        <v>2022</v>
      </c>
      <c r="B1922" s="1" t="s">
        <v>37</v>
      </c>
      <c r="C1922" s="1">
        <v>2</v>
      </c>
      <c r="D1922" s="1">
        <v>55.7</v>
      </c>
      <c r="E1922" s="11">
        <v>111.4</v>
      </c>
      <c r="F1922" s="3">
        <v>45728</v>
      </c>
      <c r="G1922" s="3">
        <v>45729</v>
      </c>
      <c r="H1922" s="1" t="s">
        <v>23</v>
      </c>
      <c r="I1922" s="1" t="s">
        <v>18</v>
      </c>
      <c r="J1922" s="1">
        <v>3</v>
      </c>
      <c r="K1922" s="1" t="s">
        <v>19</v>
      </c>
      <c r="L1922" s="1" t="s">
        <v>201</v>
      </c>
      <c r="M1922" s="1">
        <f>orders[[#This Row],[Ship Date]]-orders[[#This Row],[Order Date]]</f>
        <v>1</v>
      </c>
      <c r="N1922" s="1">
        <f>WEEKNUM(orders[[#This Row],[Order Date]])</f>
        <v>11</v>
      </c>
      <c r="O1922" s="1" t="str" cm="1">
        <f t="array" ref="O1922">_xlfn.IFS(orders[[#This Row],[Customer Gender]]="M","Male", orders[[#This Row],[Customer Gender]]="F","Female", orders[[#This Row],[Customer Gender]]="O","Other", TRUE,"Unknown")</f>
        <v>Male</v>
      </c>
    </row>
    <row r="1923" spans="1:15">
      <c r="A1923" s="1" t="s">
        <v>2023</v>
      </c>
      <c r="B1923" s="1" t="s">
        <v>42</v>
      </c>
      <c r="C1923" s="1">
        <v>2</v>
      </c>
      <c r="D1923" s="1">
        <v>57.7</v>
      </c>
      <c r="E1923" s="11">
        <v>115.4</v>
      </c>
      <c r="F1923" s="3">
        <v>45728</v>
      </c>
      <c r="G1923" s="3">
        <v>45730</v>
      </c>
      <c r="H1923" s="1" t="s">
        <v>23</v>
      </c>
      <c r="I1923" s="1" t="s">
        <v>70</v>
      </c>
      <c r="J1923" s="1">
        <v>3</v>
      </c>
      <c r="K1923" s="1" t="s">
        <v>19</v>
      </c>
      <c r="L1923" s="1" t="s">
        <v>72</v>
      </c>
      <c r="M1923" s="1">
        <f>orders[[#This Row],[Ship Date]]-orders[[#This Row],[Order Date]]</f>
        <v>2</v>
      </c>
      <c r="N1923" s="1">
        <f>WEEKNUM(orders[[#This Row],[Order Date]])</f>
        <v>11</v>
      </c>
      <c r="O1923" s="1" t="str" cm="1">
        <f t="array" ref="O1923">_xlfn.IFS(orders[[#This Row],[Customer Gender]]="M","Male", orders[[#This Row],[Customer Gender]]="F","Female", orders[[#This Row],[Customer Gender]]="O","Other", TRUE,"Unknown")</f>
        <v>Male</v>
      </c>
    </row>
    <row r="1924" spans="1:15">
      <c r="A1924" s="1" t="s">
        <v>2024</v>
      </c>
      <c r="B1924" s="1" t="s">
        <v>26</v>
      </c>
      <c r="C1924" s="1">
        <v>6</v>
      </c>
      <c r="D1924" s="1">
        <v>85.7</v>
      </c>
      <c r="E1924" s="11">
        <v>514.20000000000005</v>
      </c>
      <c r="F1924" s="3">
        <v>45728</v>
      </c>
      <c r="G1924" s="3">
        <v>45729</v>
      </c>
      <c r="H1924" s="1" t="s">
        <v>23</v>
      </c>
      <c r="I1924" s="1" t="s">
        <v>51</v>
      </c>
      <c r="J1924" s="1">
        <v>5</v>
      </c>
      <c r="K1924" s="1" t="s">
        <v>19</v>
      </c>
      <c r="L1924" s="1" t="s">
        <v>72</v>
      </c>
      <c r="M1924" s="1">
        <f>orders[[#This Row],[Ship Date]]-orders[[#This Row],[Order Date]]</f>
        <v>1</v>
      </c>
      <c r="N1924" s="1">
        <f>WEEKNUM(orders[[#This Row],[Order Date]])</f>
        <v>11</v>
      </c>
      <c r="O1924" s="1" t="str" cm="1">
        <f t="array" ref="O1924">_xlfn.IFS(orders[[#This Row],[Customer Gender]]="M","Male", orders[[#This Row],[Customer Gender]]="F","Female", orders[[#This Row],[Customer Gender]]="O","Other", TRUE,"Unknown")</f>
        <v>Male</v>
      </c>
    </row>
    <row r="1925" spans="1:15">
      <c r="A1925" s="1" t="s">
        <v>2025</v>
      </c>
      <c r="B1925" s="1" t="s">
        <v>26</v>
      </c>
      <c r="C1925" s="1">
        <v>3</v>
      </c>
      <c r="D1925" s="1">
        <v>86.9</v>
      </c>
      <c r="E1925" s="11">
        <v>260.70000000000005</v>
      </c>
      <c r="F1925" s="3">
        <v>45728</v>
      </c>
      <c r="G1925" s="3">
        <v>45730</v>
      </c>
      <c r="H1925" s="1" t="s">
        <v>27</v>
      </c>
      <c r="I1925" s="1" t="s">
        <v>35</v>
      </c>
      <c r="J1925" s="1">
        <v>4</v>
      </c>
      <c r="K1925" s="1" t="s">
        <v>19</v>
      </c>
      <c r="L1925" s="1" t="s">
        <v>77</v>
      </c>
      <c r="M1925" s="1">
        <f>orders[[#This Row],[Ship Date]]-orders[[#This Row],[Order Date]]</f>
        <v>2</v>
      </c>
      <c r="N1925" s="1">
        <f>WEEKNUM(orders[[#This Row],[Order Date]])</f>
        <v>11</v>
      </c>
      <c r="O1925" s="1" t="str" cm="1">
        <f t="array" ref="O1925">_xlfn.IFS(orders[[#This Row],[Customer Gender]]="M","Male", orders[[#This Row],[Customer Gender]]="F","Female", orders[[#This Row],[Customer Gender]]="O","Other", TRUE,"Unknown")</f>
        <v>Female</v>
      </c>
    </row>
    <row r="1926" spans="1:15">
      <c r="A1926" s="1" t="s">
        <v>2026</v>
      </c>
      <c r="B1926" s="1" t="s">
        <v>146</v>
      </c>
      <c r="C1926" s="1">
        <v>2</v>
      </c>
      <c r="D1926" s="1">
        <v>46.4</v>
      </c>
      <c r="E1926" s="11">
        <v>92.8</v>
      </c>
      <c r="F1926" s="3">
        <v>45728</v>
      </c>
      <c r="G1926" s="3">
        <v>45731</v>
      </c>
      <c r="H1926" s="1" t="s">
        <v>27</v>
      </c>
      <c r="I1926" s="1" t="s">
        <v>70</v>
      </c>
      <c r="J1926" s="1">
        <v>4</v>
      </c>
      <c r="K1926" s="1" t="s">
        <v>19</v>
      </c>
      <c r="L1926" s="1" t="s">
        <v>77</v>
      </c>
      <c r="M1926" s="1">
        <f>orders[[#This Row],[Ship Date]]-orders[[#This Row],[Order Date]]</f>
        <v>3</v>
      </c>
      <c r="N1926" s="1">
        <f>WEEKNUM(orders[[#This Row],[Order Date]])</f>
        <v>11</v>
      </c>
      <c r="O1926" s="1" t="str" cm="1">
        <f t="array" ref="O1926">_xlfn.IFS(orders[[#This Row],[Customer Gender]]="M","Male", orders[[#This Row],[Customer Gender]]="F","Female", orders[[#This Row],[Customer Gender]]="O","Other", TRUE,"Unknown")</f>
        <v>Female</v>
      </c>
    </row>
    <row r="1927" spans="1:15">
      <c r="A1927" s="1" t="s">
        <v>2027</v>
      </c>
      <c r="B1927" s="1" t="s">
        <v>37</v>
      </c>
      <c r="C1927" s="1">
        <v>3</v>
      </c>
      <c r="D1927" s="1">
        <v>25.4</v>
      </c>
      <c r="E1927" s="11">
        <v>76.199999999999989</v>
      </c>
      <c r="F1927" s="3">
        <v>45728</v>
      </c>
      <c r="G1927" s="3">
        <v>45728</v>
      </c>
      <c r="H1927" s="1" t="s">
        <v>27</v>
      </c>
      <c r="I1927" s="1" t="s">
        <v>40</v>
      </c>
      <c r="J1927" s="1">
        <v>5</v>
      </c>
      <c r="K1927" s="1" t="s">
        <v>19</v>
      </c>
      <c r="L1927" s="1" t="s">
        <v>108</v>
      </c>
      <c r="M1927" s="1">
        <f>orders[[#This Row],[Ship Date]]-orders[[#This Row],[Order Date]]</f>
        <v>0</v>
      </c>
      <c r="N1927" s="1">
        <f>WEEKNUM(orders[[#This Row],[Order Date]])</f>
        <v>11</v>
      </c>
      <c r="O1927" s="1" t="str" cm="1">
        <f t="array" ref="O1927">_xlfn.IFS(orders[[#This Row],[Customer Gender]]="M","Male", orders[[#This Row],[Customer Gender]]="F","Female", orders[[#This Row],[Customer Gender]]="O","Other", TRUE,"Unknown")</f>
        <v>Female</v>
      </c>
    </row>
    <row r="1928" spans="1:15">
      <c r="A1928" s="1" t="s">
        <v>2028</v>
      </c>
      <c r="B1928" s="1" t="s">
        <v>54</v>
      </c>
      <c r="C1928" s="1">
        <v>3</v>
      </c>
      <c r="D1928" s="1">
        <v>47.8</v>
      </c>
      <c r="E1928" s="11">
        <v>143.39999999999998</v>
      </c>
      <c r="F1928" s="3">
        <v>45728</v>
      </c>
      <c r="G1928" s="3">
        <v>45728</v>
      </c>
      <c r="H1928" s="1" t="s">
        <v>17</v>
      </c>
      <c r="I1928" s="1" t="s">
        <v>40</v>
      </c>
      <c r="J1928" s="1">
        <v>5</v>
      </c>
      <c r="K1928" s="1" t="s">
        <v>19</v>
      </c>
      <c r="L1928" s="1" t="s">
        <v>110</v>
      </c>
      <c r="M1928" s="1">
        <f>orders[[#This Row],[Ship Date]]-orders[[#This Row],[Order Date]]</f>
        <v>0</v>
      </c>
      <c r="N1928" s="1">
        <f>WEEKNUM(orders[[#This Row],[Order Date]])</f>
        <v>11</v>
      </c>
      <c r="O1928" s="1" t="str" cm="1">
        <f t="array" ref="O1928">_xlfn.IFS(orders[[#This Row],[Customer Gender]]="M","Male", orders[[#This Row],[Customer Gender]]="F","Female", orders[[#This Row],[Customer Gender]]="O","Other", TRUE,"Unknown")</f>
        <v>Unknown</v>
      </c>
    </row>
    <row r="1929" spans="1:15">
      <c r="A1929" s="1" t="s">
        <v>2029</v>
      </c>
      <c r="B1929" s="1" t="s">
        <v>44</v>
      </c>
      <c r="C1929" s="1">
        <v>19</v>
      </c>
      <c r="D1929" s="1">
        <v>18.399999999999999</v>
      </c>
      <c r="E1929" s="11">
        <v>349.59999999999997</v>
      </c>
      <c r="F1929" s="3">
        <v>45728</v>
      </c>
      <c r="G1929" s="3">
        <v>45730</v>
      </c>
      <c r="H1929" s="1" t="s">
        <v>89</v>
      </c>
      <c r="I1929" s="1" t="s">
        <v>40</v>
      </c>
      <c r="J1929" s="1">
        <v>4</v>
      </c>
      <c r="K1929" s="1" t="s">
        <v>19</v>
      </c>
      <c r="L1929" s="1" t="s">
        <v>113</v>
      </c>
      <c r="M1929" s="1">
        <f>orders[[#This Row],[Ship Date]]-orders[[#This Row],[Order Date]]</f>
        <v>2</v>
      </c>
      <c r="N1929" s="1">
        <f>WEEKNUM(orders[[#This Row],[Order Date]])</f>
        <v>11</v>
      </c>
      <c r="O1929" s="1" t="str" cm="1">
        <f t="array" ref="O1929">_xlfn.IFS(orders[[#This Row],[Customer Gender]]="M","Male", orders[[#This Row],[Customer Gender]]="F","Female", orders[[#This Row],[Customer Gender]]="O","Other", TRUE,"Unknown")</f>
        <v>Other</v>
      </c>
    </row>
    <row r="1930" spans="1:15">
      <c r="A1930" s="1" t="s">
        <v>2030</v>
      </c>
      <c r="B1930" s="1" t="s">
        <v>69</v>
      </c>
      <c r="C1930" s="1">
        <v>3</v>
      </c>
      <c r="D1930" s="1">
        <v>65.5</v>
      </c>
      <c r="E1930" s="11">
        <v>196.5</v>
      </c>
      <c r="F1930" s="3">
        <v>45728</v>
      </c>
      <c r="G1930" s="3">
        <v>45736</v>
      </c>
      <c r="H1930" s="1" t="s">
        <v>27</v>
      </c>
      <c r="I1930" s="1" t="s">
        <v>18</v>
      </c>
      <c r="J1930" s="1">
        <v>4</v>
      </c>
      <c r="K1930" s="1" t="s">
        <v>19</v>
      </c>
      <c r="L1930" s="1" t="s">
        <v>115</v>
      </c>
      <c r="M1930" s="1">
        <f>orders[[#This Row],[Ship Date]]-orders[[#This Row],[Order Date]]</f>
        <v>8</v>
      </c>
      <c r="N1930" s="1">
        <f>WEEKNUM(orders[[#This Row],[Order Date]])</f>
        <v>11</v>
      </c>
      <c r="O1930" s="1" t="str" cm="1">
        <f t="array" ref="O1930">_xlfn.IFS(orders[[#This Row],[Customer Gender]]="M","Male", orders[[#This Row],[Customer Gender]]="F","Female", orders[[#This Row],[Customer Gender]]="O","Other", TRUE,"Unknown")</f>
        <v>Female</v>
      </c>
    </row>
    <row r="1931" spans="1:15">
      <c r="A1931" s="1" t="s">
        <v>2031</v>
      </c>
      <c r="B1931" s="1" t="s">
        <v>54</v>
      </c>
      <c r="C1931" s="1">
        <v>2</v>
      </c>
      <c r="D1931" s="1">
        <v>50.6</v>
      </c>
      <c r="E1931" s="11">
        <v>101.2</v>
      </c>
      <c r="F1931" s="3">
        <v>45728</v>
      </c>
      <c r="G1931" s="3">
        <v>45731</v>
      </c>
      <c r="H1931" s="1" t="s">
        <v>23</v>
      </c>
      <c r="I1931" s="1" t="s">
        <v>40</v>
      </c>
      <c r="J1931" s="1">
        <v>2</v>
      </c>
      <c r="K1931" s="1" t="s">
        <v>19</v>
      </c>
      <c r="L1931" s="1" t="s">
        <v>115</v>
      </c>
      <c r="M1931" s="1">
        <f>orders[[#This Row],[Ship Date]]-orders[[#This Row],[Order Date]]</f>
        <v>3</v>
      </c>
      <c r="N1931" s="1">
        <f>WEEKNUM(orders[[#This Row],[Order Date]])</f>
        <v>11</v>
      </c>
      <c r="O1931" s="1" t="str" cm="1">
        <f t="array" ref="O1931">_xlfn.IFS(orders[[#This Row],[Customer Gender]]="M","Male", orders[[#This Row],[Customer Gender]]="F","Female", orders[[#This Row],[Customer Gender]]="O","Other", TRUE,"Unknown")</f>
        <v>Male</v>
      </c>
    </row>
    <row r="1932" spans="1:15">
      <c r="A1932" s="1" t="s">
        <v>2032</v>
      </c>
      <c r="B1932" s="1" t="s">
        <v>30</v>
      </c>
      <c r="C1932" s="1">
        <v>5</v>
      </c>
      <c r="D1932" s="1">
        <v>69</v>
      </c>
      <c r="E1932" s="11">
        <v>345</v>
      </c>
      <c r="F1932" s="3">
        <v>45728</v>
      </c>
      <c r="G1932" s="3">
        <v>45732</v>
      </c>
      <c r="H1932" s="1" t="s">
        <v>23</v>
      </c>
      <c r="I1932" s="1" t="s">
        <v>51</v>
      </c>
      <c r="J1932" s="1">
        <v>4</v>
      </c>
      <c r="K1932" s="1" t="s">
        <v>19</v>
      </c>
      <c r="L1932" s="1" t="s">
        <v>115</v>
      </c>
      <c r="M1932" s="1">
        <f>orders[[#This Row],[Ship Date]]-orders[[#This Row],[Order Date]]</f>
        <v>4</v>
      </c>
      <c r="N1932" s="1">
        <f>WEEKNUM(orders[[#This Row],[Order Date]])</f>
        <v>11</v>
      </c>
      <c r="O1932" s="1" t="str" cm="1">
        <f t="array" ref="O1932">_xlfn.IFS(orders[[#This Row],[Customer Gender]]="M","Male", orders[[#This Row],[Customer Gender]]="F","Female", orders[[#This Row],[Customer Gender]]="O","Other", TRUE,"Unknown")</f>
        <v>Male</v>
      </c>
    </row>
    <row r="1933" spans="1:15">
      <c r="A1933" s="1" t="s">
        <v>2033</v>
      </c>
      <c r="B1933" s="1" t="s">
        <v>46</v>
      </c>
      <c r="C1933" s="1">
        <v>8</v>
      </c>
      <c r="D1933" s="1">
        <v>51.1</v>
      </c>
      <c r="E1933" s="11">
        <v>408.8</v>
      </c>
      <c r="F1933" s="3">
        <v>45728</v>
      </c>
      <c r="G1933" s="3">
        <v>45730</v>
      </c>
      <c r="H1933" s="1" t="s">
        <v>27</v>
      </c>
      <c r="I1933" s="1" t="s">
        <v>18</v>
      </c>
      <c r="J1933" s="1">
        <v>4</v>
      </c>
      <c r="K1933" s="1" t="s">
        <v>19</v>
      </c>
      <c r="L1933" s="1" t="s">
        <v>24</v>
      </c>
      <c r="M1933" s="1">
        <f>orders[[#This Row],[Ship Date]]-orders[[#This Row],[Order Date]]</f>
        <v>2</v>
      </c>
      <c r="N1933" s="1">
        <f>WEEKNUM(orders[[#This Row],[Order Date]])</f>
        <v>11</v>
      </c>
      <c r="O1933" s="1" t="str" cm="1">
        <f t="array" ref="O1933">_xlfn.IFS(orders[[#This Row],[Customer Gender]]="M","Male", orders[[#This Row],[Customer Gender]]="F","Female", orders[[#This Row],[Customer Gender]]="O","Other", TRUE,"Unknown")</f>
        <v>Female</v>
      </c>
    </row>
    <row r="1934" spans="1:15">
      <c r="A1934" s="1" t="s">
        <v>2034</v>
      </c>
      <c r="B1934" s="1" t="s">
        <v>46</v>
      </c>
      <c r="C1934" s="1">
        <v>1</v>
      </c>
      <c r="D1934" s="1">
        <v>36.1</v>
      </c>
      <c r="E1934" s="11">
        <v>36.1</v>
      </c>
      <c r="F1934" s="3">
        <v>45728</v>
      </c>
      <c r="G1934" s="3">
        <v>45729</v>
      </c>
      <c r="H1934" s="1" t="s">
        <v>27</v>
      </c>
      <c r="I1934" s="1" t="s">
        <v>18</v>
      </c>
      <c r="J1934" s="1">
        <v>5</v>
      </c>
      <c r="K1934" s="1" t="s">
        <v>19</v>
      </c>
      <c r="L1934" s="1" t="s">
        <v>334</v>
      </c>
      <c r="M1934" s="1">
        <f>orders[[#This Row],[Ship Date]]-orders[[#This Row],[Order Date]]</f>
        <v>1</v>
      </c>
      <c r="N1934" s="1">
        <f>WEEKNUM(orders[[#This Row],[Order Date]])</f>
        <v>11</v>
      </c>
      <c r="O1934" s="1" t="str" cm="1">
        <f t="array" ref="O1934">_xlfn.IFS(orders[[#This Row],[Customer Gender]]="M","Male", orders[[#This Row],[Customer Gender]]="F","Female", orders[[#This Row],[Customer Gender]]="O","Other", TRUE,"Unknown")</f>
        <v>Female</v>
      </c>
    </row>
    <row r="1935" spans="1:15">
      <c r="A1935" s="1" t="s">
        <v>2035</v>
      </c>
      <c r="B1935" s="1" t="s">
        <v>81</v>
      </c>
      <c r="C1935" s="1">
        <v>1</v>
      </c>
      <c r="D1935" s="1">
        <v>18.7</v>
      </c>
      <c r="E1935" s="11">
        <v>18.7</v>
      </c>
      <c r="F1935" s="3">
        <v>45728</v>
      </c>
      <c r="G1935" s="3">
        <v>45729</v>
      </c>
      <c r="H1935" s="1" t="s">
        <v>23</v>
      </c>
      <c r="I1935" s="1" t="s">
        <v>18</v>
      </c>
      <c r="J1935" s="1">
        <v>4</v>
      </c>
      <c r="K1935" s="1" t="s">
        <v>19</v>
      </c>
      <c r="L1935" s="1" t="s">
        <v>33</v>
      </c>
      <c r="M1935" s="1">
        <f>orders[[#This Row],[Ship Date]]-orders[[#This Row],[Order Date]]</f>
        <v>1</v>
      </c>
      <c r="N1935" s="1">
        <f>WEEKNUM(orders[[#This Row],[Order Date]])</f>
        <v>11</v>
      </c>
      <c r="O1935" s="1" t="str" cm="1">
        <f t="array" ref="O1935">_xlfn.IFS(orders[[#This Row],[Customer Gender]]="M","Male", orders[[#This Row],[Customer Gender]]="F","Female", orders[[#This Row],[Customer Gender]]="O","Other", TRUE,"Unknown")</f>
        <v>Male</v>
      </c>
    </row>
    <row r="1936" spans="1:15">
      <c r="A1936" s="1" t="s">
        <v>2036</v>
      </c>
      <c r="B1936" s="1" t="s">
        <v>135</v>
      </c>
      <c r="C1936" s="1">
        <v>1</v>
      </c>
      <c r="D1936" s="1">
        <v>30.1</v>
      </c>
      <c r="E1936" s="11">
        <v>30.1</v>
      </c>
      <c r="F1936" s="3">
        <v>45728</v>
      </c>
      <c r="G1936" s="3">
        <v>45731</v>
      </c>
      <c r="H1936" s="1" t="s">
        <v>27</v>
      </c>
      <c r="I1936" s="1" t="s">
        <v>51</v>
      </c>
      <c r="J1936" s="1">
        <v>3</v>
      </c>
      <c r="K1936" s="1" t="s">
        <v>19</v>
      </c>
      <c r="L1936" s="1" t="s">
        <v>33</v>
      </c>
      <c r="M1936" s="1">
        <f>orders[[#This Row],[Ship Date]]-orders[[#This Row],[Order Date]]</f>
        <v>3</v>
      </c>
      <c r="N1936" s="1">
        <f>WEEKNUM(orders[[#This Row],[Order Date]])</f>
        <v>11</v>
      </c>
      <c r="O1936" s="1" t="str" cm="1">
        <f t="array" ref="O1936">_xlfn.IFS(orders[[#This Row],[Customer Gender]]="M","Male", orders[[#This Row],[Customer Gender]]="F","Female", orders[[#This Row],[Customer Gender]]="O","Other", TRUE,"Unknown")</f>
        <v>Female</v>
      </c>
    </row>
    <row r="1937" spans="1:15">
      <c r="A1937" s="1" t="s">
        <v>2037</v>
      </c>
      <c r="B1937" s="1" t="s">
        <v>44</v>
      </c>
      <c r="C1937" s="1">
        <v>1</v>
      </c>
      <c r="D1937" s="1">
        <v>16.3</v>
      </c>
      <c r="E1937" s="11">
        <v>16.3</v>
      </c>
      <c r="F1937" s="3">
        <v>45728</v>
      </c>
      <c r="G1937" s="3">
        <v>45729</v>
      </c>
      <c r="H1937" s="1" t="s">
        <v>23</v>
      </c>
      <c r="I1937" s="1" t="s">
        <v>51</v>
      </c>
      <c r="J1937" s="1">
        <v>4</v>
      </c>
      <c r="K1937" s="1" t="s">
        <v>19</v>
      </c>
      <c r="L1937" s="1" t="s">
        <v>33</v>
      </c>
      <c r="M1937" s="1">
        <f>orders[[#This Row],[Ship Date]]-orders[[#This Row],[Order Date]]</f>
        <v>1</v>
      </c>
      <c r="N1937" s="1">
        <f>WEEKNUM(orders[[#This Row],[Order Date]])</f>
        <v>11</v>
      </c>
      <c r="O1937" s="1" t="str" cm="1">
        <f t="array" ref="O1937">_xlfn.IFS(orders[[#This Row],[Customer Gender]]="M","Male", orders[[#This Row],[Customer Gender]]="F","Female", orders[[#This Row],[Customer Gender]]="O","Other", TRUE,"Unknown")</f>
        <v>Male</v>
      </c>
    </row>
    <row r="1938" spans="1:15">
      <c r="A1938" s="1" t="s">
        <v>2038</v>
      </c>
      <c r="B1938" s="1" t="s">
        <v>22</v>
      </c>
      <c r="C1938" s="1">
        <v>3</v>
      </c>
      <c r="D1938" s="1">
        <v>63.8</v>
      </c>
      <c r="E1938" s="11">
        <v>191.39999999999998</v>
      </c>
      <c r="F1938" s="3">
        <v>45728</v>
      </c>
      <c r="G1938" s="3">
        <v>45733</v>
      </c>
      <c r="H1938" s="1" t="s">
        <v>27</v>
      </c>
      <c r="I1938" s="1" t="s">
        <v>40</v>
      </c>
      <c r="J1938" s="1">
        <v>3</v>
      </c>
      <c r="K1938" s="1" t="s">
        <v>19</v>
      </c>
      <c r="L1938" s="1" t="s">
        <v>33</v>
      </c>
      <c r="M1938" s="1">
        <f>orders[[#This Row],[Ship Date]]-orders[[#This Row],[Order Date]]</f>
        <v>5</v>
      </c>
      <c r="N1938" s="1">
        <f>WEEKNUM(orders[[#This Row],[Order Date]])</f>
        <v>11</v>
      </c>
      <c r="O1938" s="1" t="str" cm="1">
        <f t="array" ref="O1938">_xlfn.IFS(orders[[#This Row],[Customer Gender]]="M","Male", orders[[#This Row],[Customer Gender]]="F","Female", orders[[#This Row],[Customer Gender]]="O","Other", TRUE,"Unknown")</f>
        <v>Female</v>
      </c>
    </row>
    <row r="1939" spans="1:15">
      <c r="A1939" s="1" t="s">
        <v>2039</v>
      </c>
      <c r="B1939" s="1" t="s">
        <v>22</v>
      </c>
      <c r="C1939" s="1">
        <v>7</v>
      </c>
      <c r="D1939" s="1">
        <v>73.900000000000006</v>
      </c>
      <c r="E1939" s="11">
        <v>517.30000000000007</v>
      </c>
      <c r="F1939" s="3">
        <v>45728</v>
      </c>
      <c r="G1939" s="3">
        <v>45728</v>
      </c>
      <c r="H1939" s="1" t="s">
        <v>27</v>
      </c>
      <c r="I1939" s="1" t="s">
        <v>18</v>
      </c>
      <c r="J1939" s="1">
        <v>3</v>
      </c>
      <c r="K1939" s="1" t="s">
        <v>19</v>
      </c>
      <c r="L1939" s="1" t="s">
        <v>33</v>
      </c>
      <c r="M1939" s="1">
        <f>orders[[#This Row],[Ship Date]]-orders[[#This Row],[Order Date]]</f>
        <v>0</v>
      </c>
      <c r="N1939" s="1">
        <f>WEEKNUM(orders[[#This Row],[Order Date]])</f>
        <v>11</v>
      </c>
      <c r="O1939" s="1" t="str" cm="1">
        <f t="array" ref="O1939">_xlfn.IFS(orders[[#This Row],[Customer Gender]]="M","Male", orders[[#This Row],[Customer Gender]]="F","Female", orders[[#This Row],[Customer Gender]]="O","Other", TRUE,"Unknown")</f>
        <v>Female</v>
      </c>
    </row>
    <row r="1940" spans="1:15">
      <c r="A1940" s="1" t="s">
        <v>2040</v>
      </c>
      <c r="B1940" s="1" t="s">
        <v>16</v>
      </c>
      <c r="C1940" s="1">
        <v>2</v>
      </c>
      <c r="D1940" s="1">
        <v>20.2</v>
      </c>
      <c r="E1940" s="11">
        <v>40.4</v>
      </c>
      <c r="F1940" s="3">
        <v>45728</v>
      </c>
      <c r="G1940" s="3">
        <v>45729</v>
      </c>
      <c r="H1940" s="1" t="s">
        <v>23</v>
      </c>
      <c r="I1940" s="1" t="s">
        <v>18</v>
      </c>
      <c r="J1940" s="1">
        <v>3</v>
      </c>
      <c r="K1940" s="1" t="s">
        <v>19</v>
      </c>
      <c r="L1940" s="1" t="s">
        <v>33</v>
      </c>
      <c r="M1940" s="1">
        <f>orders[[#This Row],[Ship Date]]-orders[[#This Row],[Order Date]]</f>
        <v>1</v>
      </c>
      <c r="N1940" s="1">
        <f>WEEKNUM(orders[[#This Row],[Order Date]])</f>
        <v>11</v>
      </c>
      <c r="O1940" s="1" t="str" cm="1">
        <f t="array" ref="O1940">_xlfn.IFS(orders[[#This Row],[Customer Gender]]="M","Male", orders[[#This Row],[Customer Gender]]="F","Female", orders[[#This Row],[Customer Gender]]="O","Other", TRUE,"Unknown")</f>
        <v>Male</v>
      </c>
    </row>
    <row r="1941" spans="1:15">
      <c r="A1941" s="1" t="s">
        <v>2041</v>
      </c>
      <c r="B1941" s="1" t="s">
        <v>67</v>
      </c>
      <c r="C1941" s="1">
        <v>11</v>
      </c>
      <c r="D1941" s="1">
        <v>29.5</v>
      </c>
      <c r="E1941" s="11">
        <v>324.5</v>
      </c>
      <c r="F1941" s="3">
        <v>45728</v>
      </c>
      <c r="G1941" s="3">
        <v>45729</v>
      </c>
      <c r="H1941" s="1" t="s">
        <v>23</v>
      </c>
      <c r="I1941" s="1" t="s">
        <v>18</v>
      </c>
      <c r="J1941" s="1">
        <v>4</v>
      </c>
      <c r="K1941" s="1" t="s">
        <v>19</v>
      </c>
      <c r="L1941" s="1" t="s">
        <v>33</v>
      </c>
      <c r="M1941" s="1">
        <f>orders[[#This Row],[Ship Date]]-orders[[#This Row],[Order Date]]</f>
        <v>1</v>
      </c>
      <c r="N1941" s="1">
        <f>WEEKNUM(orders[[#This Row],[Order Date]])</f>
        <v>11</v>
      </c>
      <c r="O1941" s="1" t="str" cm="1">
        <f t="array" ref="O1941">_xlfn.IFS(orders[[#This Row],[Customer Gender]]="M","Male", orders[[#This Row],[Customer Gender]]="F","Female", orders[[#This Row],[Customer Gender]]="O","Other", TRUE,"Unknown")</f>
        <v>Male</v>
      </c>
    </row>
    <row r="1942" spans="1:15">
      <c r="A1942" s="1" t="s">
        <v>2042</v>
      </c>
      <c r="B1942" s="1" t="s">
        <v>123</v>
      </c>
      <c r="C1942" s="1">
        <v>7</v>
      </c>
      <c r="D1942" s="1">
        <v>37.9</v>
      </c>
      <c r="E1942" s="11">
        <v>265.3</v>
      </c>
      <c r="F1942" s="3">
        <v>45728</v>
      </c>
      <c r="G1942" s="3">
        <v>45729</v>
      </c>
      <c r="H1942" s="1" t="s">
        <v>23</v>
      </c>
      <c r="I1942" s="1" t="s">
        <v>35</v>
      </c>
      <c r="J1942" s="1">
        <v>4</v>
      </c>
      <c r="K1942" s="1" t="s">
        <v>19</v>
      </c>
      <c r="L1942" s="1" t="s">
        <v>33</v>
      </c>
      <c r="M1942" s="1">
        <f>orders[[#This Row],[Ship Date]]-orders[[#This Row],[Order Date]]</f>
        <v>1</v>
      </c>
      <c r="N1942" s="1">
        <f>WEEKNUM(orders[[#This Row],[Order Date]])</f>
        <v>11</v>
      </c>
      <c r="O1942" s="1" t="str" cm="1">
        <f t="array" ref="O1942">_xlfn.IFS(orders[[#This Row],[Customer Gender]]="M","Male", orders[[#This Row],[Customer Gender]]="F","Female", orders[[#This Row],[Customer Gender]]="O","Other", TRUE,"Unknown")</f>
        <v>Male</v>
      </c>
    </row>
    <row r="1943" spans="1:15">
      <c r="A1943" s="1" t="s">
        <v>2043</v>
      </c>
      <c r="B1943" s="1" t="s">
        <v>26</v>
      </c>
      <c r="C1943" s="1">
        <v>1</v>
      </c>
      <c r="D1943" s="1">
        <v>56.5</v>
      </c>
      <c r="E1943" s="11">
        <v>56.5</v>
      </c>
      <c r="F1943" s="3">
        <v>45728</v>
      </c>
      <c r="G1943" s="3">
        <v>45729</v>
      </c>
      <c r="H1943" s="1" t="s">
        <v>27</v>
      </c>
      <c r="I1943" s="1" t="s">
        <v>40</v>
      </c>
      <c r="J1943" s="1">
        <v>3</v>
      </c>
      <c r="K1943" s="1" t="s">
        <v>19</v>
      </c>
      <c r="L1943" s="1" t="s">
        <v>33</v>
      </c>
      <c r="M1943" s="1">
        <f>orders[[#This Row],[Ship Date]]-orders[[#This Row],[Order Date]]</f>
        <v>1</v>
      </c>
      <c r="N1943" s="1">
        <f>WEEKNUM(orders[[#This Row],[Order Date]])</f>
        <v>11</v>
      </c>
      <c r="O1943" s="1" t="str" cm="1">
        <f t="array" ref="O1943">_xlfn.IFS(orders[[#This Row],[Customer Gender]]="M","Male", orders[[#This Row],[Customer Gender]]="F","Female", orders[[#This Row],[Customer Gender]]="O","Other", TRUE,"Unknown")</f>
        <v>Female</v>
      </c>
    </row>
    <row r="1944" spans="1:15">
      <c r="A1944" s="1" t="s">
        <v>2044</v>
      </c>
      <c r="B1944" s="1" t="s">
        <v>26</v>
      </c>
      <c r="C1944" s="1">
        <v>2</v>
      </c>
      <c r="D1944" s="1">
        <v>66.900000000000006</v>
      </c>
      <c r="E1944" s="11">
        <v>133.80000000000001</v>
      </c>
      <c r="F1944" s="3">
        <v>45728</v>
      </c>
      <c r="G1944" s="3">
        <v>45734</v>
      </c>
      <c r="H1944" s="1" t="s">
        <v>23</v>
      </c>
      <c r="I1944" s="1" t="s">
        <v>35</v>
      </c>
      <c r="J1944" s="1">
        <v>2</v>
      </c>
      <c r="K1944" s="1" t="s">
        <v>19</v>
      </c>
      <c r="L1944" s="1" t="s">
        <v>188</v>
      </c>
      <c r="M1944" s="1">
        <f>orders[[#This Row],[Ship Date]]-orders[[#This Row],[Order Date]]</f>
        <v>6</v>
      </c>
      <c r="N1944" s="1">
        <f>WEEKNUM(orders[[#This Row],[Order Date]])</f>
        <v>11</v>
      </c>
      <c r="O1944" s="1" t="str" cm="1">
        <f t="array" ref="O1944">_xlfn.IFS(orders[[#This Row],[Customer Gender]]="M","Male", orders[[#This Row],[Customer Gender]]="F","Female", orders[[#This Row],[Customer Gender]]="O","Other", TRUE,"Unknown")</f>
        <v>Male</v>
      </c>
    </row>
    <row r="1945" spans="1:15">
      <c r="A1945" s="1" t="s">
        <v>2045</v>
      </c>
      <c r="B1945" s="1" t="s">
        <v>26</v>
      </c>
      <c r="C1945" s="1">
        <v>5</v>
      </c>
      <c r="D1945" s="1">
        <v>51.9</v>
      </c>
      <c r="E1945" s="11">
        <v>259.5</v>
      </c>
      <c r="F1945" s="3">
        <v>45728</v>
      </c>
      <c r="G1945" s="3">
        <v>45731</v>
      </c>
      <c r="H1945" s="1" t="s">
        <v>23</v>
      </c>
      <c r="I1945" s="1" t="s">
        <v>35</v>
      </c>
      <c r="J1945" s="1">
        <v>4</v>
      </c>
      <c r="K1945" s="1" t="s">
        <v>19</v>
      </c>
      <c r="L1945" s="1" t="s">
        <v>59</v>
      </c>
      <c r="M1945" s="1">
        <f>orders[[#This Row],[Ship Date]]-orders[[#This Row],[Order Date]]</f>
        <v>3</v>
      </c>
      <c r="N1945" s="1">
        <f>WEEKNUM(orders[[#This Row],[Order Date]])</f>
        <v>11</v>
      </c>
      <c r="O1945" s="1" t="str" cm="1">
        <f t="array" ref="O1945">_xlfn.IFS(orders[[#This Row],[Customer Gender]]="M","Male", orders[[#This Row],[Customer Gender]]="F","Female", orders[[#This Row],[Customer Gender]]="O","Other", TRUE,"Unknown")</f>
        <v>Male</v>
      </c>
    </row>
    <row r="1946" spans="1:15">
      <c r="A1946" s="1" t="s">
        <v>2046</v>
      </c>
      <c r="B1946" s="1" t="s">
        <v>26</v>
      </c>
      <c r="C1946" s="1">
        <v>2</v>
      </c>
      <c r="D1946" s="1">
        <v>75.599999999999994</v>
      </c>
      <c r="E1946" s="11">
        <v>151.19999999999999</v>
      </c>
      <c r="F1946" s="3">
        <v>45728</v>
      </c>
      <c r="G1946" s="3">
        <v>45731</v>
      </c>
      <c r="H1946" s="1" t="s">
        <v>23</v>
      </c>
      <c r="I1946" s="1" t="s">
        <v>35</v>
      </c>
      <c r="J1946" s="1">
        <v>4</v>
      </c>
      <c r="K1946" s="1" t="s">
        <v>19</v>
      </c>
      <c r="L1946" s="1" t="s">
        <v>62</v>
      </c>
      <c r="M1946" s="1">
        <f>orders[[#This Row],[Ship Date]]-orders[[#This Row],[Order Date]]</f>
        <v>3</v>
      </c>
      <c r="N1946" s="1">
        <f>WEEKNUM(orders[[#This Row],[Order Date]])</f>
        <v>11</v>
      </c>
      <c r="O1946" s="1" t="str" cm="1">
        <f t="array" ref="O1946">_xlfn.IFS(orders[[#This Row],[Customer Gender]]="M","Male", orders[[#This Row],[Customer Gender]]="F","Female", orders[[#This Row],[Customer Gender]]="O","Other", TRUE,"Unknown")</f>
        <v>Male</v>
      </c>
    </row>
    <row r="1947" spans="1:15">
      <c r="A1947" s="1" t="s">
        <v>2047</v>
      </c>
      <c r="B1947" s="1" t="s">
        <v>69</v>
      </c>
      <c r="C1947" s="1">
        <v>6</v>
      </c>
      <c r="D1947" s="1">
        <v>47.3</v>
      </c>
      <c r="E1947" s="11">
        <v>283.79999999999995</v>
      </c>
      <c r="F1947" s="3">
        <v>45728</v>
      </c>
      <c r="G1947" s="3">
        <v>45739</v>
      </c>
      <c r="H1947" s="1" t="s">
        <v>23</v>
      </c>
      <c r="I1947" s="1" t="s">
        <v>18</v>
      </c>
      <c r="J1947" s="1">
        <v>4</v>
      </c>
      <c r="K1947" s="1" t="s">
        <v>19</v>
      </c>
      <c r="L1947" s="1" t="s">
        <v>62</v>
      </c>
      <c r="M1947" s="1">
        <f>orders[[#This Row],[Ship Date]]-orders[[#This Row],[Order Date]]</f>
        <v>11</v>
      </c>
      <c r="N1947" s="1">
        <f>WEEKNUM(orders[[#This Row],[Order Date]])</f>
        <v>11</v>
      </c>
      <c r="O1947" s="1" t="str" cm="1">
        <f t="array" ref="O1947">_xlfn.IFS(orders[[#This Row],[Customer Gender]]="M","Male", orders[[#This Row],[Customer Gender]]="F","Female", orders[[#This Row],[Customer Gender]]="O","Other", TRUE,"Unknown")</f>
        <v>Male</v>
      </c>
    </row>
    <row r="1948" spans="1:15">
      <c r="A1948" s="1" t="s">
        <v>2048</v>
      </c>
      <c r="B1948" s="1" t="s">
        <v>32</v>
      </c>
      <c r="C1948" s="1">
        <v>1</v>
      </c>
      <c r="D1948" s="1">
        <v>20.6</v>
      </c>
      <c r="E1948" s="11">
        <v>20.6</v>
      </c>
      <c r="F1948" s="3">
        <v>45728</v>
      </c>
      <c r="G1948" s="3">
        <v>45729</v>
      </c>
      <c r="H1948" s="1" t="s">
        <v>17</v>
      </c>
      <c r="I1948" s="1" t="s">
        <v>18</v>
      </c>
      <c r="J1948" s="1">
        <v>3</v>
      </c>
      <c r="K1948" s="1" t="s">
        <v>19</v>
      </c>
      <c r="L1948" s="1" t="s">
        <v>62</v>
      </c>
      <c r="M1948" s="1">
        <f>orders[[#This Row],[Ship Date]]-orders[[#This Row],[Order Date]]</f>
        <v>1</v>
      </c>
      <c r="N1948" s="1">
        <f>WEEKNUM(orders[[#This Row],[Order Date]])</f>
        <v>11</v>
      </c>
      <c r="O1948" s="1" t="str" cm="1">
        <f t="array" ref="O1948">_xlfn.IFS(orders[[#This Row],[Customer Gender]]="M","Male", orders[[#This Row],[Customer Gender]]="F","Female", orders[[#This Row],[Customer Gender]]="O","Other", TRUE,"Unknown")</f>
        <v>Unknown</v>
      </c>
    </row>
    <row r="1949" spans="1:15">
      <c r="A1949" s="1" t="s">
        <v>2049</v>
      </c>
      <c r="B1949" s="1" t="s">
        <v>39</v>
      </c>
      <c r="C1949" s="1">
        <v>3</v>
      </c>
      <c r="D1949" s="1">
        <v>49.7</v>
      </c>
      <c r="E1949" s="11">
        <v>149.10000000000002</v>
      </c>
      <c r="F1949" s="3">
        <v>45728</v>
      </c>
      <c r="G1949" s="3">
        <v>45730</v>
      </c>
      <c r="H1949" s="1" t="s">
        <v>23</v>
      </c>
      <c r="I1949" s="1" t="s">
        <v>18</v>
      </c>
      <c r="J1949" s="1">
        <v>3</v>
      </c>
      <c r="K1949" s="1" t="s">
        <v>19</v>
      </c>
      <c r="L1949" s="1" t="s">
        <v>62</v>
      </c>
      <c r="M1949" s="1">
        <f>orders[[#This Row],[Ship Date]]-orders[[#This Row],[Order Date]]</f>
        <v>2</v>
      </c>
      <c r="N1949" s="1">
        <f>WEEKNUM(orders[[#This Row],[Order Date]])</f>
        <v>11</v>
      </c>
      <c r="O1949" s="1" t="str" cm="1">
        <f t="array" ref="O1949">_xlfn.IFS(orders[[#This Row],[Customer Gender]]="M","Male", orders[[#This Row],[Customer Gender]]="F","Female", orders[[#This Row],[Customer Gender]]="O","Other", TRUE,"Unknown")</f>
        <v>Male</v>
      </c>
    </row>
    <row r="1950" spans="1:15">
      <c r="A1950" s="1" t="s">
        <v>2050</v>
      </c>
      <c r="B1950" s="1" t="s">
        <v>30</v>
      </c>
      <c r="C1950" s="1">
        <v>1</v>
      </c>
      <c r="D1950" s="1">
        <v>37.9</v>
      </c>
      <c r="E1950" s="11">
        <v>37.9</v>
      </c>
      <c r="F1950" s="3">
        <v>45728</v>
      </c>
      <c r="G1950" s="3">
        <v>45730</v>
      </c>
      <c r="H1950" s="1" t="s">
        <v>27</v>
      </c>
      <c r="I1950" s="1" t="s">
        <v>18</v>
      </c>
      <c r="J1950" s="1">
        <v>4</v>
      </c>
      <c r="K1950" s="1" t="s">
        <v>19</v>
      </c>
      <c r="L1950" s="1" t="s">
        <v>62</v>
      </c>
      <c r="M1950" s="1">
        <f>orders[[#This Row],[Ship Date]]-orders[[#This Row],[Order Date]]</f>
        <v>2</v>
      </c>
      <c r="N1950" s="1">
        <f>WEEKNUM(orders[[#This Row],[Order Date]])</f>
        <v>11</v>
      </c>
      <c r="O1950" s="1" t="str" cm="1">
        <f t="array" ref="O1950">_xlfn.IFS(orders[[#This Row],[Customer Gender]]="M","Male", orders[[#This Row],[Customer Gender]]="F","Female", orders[[#This Row],[Customer Gender]]="O","Other", TRUE,"Unknown")</f>
        <v>Female</v>
      </c>
    </row>
    <row r="1951" spans="1:15">
      <c r="A1951" s="1" t="s">
        <v>2051</v>
      </c>
      <c r="B1951" s="1" t="s">
        <v>76</v>
      </c>
      <c r="C1951" s="1">
        <v>15</v>
      </c>
      <c r="D1951" s="1">
        <v>32</v>
      </c>
      <c r="E1951" s="11">
        <v>480</v>
      </c>
      <c r="F1951" s="3">
        <v>45728</v>
      </c>
      <c r="G1951" s="3">
        <v>45730</v>
      </c>
      <c r="H1951" s="1" t="s">
        <v>27</v>
      </c>
      <c r="I1951" s="1" t="s">
        <v>70</v>
      </c>
      <c r="J1951" s="1">
        <v>4</v>
      </c>
      <c r="K1951" s="1" t="s">
        <v>19</v>
      </c>
      <c r="L1951" s="1" t="s">
        <v>77</v>
      </c>
      <c r="M1951" s="1">
        <f>orders[[#This Row],[Ship Date]]-orders[[#This Row],[Order Date]]</f>
        <v>2</v>
      </c>
      <c r="N1951" s="1">
        <f>WEEKNUM(orders[[#This Row],[Order Date]])</f>
        <v>11</v>
      </c>
      <c r="O1951" s="1" t="str" cm="1">
        <f t="array" ref="O1951">_xlfn.IFS(orders[[#This Row],[Customer Gender]]="M","Male", orders[[#This Row],[Customer Gender]]="F","Female", orders[[#This Row],[Customer Gender]]="O","Other", TRUE,"Unknown")</f>
        <v>Female</v>
      </c>
    </row>
    <row r="1952" spans="1:15">
      <c r="A1952" s="1" t="s">
        <v>2052</v>
      </c>
      <c r="B1952" s="1" t="s">
        <v>54</v>
      </c>
      <c r="C1952" s="1">
        <v>18</v>
      </c>
      <c r="D1952" s="1">
        <v>38.5</v>
      </c>
      <c r="E1952" s="11">
        <v>693</v>
      </c>
      <c r="F1952" s="3">
        <v>45729</v>
      </c>
      <c r="G1952" s="3">
        <v>45730</v>
      </c>
      <c r="H1952" s="1" t="s">
        <v>23</v>
      </c>
      <c r="I1952" s="1" t="s">
        <v>18</v>
      </c>
      <c r="J1952" s="1">
        <v>5</v>
      </c>
      <c r="K1952" s="1" t="s">
        <v>19</v>
      </c>
      <c r="L1952" s="1" t="s">
        <v>77</v>
      </c>
      <c r="M1952" s="1">
        <f>orders[[#This Row],[Ship Date]]-orders[[#This Row],[Order Date]]</f>
        <v>1</v>
      </c>
      <c r="N1952" s="1">
        <f>WEEKNUM(orders[[#This Row],[Order Date]])</f>
        <v>11</v>
      </c>
      <c r="O1952" s="1" t="str" cm="1">
        <f t="array" ref="O1952">_xlfn.IFS(orders[[#This Row],[Customer Gender]]="M","Male", orders[[#This Row],[Customer Gender]]="F","Female", orders[[#This Row],[Customer Gender]]="O","Other", TRUE,"Unknown")</f>
        <v>Male</v>
      </c>
    </row>
    <row r="1953" spans="1:15">
      <c r="A1953" s="1" t="s">
        <v>2053</v>
      </c>
      <c r="B1953" s="1" t="s">
        <v>16</v>
      </c>
      <c r="C1953" s="1">
        <v>4</v>
      </c>
      <c r="D1953" s="1">
        <v>11.7</v>
      </c>
      <c r="E1953" s="11">
        <v>46.8</v>
      </c>
      <c r="F1953" s="3">
        <v>45729</v>
      </c>
      <c r="G1953" s="3">
        <v>45731</v>
      </c>
      <c r="H1953" s="1" t="s">
        <v>27</v>
      </c>
      <c r="I1953" s="1" t="s">
        <v>35</v>
      </c>
      <c r="J1953" s="1">
        <v>4</v>
      </c>
      <c r="K1953" s="1" t="s">
        <v>19</v>
      </c>
      <c r="L1953" s="1" t="s">
        <v>113</v>
      </c>
      <c r="M1953" s="1">
        <f>orders[[#This Row],[Ship Date]]-orders[[#This Row],[Order Date]]</f>
        <v>2</v>
      </c>
      <c r="N1953" s="1">
        <f>WEEKNUM(orders[[#This Row],[Order Date]])</f>
        <v>11</v>
      </c>
      <c r="O1953" s="1" t="str" cm="1">
        <f t="array" ref="O1953">_xlfn.IFS(orders[[#This Row],[Customer Gender]]="M","Male", orders[[#This Row],[Customer Gender]]="F","Female", orders[[#This Row],[Customer Gender]]="O","Other", TRUE,"Unknown")</f>
        <v>Female</v>
      </c>
    </row>
    <row r="1954" spans="1:15">
      <c r="A1954" s="1" t="s">
        <v>2054</v>
      </c>
      <c r="B1954" s="1" t="s">
        <v>30</v>
      </c>
      <c r="C1954" s="1">
        <v>6</v>
      </c>
      <c r="D1954" s="1">
        <v>83.8</v>
      </c>
      <c r="E1954" s="11">
        <v>502.79999999999995</v>
      </c>
      <c r="F1954" s="3">
        <v>45729</v>
      </c>
      <c r="G1954" s="3">
        <v>45730</v>
      </c>
      <c r="H1954" s="1" t="s">
        <v>23</v>
      </c>
      <c r="I1954" s="1" t="s">
        <v>18</v>
      </c>
      <c r="J1954" s="1">
        <v>4</v>
      </c>
      <c r="K1954" s="1" t="s">
        <v>19</v>
      </c>
      <c r="L1954" s="1" t="s">
        <v>115</v>
      </c>
      <c r="M1954" s="1">
        <f>orders[[#This Row],[Ship Date]]-orders[[#This Row],[Order Date]]</f>
        <v>1</v>
      </c>
      <c r="N1954" s="1">
        <f>WEEKNUM(orders[[#This Row],[Order Date]])</f>
        <v>11</v>
      </c>
      <c r="O1954" s="1" t="str" cm="1">
        <f t="array" ref="O1954">_xlfn.IFS(orders[[#This Row],[Customer Gender]]="M","Male", orders[[#This Row],[Customer Gender]]="F","Female", orders[[#This Row],[Customer Gender]]="O","Other", TRUE,"Unknown")</f>
        <v>Male</v>
      </c>
    </row>
    <row r="1955" spans="1:15">
      <c r="A1955" s="1" t="s">
        <v>2055</v>
      </c>
      <c r="B1955" s="1" t="s">
        <v>16</v>
      </c>
      <c r="C1955" s="1">
        <v>7</v>
      </c>
      <c r="D1955" s="1">
        <v>14</v>
      </c>
      <c r="E1955" s="11">
        <v>98</v>
      </c>
      <c r="F1955" s="3">
        <v>45729</v>
      </c>
      <c r="G1955" s="3">
        <v>45732</v>
      </c>
      <c r="H1955" s="1" t="s">
        <v>23</v>
      </c>
      <c r="I1955" s="1" t="s">
        <v>18</v>
      </c>
      <c r="J1955" s="1">
        <v>3</v>
      </c>
      <c r="K1955" s="1" t="s">
        <v>19</v>
      </c>
      <c r="L1955" s="1" t="s">
        <v>147</v>
      </c>
      <c r="M1955" s="1">
        <f>orders[[#This Row],[Ship Date]]-orders[[#This Row],[Order Date]]</f>
        <v>3</v>
      </c>
      <c r="N1955" s="1">
        <f>WEEKNUM(orders[[#This Row],[Order Date]])</f>
        <v>11</v>
      </c>
      <c r="O1955" s="1" t="str" cm="1">
        <f t="array" ref="O1955">_xlfn.IFS(orders[[#This Row],[Customer Gender]]="M","Male", orders[[#This Row],[Customer Gender]]="F","Female", orders[[#This Row],[Customer Gender]]="O","Other", TRUE,"Unknown")</f>
        <v>Male</v>
      </c>
    </row>
    <row r="1956" spans="1:15">
      <c r="A1956" s="1" t="s">
        <v>2056</v>
      </c>
      <c r="B1956" s="1" t="s">
        <v>128</v>
      </c>
      <c r="C1956" s="1">
        <v>4</v>
      </c>
      <c r="D1956" s="1">
        <v>77.3</v>
      </c>
      <c r="E1956" s="11">
        <v>309.2</v>
      </c>
      <c r="F1956" s="3">
        <v>45729</v>
      </c>
      <c r="G1956" s="3">
        <v>45731</v>
      </c>
      <c r="H1956" s="1" t="s">
        <v>27</v>
      </c>
      <c r="I1956" s="1" t="s">
        <v>70</v>
      </c>
      <c r="J1956" s="1">
        <v>5</v>
      </c>
      <c r="K1956" s="1" t="s">
        <v>19</v>
      </c>
      <c r="L1956" s="1" t="s">
        <v>33</v>
      </c>
      <c r="M1956" s="1">
        <f>orders[[#This Row],[Ship Date]]-orders[[#This Row],[Order Date]]</f>
        <v>2</v>
      </c>
      <c r="N1956" s="1">
        <f>WEEKNUM(orders[[#This Row],[Order Date]])</f>
        <v>11</v>
      </c>
      <c r="O1956" s="1" t="str" cm="1">
        <f t="array" ref="O1956">_xlfn.IFS(orders[[#This Row],[Customer Gender]]="M","Male", orders[[#This Row],[Customer Gender]]="F","Female", orders[[#This Row],[Customer Gender]]="O","Other", TRUE,"Unknown")</f>
        <v>Female</v>
      </c>
    </row>
    <row r="1957" spans="1:15">
      <c r="A1957" s="1" t="s">
        <v>2057</v>
      </c>
      <c r="B1957" s="1" t="s">
        <v>26</v>
      </c>
      <c r="C1957" s="1">
        <v>2</v>
      </c>
      <c r="D1957" s="1">
        <v>76.900000000000006</v>
      </c>
      <c r="E1957" s="11">
        <v>153.80000000000001</v>
      </c>
      <c r="F1957" s="3">
        <v>45729</v>
      </c>
      <c r="G1957" s="3">
        <v>45733</v>
      </c>
      <c r="H1957" s="1" t="s">
        <v>27</v>
      </c>
      <c r="I1957" s="1" t="s">
        <v>18</v>
      </c>
      <c r="J1957" s="1">
        <v>3</v>
      </c>
      <c r="K1957" s="1" t="s">
        <v>19</v>
      </c>
      <c r="L1957" s="1" t="s">
        <v>33</v>
      </c>
      <c r="M1957" s="1">
        <f>orders[[#This Row],[Ship Date]]-orders[[#This Row],[Order Date]]</f>
        <v>4</v>
      </c>
      <c r="N1957" s="1">
        <f>WEEKNUM(orders[[#This Row],[Order Date]])</f>
        <v>11</v>
      </c>
      <c r="O1957" s="1" t="str" cm="1">
        <f t="array" ref="O1957">_xlfn.IFS(orders[[#This Row],[Customer Gender]]="M","Male", orders[[#This Row],[Customer Gender]]="F","Female", orders[[#This Row],[Customer Gender]]="O","Other", TRUE,"Unknown")</f>
        <v>Female</v>
      </c>
    </row>
    <row r="1958" spans="1:15">
      <c r="A1958" s="1" t="s">
        <v>2058</v>
      </c>
      <c r="B1958" s="1" t="s">
        <v>22</v>
      </c>
      <c r="C1958" s="1">
        <v>1</v>
      </c>
      <c r="D1958" s="1">
        <v>48</v>
      </c>
      <c r="E1958" s="11">
        <v>48</v>
      </c>
      <c r="F1958" s="3">
        <v>45729</v>
      </c>
      <c r="G1958" s="3">
        <v>45731</v>
      </c>
      <c r="H1958" s="1" t="s">
        <v>27</v>
      </c>
      <c r="I1958" s="1" t="s">
        <v>35</v>
      </c>
      <c r="J1958" s="1">
        <v>5</v>
      </c>
      <c r="K1958" s="1" t="s">
        <v>19</v>
      </c>
      <c r="L1958" s="1" t="s">
        <v>33</v>
      </c>
      <c r="M1958" s="1">
        <f>orders[[#This Row],[Ship Date]]-orders[[#This Row],[Order Date]]</f>
        <v>2</v>
      </c>
      <c r="N1958" s="1">
        <f>WEEKNUM(orders[[#This Row],[Order Date]])</f>
        <v>11</v>
      </c>
      <c r="O1958" s="1" t="str" cm="1">
        <f t="array" ref="O1958">_xlfn.IFS(orders[[#This Row],[Customer Gender]]="M","Male", orders[[#This Row],[Customer Gender]]="F","Female", orders[[#This Row],[Customer Gender]]="O","Other", TRUE,"Unknown")</f>
        <v>Female</v>
      </c>
    </row>
    <row r="1959" spans="1:15">
      <c r="A1959" s="1" t="s">
        <v>2059</v>
      </c>
      <c r="B1959" s="1" t="s">
        <v>26</v>
      </c>
      <c r="C1959" s="1">
        <v>1</v>
      </c>
      <c r="D1959" s="1">
        <v>94.5</v>
      </c>
      <c r="E1959" s="11">
        <v>94.5</v>
      </c>
      <c r="F1959" s="3">
        <v>45729</v>
      </c>
      <c r="G1959" s="3">
        <v>45732</v>
      </c>
      <c r="H1959" s="1" t="s">
        <v>23</v>
      </c>
      <c r="I1959" s="1" t="s">
        <v>35</v>
      </c>
      <c r="J1959" s="1">
        <v>3</v>
      </c>
      <c r="K1959" s="1" t="s">
        <v>19</v>
      </c>
      <c r="L1959" s="1" t="s">
        <v>33</v>
      </c>
      <c r="M1959" s="1">
        <f>orders[[#This Row],[Ship Date]]-orders[[#This Row],[Order Date]]</f>
        <v>3</v>
      </c>
      <c r="N1959" s="1">
        <f>WEEKNUM(orders[[#This Row],[Order Date]])</f>
        <v>11</v>
      </c>
      <c r="O1959" s="1" t="str" cm="1">
        <f t="array" ref="O1959">_xlfn.IFS(orders[[#This Row],[Customer Gender]]="M","Male", orders[[#This Row],[Customer Gender]]="F","Female", orders[[#This Row],[Customer Gender]]="O","Other", TRUE,"Unknown")</f>
        <v>Male</v>
      </c>
    </row>
    <row r="1960" spans="1:15">
      <c r="A1960" s="1" t="s">
        <v>2060</v>
      </c>
      <c r="B1960" s="1" t="s">
        <v>54</v>
      </c>
      <c r="C1960" s="1">
        <v>3</v>
      </c>
      <c r="D1960" s="1">
        <v>58.4</v>
      </c>
      <c r="E1960" s="11">
        <v>175.2</v>
      </c>
      <c r="F1960" s="3">
        <v>45729</v>
      </c>
      <c r="G1960" s="3">
        <v>45731</v>
      </c>
      <c r="H1960" s="1" t="s">
        <v>27</v>
      </c>
      <c r="I1960" s="1" t="s">
        <v>35</v>
      </c>
      <c r="J1960" s="1">
        <v>5</v>
      </c>
      <c r="K1960" s="1" t="s">
        <v>19</v>
      </c>
      <c r="L1960" s="1" t="s">
        <v>33</v>
      </c>
      <c r="M1960" s="1">
        <f>orders[[#This Row],[Ship Date]]-orders[[#This Row],[Order Date]]</f>
        <v>2</v>
      </c>
      <c r="N1960" s="1">
        <f>WEEKNUM(orders[[#This Row],[Order Date]])</f>
        <v>11</v>
      </c>
      <c r="O1960" s="1" t="str" cm="1">
        <f t="array" ref="O1960">_xlfn.IFS(orders[[#This Row],[Customer Gender]]="M","Male", orders[[#This Row],[Customer Gender]]="F","Female", orders[[#This Row],[Customer Gender]]="O","Other", TRUE,"Unknown")</f>
        <v>Female</v>
      </c>
    </row>
    <row r="1961" spans="1:15">
      <c r="A1961" s="1" t="s">
        <v>2061</v>
      </c>
      <c r="B1961" s="1" t="s">
        <v>42</v>
      </c>
      <c r="C1961" s="1">
        <v>13</v>
      </c>
      <c r="D1961" s="1">
        <v>42.2</v>
      </c>
      <c r="E1961" s="11">
        <v>548.6</v>
      </c>
      <c r="F1961" s="3">
        <v>45729</v>
      </c>
      <c r="G1961" s="3">
        <v>45729</v>
      </c>
      <c r="H1961" s="1" t="s">
        <v>23</v>
      </c>
      <c r="I1961" s="1" t="s">
        <v>18</v>
      </c>
      <c r="J1961" s="1">
        <v>4</v>
      </c>
      <c r="K1961" s="1" t="s">
        <v>19</v>
      </c>
      <c r="L1961" s="1" t="s">
        <v>188</v>
      </c>
      <c r="M1961" s="1">
        <f>orders[[#This Row],[Ship Date]]-orders[[#This Row],[Order Date]]</f>
        <v>0</v>
      </c>
      <c r="N1961" s="1">
        <f>WEEKNUM(orders[[#This Row],[Order Date]])</f>
        <v>11</v>
      </c>
      <c r="O1961" s="1" t="str" cm="1">
        <f t="array" ref="O1961">_xlfn.IFS(orders[[#This Row],[Customer Gender]]="M","Male", orders[[#This Row],[Customer Gender]]="F","Female", orders[[#This Row],[Customer Gender]]="O","Other", TRUE,"Unknown")</f>
        <v>Male</v>
      </c>
    </row>
    <row r="1962" spans="1:15">
      <c r="A1962" s="1" t="s">
        <v>2062</v>
      </c>
      <c r="B1962" s="1" t="s">
        <v>39</v>
      </c>
      <c r="C1962" s="1">
        <v>2</v>
      </c>
      <c r="D1962" s="1">
        <v>152.19999999999999</v>
      </c>
      <c r="E1962" s="11">
        <v>304.39999999999998</v>
      </c>
      <c r="F1962" s="3">
        <v>45729</v>
      </c>
      <c r="G1962" s="3">
        <v>45730</v>
      </c>
      <c r="H1962" s="1" t="s">
        <v>23</v>
      </c>
      <c r="I1962" s="1" t="s">
        <v>70</v>
      </c>
      <c r="J1962" s="1">
        <v>3</v>
      </c>
      <c r="K1962" s="1" t="s">
        <v>19</v>
      </c>
      <c r="L1962" s="1" t="s">
        <v>188</v>
      </c>
      <c r="M1962" s="1">
        <f>orders[[#This Row],[Ship Date]]-orders[[#This Row],[Order Date]]</f>
        <v>1</v>
      </c>
      <c r="N1962" s="1">
        <f>WEEKNUM(orders[[#This Row],[Order Date]])</f>
        <v>11</v>
      </c>
      <c r="O1962" s="1" t="str" cm="1">
        <f t="array" ref="O1962">_xlfn.IFS(orders[[#This Row],[Customer Gender]]="M","Male", orders[[#This Row],[Customer Gender]]="F","Female", orders[[#This Row],[Customer Gender]]="O","Other", TRUE,"Unknown")</f>
        <v>Male</v>
      </c>
    </row>
    <row r="1963" spans="1:15">
      <c r="A1963" s="1" t="s">
        <v>2063</v>
      </c>
      <c r="B1963" s="1" t="s">
        <v>39</v>
      </c>
      <c r="C1963" s="1">
        <v>24</v>
      </c>
      <c r="D1963" s="1">
        <v>72</v>
      </c>
      <c r="E1963" s="11">
        <v>1728</v>
      </c>
      <c r="F1963" s="3">
        <v>45729</v>
      </c>
      <c r="G1963" s="3">
        <v>45730</v>
      </c>
      <c r="H1963" s="1" t="s">
        <v>23</v>
      </c>
      <c r="I1963" s="1" t="s">
        <v>18</v>
      </c>
      <c r="J1963" s="1">
        <v>3</v>
      </c>
      <c r="K1963" s="1" t="s">
        <v>19</v>
      </c>
      <c r="L1963" s="1" t="s">
        <v>55</v>
      </c>
      <c r="M1963" s="1">
        <f>orders[[#This Row],[Ship Date]]-orders[[#This Row],[Order Date]]</f>
        <v>1</v>
      </c>
      <c r="N1963" s="1">
        <f>WEEKNUM(orders[[#This Row],[Order Date]])</f>
        <v>11</v>
      </c>
      <c r="O1963" s="1" t="str" cm="1">
        <f t="array" ref="O1963">_xlfn.IFS(orders[[#This Row],[Customer Gender]]="M","Male", orders[[#This Row],[Customer Gender]]="F","Female", orders[[#This Row],[Customer Gender]]="O","Other", TRUE,"Unknown")</f>
        <v>Male</v>
      </c>
    </row>
    <row r="1964" spans="1:15">
      <c r="A1964" s="1" t="s">
        <v>2064</v>
      </c>
      <c r="B1964" s="1" t="s">
        <v>22</v>
      </c>
      <c r="C1964" s="1">
        <v>23</v>
      </c>
      <c r="D1964" s="1">
        <v>70.900000000000006</v>
      </c>
      <c r="E1964" s="11">
        <v>1630.7</v>
      </c>
      <c r="F1964" s="3">
        <v>45729</v>
      </c>
      <c r="G1964" s="3">
        <v>45730</v>
      </c>
      <c r="H1964" s="1" t="s">
        <v>27</v>
      </c>
      <c r="I1964" s="1" t="s">
        <v>40</v>
      </c>
      <c r="J1964" s="1">
        <v>4</v>
      </c>
      <c r="K1964" s="1" t="s">
        <v>19</v>
      </c>
      <c r="L1964" s="1" t="s">
        <v>62</v>
      </c>
      <c r="M1964" s="1">
        <f>orders[[#This Row],[Ship Date]]-orders[[#This Row],[Order Date]]</f>
        <v>1</v>
      </c>
      <c r="N1964" s="1">
        <f>WEEKNUM(orders[[#This Row],[Order Date]])</f>
        <v>11</v>
      </c>
      <c r="O1964" s="1" t="str" cm="1">
        <f t="array" ref="O1964">_xlfn.IFS(orders[[#This Row],[Customer Gender]]="M","Male", orders[[#This Row],[Customer Gender]]="F","Female", orders[[#This Row],[Customer Gender]]="O","Other", TRUE,"Unknown")</f>
        <v>Female</v>
      </c>
    </row>
    <row r="1965" spans="1:15">
      <c r="A1965" s="1" t="s">
        <v>2065</v>
      </c>
      <c r="B1965" s="1" t="s">
        <v>26</v>
      </c>
      <c r="C1965" s="1">
        <v>2</v>
      </c>
      <c r="D1965" s="1">
        <v>53.7</v>
      </c>
      <c r="E1965" s="11">
        <v>107.4</v>
      </c>
      <c r="F1965" s="3">
        <v>45729</v>
      </c>
      <c r="G1965" s="3">
        <v>45730</v>
      </c>
      <c r="H1965" s="1" t="s">
        <v>23</v>
      </c>
      <c r="I1965" s="1" t="s">
        <v>40</v>
      </c>
      <c r="J1965" s="1">
        <v>5</v>
      </c>
      <c r="K1965" s="1" t="s">
        <v>19</v>
      </c>
      <c r="L1965" s="1" t="s">
        <v>62</v>
      </c>
      <c r="M1965" s="1">
        <f>orders[[#This Row],[Ship Date]]-orders[[#This Row],[Order Date]]</f>
        <v>1</v>
      </c>
      <c r="N1965" s="1">
        <f>WEEKNUM(orders[[#This Row],[Order Date]])</f>
        <v>11</v>
      </c>
      <c r="O1965" s="1" t="str" cm="1">
        <f t="array" ref="O1965">_xlfn.IFS(orders[[#This Row],[Customer Gender]]="M","Male", orders[[#This Row],[Customer Gender]]="F","Female", orders[[#This Row],[Customer Gender]]="O","Other", TRUE,"Unknown")</f>
        <v>Male</v>
      </c>
    </row>
    <row r="1966" spans="1:15">
      <c r="A1966" s="1" t="s">
        <v>2066</v>
      </c>
      <c r="B1966" s="1" t="s">
        <v>46</v>
      </c>
      <c r="C1966" s="1">
        <v>4</v>
      </c>
      <c r="D1966" s="1">
        <v>42.9</v>
      </c>
      <c r="E1966" s="11">
        <v>171.6</v>
      </c>
      <c r="F1966" s="3">
        <v>45729</v>
      </c>
      <c r="G1966" s="3">
        <v>45730</v>
      </c>
      <c r="H1966" s="1" t="s">
        <v>27</v>
      </c>
      <c r="I1966" s="1" t="s">
        <v>40</v>
      </c>
      <c r="J1966" s="1">
        <v>2</v>
      </c>
      <c r="K1966" s="1" t="s">
        <v>19</v>
      </c>
      <c r="L1966" s="1" t="s">
        <v>72</v>
      </c>
      <c r="M1966" s="1">
        <f>orders[[#This Row],[Ship Date]]-orders[[#This Row],[Order Date]]</f>
        <v>1</v>
      </c>
      <c r="N1966" s="1">
        <f>WEEKNUM(orders[[#This Row],[Order Date]])</f>
        <v>11</v>
      </c>
      <c r="O1966" s="1" t="str" cm="1">
        <f t="array" ref="O1966">_xlfn.IFS(orders[[#This Row],[Customer Gender]]="M","Male", orders[[#This Row],[Customer Gender]]="F","Female", orders[[#This Row],[Customer Gender]]="O","Other", TRUE,"Unknown")</f>
        <v>Female</v>
      </c>
    </row>
    <row r="1967" spans="1:15">
      <c r="A1967" s="1" t="s">
        <v>2067</v>
      </c>
      <c r="B1967" s="1" t="s">
        <v>26</v>
      </c>
      <c r="C1967" s="1">
        <v>7</v>
      </c>
      <c r="D1967" s="1">
        <v>107.5</v>
      </c>
      <c r="E1967" s="11">
        <v>752.5</v>
      </c>
      <c r="F1967" s="3">
        <v>45729</v>
      </c>
      <c r="G1967" s="3">
        <v>45730</v>
      </c>
      <c r="H1967" s="1" t="s">
        <v>23</v>
      </c>
      <c r="I1967" s="1" t="s">
        <v>35</v>
      </c>
      <c r="J1967" s="1">
        <v>4</v>
      </c>
      <c r="K1967" s="1" t="s">
        <v>19</v>
      </c>
      <c r="L1967" s="1" t="s">
        <v>77</v>
      </c>
      <c r="M1967" s="1">
        <f>orders[[#This Row],[Ship Date]]-orders[[#This Row],[Order Date]]</f>
        <v>1</v>
      </c>
      <c r="N1967" s="1">
        <f>WEEKNUM(orders[[#This Row],[Order Date]])</f>
        <v>11</v>
      </c>
      <c r="O1967" s="1" t="str" cm="1">
        <f t="array" ref="O1967">_xlfn.IFS(orders[[#This Row],[Customer Gender]]="M","Male", orders[[#This Row],[Customer Gender]]="F","Female", orders[[#This Row],[Customer Gender]]="O","Other", TRUE,"Unknown")</f>
        <v>Male</v>
      </c>
    </row>
    <row r="1968" spans="1:15">
      <c r="A1968" s="1" t="s">
        <v>2068</v>
      </c>
      <c r="B1968" s="1" t="s">
        <v>135</v>
      </c>
      <c r="C1968" s="1">
        <v>16</v>
      </c>
      <c r="D1968" s="1">
        <v>21.5</v>
      </c>
      <c r="E1968" s="11">
        <v>344</v>
      </c>
      <c r="F1968" s="3">
        <v>45729</v>
      </c>
      <c r="G1968" s="3">
        <v>45730</v>
      </c>
      <c r="H1968" s="1" t="s">
        <v>23</v>
      </c>
      <c r="I1968" s="1" t="s">
        <v>35</v>
      </c>
      <c r="J1968" s="1">
        <v>3</v>
      </c>
      <c r="K1968" s="1" t="s">
        <v>19</v>
      </c>
      <c r="L1968" s="1" t="s">
        <v>309</v>
      </c>
      <c r="M1968" s="1">
        <f>orders[[#This Row],[Ship Date]]-orders[[#This Row],[Order Date]]</f>
        <v>1</v>
      </c>
      <c r="N1968" s="1">
        <f>WEEKNUM(orders[[#This Row],[Order Date]])</f>
        <v>11</v>
      </c>
      <c r="O1968" s="1" t="str" cm="1">
        <f t="array" ref="O1968">_xlfn.IFS(orders[[#This Row],[Customer Gender]]="M","Male", orders[[#This Row],[Customer Gender]]="F","Female", orders[[#This Row],[Customer Gender]]="O","Other", TRUE,"Unknown")</f>
        <v>Male</v>
      </c>
    </row>
    <row r="1969" spans="1:15">
      <c r="A1969" s="1" t="s">
        <v>2069</v>
      </c>
      <c r="B1969" s="1" t="s">
        <v>30</v>
      </c>
      <c r="C1969" s="1">
        <v>5</v>
      </c>
      <c r="D1969" s="1">
        <v>85.3</v>
      </c>
      <c r="E1969" s="11">
        <v>426.5</v>
      </c>
      <c r="F1969" s="3">
        <v>45729</v>
      </c>
      <c r="G1969" s="3">
        <v>45731</v>
      </c>
      <c r="H1969" s="1" t="s">
        <v>27</v>
      </c>
      <c r="I1969" s="1" t="s">
        <v>51</v>
      </c>
      <c r="J1969" s="1">
        <v>4</v>
      </c>
      <c r="K1969" s="1" t="s">
        <v>19</v>
      </c>
      <c r="L1969" s="1" t="s">
        <v>108</v>
      </c>
      <c r="M1969" s="1">
        <f>orders[[#This Row],[Ship Date]]-orders[[#This Row],[Order Date]]</f>
        <v>2</v>
      </c>
      <c r="N1969" s="1">
        <f>WEEKNUM(orders[[#This Row],[Order Date]])</f>
        <v>11</v>
      </c>
      <c r="O1969" s="1" t="str" cm="1">
        <f t="array" ref="O1969">_xlfn.IFS(orders[[#This Row],[Customer Gender]]="M","Male", orders[[#This Row],[Customer Gender]]="F","Female", orders[[#This Row],[Customer Gender]]="O","Other", TRUE,"Unknown")</f>
        <v>Female</v>
      </c>
    </row>
    <row r="1970" spans="1:15">
      <c r="A1970" s="1" t="s">
        <v>2070</v>
      </c>
      <c r="B1970" s="1" t="s">
        <v>42</v>
      </c>
      <c r="C1970" s="1">
        <v>5</v>
      </c>
      <c r="D1970" s="1">
        <v>80.8</v>
      </c>
      <c r="E1970" s="11">
        <v>404</v>
      </c>
      <c r="F1970" s="3">
        <v>45729</v>
      </c>
      <c r="G1970" s="3">
        <v>45737</v>
      </c>
      <c r="H1970" s="1" t="s">
        <v>89</v>
      </c>
      <c r="I1970" s="1" t="s">
        <v>35</v>
      </c>
      <c r="J1970" s="1">
        <v>3</v>
      </c>
      <c r="K1970" s="1" t="s">
        <v>19</v>
      </c>
      <c r="L1970" s="1" t="s">
        <v>110</v>
      </c>
      <c r="M1970" s="1">
        <f>orders[[#This Row],[Ship Date]]-orders[[#This Row],[Order Date]]</f>
        <v>8</v>
      </c>
      <c r="N1970" s="1">
        <f>WEEKNUM(orders[[#This Row],[Order Date]])</f>
        <v>11</v>
      </c>
      <c r="O1970" s="1" t="str" cm="1">
        <f t="array" ref="O1970">_xlfn.IFS(orders[[#This Row],[Customer Gender]]="M","Male", orders[[#This Row],[Customer Gender]]="F","Female", orders[[#This Row],[Customer Gender]]="O","Other", TRUE,"Unknown")</f>
        <v>Other</v>
      </c>
    </row>
    <row r="1971" spans="1:15">
      <c r="A1971" s="1" t="s">
        <v>2071</v>
      </c>
      <c r="B1971" s="1" t="s">
        <v>26</v>
      </c>
      <c r="C1971" s="1">
        <v>3</v>
      </c>
      <c r="D1971" s="1">
        <v>123.1</v>
      </c>
      <c r="E1971" s="11">
        <v>369.29999999999995</v>
      </c>
      <c r="F1971" s="3">
        <v>45729</v>
      </c>
      <c r="G1971" s="3">
        <v>45731</v>
      </c>
      <c r="H1971" s="1" t="s">
        <v>17</v>
      </c>
      <c r="I1971" s="1" t="s">
        <v>40</v>
      </c>
      <c r="J1971" s="1">
        <v>4</v>
      </c>
      <c r="K1971" s="1" t="s">
        <v>19</v>
      </c>
      <c r="L1971" s="1" t="s">
        <v>115</v>
      </c>
      <c r="M1971" s="1">
        <f>orders[[#This Row],[Ship Date]]-orders[[#This Row],[Order Date]]</f>
        <v>2</v>
      </c>
      <c r="N1971" s="1">
        <f>WEEKNUM(orders[[#This Row],[Order Date]])</f>
        <v>11</v>
      </c>
      <c r="O1971" s="1" t="str" cm="1">
        <f t="array" ref="O1971">_xlfn.IFS(orders[[#This Row],[Customer Gender]]="M","Male", orders[[#This Row],[Customer Gender]]="F","Female", orders[[#This Row],[Customer Gender]]="O","Other", TRUE,"Unknown")</f>
        <v>Unknown</v>
      </c>
    </row>
    <row r="1972" spans="1:15">
      <c r="A1972" s="1" t="s">
        <v>2072</v>
      </c>
      <c r="B1972" s="1" t="s">
        <v>44</v>
      </c>
      <c r="C1972" s="1">
        <v>2</v>
      </c>
      <c r="D1972" s="1">
        <v>36.9</v>
      </c>
      <c r="E1972" s="11">
        <v>73.8</v>
      </c>
      <c r="F1972" s="3">
        <v>45729</v>
      </c>
      <c r="G1972" s="3">
        <v>45731</v>
      </c>
      <c r="H1972" s="1" t="s">
        <v>27</v>
      </c>
      <c r="I1972" s="1" t="s">
        <v>40</v>
      </c>
      <c r="J1972" s="1">
        <v>2</v>
      </c>
      <c r="K1972" s="1" t="s">
        <v>19</v>
      </c>
      <c r="L1972" s="1" t="s">
        <v>967</v>
      </c>
      <c r="M1972" s="1">
        <f>orders[[#This Row],[Ship Date]]-orders[[#This Row],[Order Date]]</f>
        <v>2</v>
      </c>
      <c r="N1972" s="1">
        <f>WEEKNUM(orders[[#This Row],[Order Date]])</f>
        <v>11</v>
      </c>
      <c r="O1972" s="1" t="str" cm="1">
        <f t="array" ref="O1972">_xlfn.IFS(orders[[#This Row],[Customer Gender]]="M","Male", orders[[#This Row],[Customer Gender]]="F","Female", orders[[#This Row],[Customer Gender]]="O","Other", TRUE,"Unknown")</f>
        <v>Female</v>
      </c>
    </row>
    <row r="1973" spans="1:15">
      <c r="A1973" s="1" t="s">
        <v>2073</v>
      </c>
      <c r="B1973" s="1" t="s">
        <v>67</v>
      </c>
      <c r="C1973" s="1">
        <v>5</v>
      </c>
      <c r="D1973" s="1">
        <v>40</v>
      </c>
      <c r="E1973" s="11">
        <v>200</v>
      </c>
      <c r="F1973" s="3">
        <v>45729</v>
      </c>
      <c r="G1973" s="3">
        <v>45730</v>
      </c>
      <c r="H1973" s="1" t="s">
        <v>23</v>
      </c>
      <c r="I1973" s="1" t="s">
        <v>18</v>
      </c>
      <c r="J1973" s="1">
        <v>4</v>
      </c>
      <c r="K1973" s="1" t="s">
        <v>19</v>
      </c>
      <c r="L1973" s="1" t="s">
        <v>24</v>
      </c>
      <c r="M1973" s="1">
        <f>orders[[#This Row],[Ship Date]]-orders[[#This Row],[Order Date]]</f>
        <v>1</v>
      </c>
      <c r="N1973" s="1">
        <f>WEEKNUM(orders[[#This Row],[Order Date]])</f>
        <v>11</v>
      </c>
      <c r="O1973" s="1" t="str" cm="1">
        <f t="array" ref="O1973">_xlfn.IFS(orders[[#This Row],[Customer Gender]]="M","Male", orders[[#This Row],[Customer Gender]]="F","Female", orders[[#This Row],[Customer Gender]]="O","Other", TRUE,"Unknown")</f>
        <v>Male</v>
      </c>
    </row>
    <row r="1974" spans="1:15">
      <c r="A1974" s="1" t="s">
        <v>2074</v>
      </c>
      <c r="B1974" s="1" t="s">
        <v>39</v>
      </c>
      <c r="C1974" s="1">
        <v>3</v>
      </c>
      <c r="D1974" s="1">
        <v>55.5</v>
      </c>
      <c r="E1974" s="11">
        <v>166.5</v>
      </c>
      <c r="F1974" s="3">
        <v>45729</v>
      </c>
      <c r="G1974" s="3">
        <v>45730</v>
      </c>
      <c r="H1974" s="1" t="s">
        <v>23</v>
      </c>
      <c r="I1974" s="1" t="s">
        <v>70</v>
      </c>
      <c r="J1974" s="1">
        <v>5</v>
      </c>
      <c r="K1974" s="1" t="s">
        <v>19</v>
      </c>
      <c r="L1974" s="1" t="s">
        <v>24</v>
      </c>
      <c r="M1974" s="1">
        <f>orders[[#This Row],[Ship Date]]-orders[[#This Row],[Order Date]]</f>
        <v>1</v>
      </c>
      <c r="N1974" s="1">
        <f>WEEKNUM(orders[[#This Row],[Order Date]])</f>
        <v>11</v>
      </c>
      <c r="O1974" s="1" t="str" cm="1">
        <f t="array" ref="O1974">_xlfn.IFS(orders[[#This Row],[Customer Gender]]="M","Male", orders[[#This Row],[Customer Gender]]="F","Female", orders[[#This Row],[Customer Gender]]="O","Other", TRUE,"Unknown")</f>
        <v>Male</v>
      </c>
    </row>
    <row r="1975" spans="1:15">
      <c r="A1975" s="1" t="s">
        <v>2075</v>
      </c>
      <c r="B1975" s="1" t="s">
        <v>16</v>
      </c>
      <c r="C1975" s="1">
        <v>4</v>
      </c>
      <c r="D1975" s="1">
        <v>20.5</v>
      </c>
      <c r="E1975" s="11">
        <v>82</v>
      </c>
      <c r="F1975" s="3">
        <v>45729</v>
      </c>
      <c r="G1975" s="3">
        <v>45733</v>
      </c>
      <c r="H1975" s="1" t="s">
        <v>27</v>
      </c>
      <c r="I1975" s="1" t="s">
        <v>70</v>
      </c>
      <c r="J1975" s="1">
        <v>4</v>
      </c>
      <c r="K1975" s="1" t="s">
        <v>19</v>
      </c>
      <c r="L1975" s="1" t="s">
        <v>24</v>
      </c>
      <c r="M1975" s="1">
        <f>orders[[#This Row],[Ship Date]]-orders[[#This Row],[Order Date]]</f>
        <v>4</v>
      </c>
      <c r="N1975" s="1">
        <f>WEEKNUM(orders[[#This Row],[Order Date]])</f>
        <v>11</v>
      </c>
      <c r="O1975" s="1" t="str" cm="1">
        <f t="array" ref="O1975">_xlfn.IFS(orders[[#This Row],[Customer Gender]]="M","Male", orders[[#This Row],[Customer Gender]]="F","Female", orders[[#This Row],[Customer Gender]]="O","Other", TRUE,"Unknown")</f>
        <v>Female</v>
      </c>
    </row>
    <row r="1976" spans="1:15">
      <c r="A1976" s="1" t="s">
        <v>2076</v>
      </c>
      <c r="B1976" s="1" t="s">
        <v>146</v>
      </c>
      <c r="C1976" s="1">
        <v>4</v>
      </c>
      <c r="D1976" s="1">
        <v>50.1</v>
      </c>
      <c r="E1976" s="11">
        <v>200.4</v>
      </c>
      <c r="F1976" s="3">
        <v>45729</v>
      </c>
      <c r="G1976" s="3">
        <v>45730</v>
      </c>
      <c r="H1976" s="1" t="s">
        <v>27</v>
      </c>
      <c r="I1976" s="1" t="s">
        <v>70</v>
      </c>
      <c r="J1976" s="1">
        <v>4</v>
      </c>
      <c r="K1976" s="1" t="s">
        <v>19</v>
      </c>
      <c r="L1976" s="1" t="s">
        <v>24</v>
      </c>
      <c r="M1976" s="1">
        <f>orders[[#This Row],[Ship Date]]-orders[[#This Row],[Order Date]]</f>
        <v>1</v>
      </c>
      <c r="N1976" s="1">
        <f>WEEKNUM(orders[[#This Row],[Order Date]])</f>
        <v>11</v>
      </c>
      <c r="O1976" s="1" t="str" cm="1">
        <f t="array" ref="O1976">_xlfn.IFS(orders[[#This Row],[Customer Gender]]="M","Male", orders[[#This Row],[Customer Gender]]="F","Female", orders[[#This Row],[Customer Gender]]="O","Other", TRUE,"Unknown")</f>
        <v>Female</v>
      </c>
    </row>
    <row r="1977" spans="1:15">
      <c r="A1977" s="1" t="s">
        <v>2077</v>
      </c>
      <c r="B1977" s="1" t="s">
        <v>46</v>
      </c>
      <c r="C1977" s="1">
        <v>1</v>
      </c>
      <c r="D1977" s="1">
        <v>35.9</v>
      </c>
      <c r="E1977" s="11">
        <v>35.9</v>
      </c>
      <c r="F1977" s="3">
        <v>45729</v>
      </c>
      <c r="G1977" s="3">
        <v>45731</v>
      </c>
      <c r="H1977" s="1" t="s">
        <v>23</v>
      </c>
      <c r="I1977" s="1" t="s">
        <v>35</v>
      </c>
      <c r="J1977" s="1">
        <v>5</v>
      </c>
      <c r="K1977" s="1" t="s">
        <v>19</v>
      </c>
      <c r="L1977" s="1" t="s">
        <v>24</v>
      </c>
      <c r="M1977" s="1">
        <f>orders[[#This Row],[Ship Date]]-orders[[#This Row],[Order Date]]</f>
        <v>2</v>
      </c>
      <c r="N1977" s="1">
        <f>WEEKNUM(orders[[#This Row],[Order Date]])</f>
        <v>11</v>
      </c>
      <c r="O1977" s="1" t="str" cm="1">
        <f t="array" ref="O1977">_xlfn.IFS(orders[[#This Row],[Customer Gender]]="M","Male", orders[[#This Row],[Customer Gender]]="F","Female", orders[[#This Row],[Customer Gender]]="O","Other", TRUE,"Unknown")</f>
        <v>Male</v>
      </c>
    </row>
    <row r="1978" spans="1:15">
      <c r="A1978" s="1" t="s">
        <v>2078</v>
      </c>
      <c r="B1978" s="1" t="s">
        <v>76</v>
      </c>
      <c r="C1978" s="1">
        <v>4</v>
      </c>
      <c r="D1978" s="1">
        <v>29.4</v>
      </c>
      <c r="E1978" s="11">
        <v>117.6</v>
      </c>
      <c r="F1978" s="3">
        <v>45730</v>
      </c>
      <c r="G1978" s="3">
        <v>45731</v>
      </c>
      <c r="H1978" s="1" t="s">
        <v>23</v>
      </c>
      <c r="I1978" s="1" t="s">
        <v>40</v>
      </c>
      <c r="J1978" s="1">
        <v>5</v>
      </c>
      <c r="K1978" s="1" t="s">
        <v>19</v>
      </c>
      <c r="L1978" s="1" t="s">
        <v>331</v>
      </c>
      <c r="M1978" s="1">
        <f>orders[[#This Row],[Ship Date]]-orders[[#This Row],[Order Date]]</f>
        <v>1</v>
      </c>
      <c r="N1978" s="1">
        <f>WEEKNUM(orders[[#This Row],[Order Date]])</f>
        <v>11</v>
      </c>
      <c r="O1978" s="1" t="str" cm="1">
        <f t="array" ref="O1978">_xlfn.IFS(orders[[#This Row],[Customer Gender]]="M","Male", orders[[#This Row],[Customer Gender]]="F","Female", orders[[#This Row],[Customer Gender]]="O","Other", TRUE,"Unknown")</f>
        <v>Male</v>
      </c>
    </row>
    <row r="1979" spans="1:15">
      <c r="A1979" s="1" t="s">
        <v>2079</v>
      </c>
      <c r="B1979" s="1" t="s">
        <v>44</v>
      </c>
      <c r="C1979" s="1">
        <v>5</v>
      </c>
      <c r="D1979" s="1">
        <v>29.1</v>
      </c>
      <c r="E1979" s="11">
        <v>145.5</v>
      </c>
      <c r="F1979" s="3">
        <v>45730</v>
      </c>
      <c r="G1979" s="3">
        <v>45738</v>
      </c>
      <c r="H1979" s="1" t="s">
        <v>89</v>
      </c>
      <c r="I1979" s="1" t="s">
        <v>40</v>
      </c>
      <c r="J1979" s="1">
        <v>3</v>
      </c>
      <c r="K1979" s="1" t="s">
        <v>19</v>
      </c>
      <c r="L1979" s="1" t="s">
        <v>331</v>
      </c>
      <c r="M1979" s="1">
        <f>orders[[#This Row],[Ship Date]]-orders[[#This Row],[Order Date]]</f>
        <v>8</v>
      </c>
      <c r="N1979" s="1">
        <f>WEEKNUM(orders[[#This Row],[Order Date]])</f>
        <v>11</v>
      </c>
      <c r="O1979" s="1" t="str" cm="1">
        <f t="array" ref="O1979">_xlfn.IFS(orders[[#This Row],[Customer Gender]]="M","Male", orders[[#This Row],[Customer Gender]]="F","Female", orders[[#This Row],[Customer Gender]]="O","Other", TRUE,"Unknown")</f>
        <v>Other</v>
      </c>
    </row>
    <row r="1980" spans="1:15">
      <c r="A1980" s="1" t="s">
        <v>2080</v>
      </c>
      <c r="B1980" s="1" t="s">
        <v>44</v>
      </c>
      <c r="C1980" s="1">
        <v>3</v>
      </c>
      <c r="D1980" s="1">
        <v>33.5</v>
      </c>
      <c r="E1980" s="11">
        <v>100.5</v>
      </c>
      <c r="F1980" s="3">
        <v>45730</v>
      </c>
      <c r="G1980" s="3">
        <v>45742</v>
      </c>
      <c r="H1980" s="1" t="s">
        <v>23</v>
      </c>
      <c r="I1980" s="1" t="s">
        <v>18</v>
      </c>
      <c r="J1980" s="1">
        <v>5</v>
      </c>
      <c r="K1980" s="1" t="s">
        <v>19</v>
      </c>
      <c r="L1980" s="1" t="s">
        <v>147</v>
      </c>
      <c r="M1980" s="1">
        <f>orders[[#This Row],[Ship Date]]-orders[[#This Row],[Order Date]]</f>
        <v>12</v>
      </c>
      <c r="N1980" s="1">
        <f>WEEKNUM(orders[[#This Row],[Order Date]])</f>
        <v>11</v>
      </c>
      <c r="O1980" s="1" t="str" cm="1">
        <f t="array" ref="O1980">_xlfn.IFS(orders[[#This Row],[Customer Gender]]="M","Male", orders[[#This Row],[Customer Gender]]="F","Female", orders[[#This Row],[Customer Gender]]="O","Other", TRUE,"Unknown")</f>
        <v>Male</v>
      </c>
    </row>
    <row r="1981" spans="1:15">
      <c r="A1981" s="1" t="s">
        <v>2081</v>
      </c>
      <c r="B1981" s="1" t="s">
        <v>32</v>
      </c>
      <c r="C1981" s="1">
        <v>10</v>
      </c>
      <c r="D1981" s="1">
        <v>36</v>
      </c>
      <c r="E1981" s="11">
        <v>360</v>
      </c>
      <c r="F1981" s="3">
        <v>45730</v>
      </c>
      <c r="G1981" s="3">
        <v>45730</v>
      </c>
      <c r="H1981" s="1" t="s">
        <v>23</v>
      </c>
      <c r="I1981" s="1" t="s">
        <v>51</v>
      </c>
      <c r="J1981" s="1">
        <v>5</v>
      </c>
      <c r="K1981" s="1" t="s">
        <v>19</v>
      </c>
      <c r="L1981" s="1" t="s">
        <v>33</v>
      </c>
      <c r="M1981" s="1">
        <f>orders[[#This Row],[Ship Date]]-orders[[#This Row],[Order Date]]</f>
        <v>0</v>
      </c>
      <c r="N1981" s="1">
        <f>WEEKNUM(orders[[#This Row],[Order Date]])</f>
        <v>11</v>
      </c>
      <c r="O1981" s="1" t="str" cm="1">
        <f t="array" ref="O1981">_xlfn.IFS(orders[[#This Row],[Customer Gender]]="M","Male", orders[[#This Row],[Customer Gender]]="F","Female", orders[[#This Row],[Customer Gender]]="O","Other", TRUE,"Unknown")</f>
        <v>Male</v>
      </c>
    </row>
    <row r="1982" spans="1:15">
      <c r="A1982" s="1" t="s">
        <v>2082</v>
      </c>
      <c r="B1982" s="1" t="s">
        <v>128</v>
      </c>
      <c r="C1982" s="1">
        <v>3</v>
      </c>
      <c r="D1982" s="1">
        <v>57.3</v>
      </c>
      <c r="E1982" s="11">
        <v>171.89999999999998</v>
      </c>
      <c r="F1982" s="3">
        <v>45730</v>
      </c>
      <c r="G1982" s="3">
        <v>45734</v>
      </c>
      <c r="H1982" s="1" t="s">
        <v>27</v>
      </c>
      <c r="I1982" s="1" t="s">
        <v>18</v>
      </c>
      <c r="J1982" s="1">
        <v>5</v>
      </c>
      <c r="K1982" s="1" t="s">
        <v>19</v>
      </c>
      <c r="L1982" s="1" t="s">
        <v>33</v>
      </c>
      <c r="M1982" s="1">
        <f>orders[[#This Row],[Ship Date]]-orders[[#This Row],[Order Date]]</f>
        <v>4</v>
      </c>
      <c r="N1982" s="1">
        <f>WEEKNUM(orders[[#This Row],[Order Date]])</f>
        <v>11</v>
      </c>
      <c r="O1982" s="1" t="str" cm="1">
        <f t="array" ref="O1982">_xlfn.IFS(orders[[#This Row],[Customer Gender]]="M","Male", orders[[#This Row],[Customer Gender]]="F","Female", orders[[#This Row],[Customer Gender]]="O","Other", TRUE,"Unknown")</f>
        <v>Female</v>
      </c>
    </row>
    <row r="1983" spans="1:15">
      <c r="A1983" s="1" t="s">
        <v>2083</v>
      </c>
      <c r="B1983" s="1" t="s">
        <v>22</v>
      </c>
      <c r="C1983" s="1">
        <v>1</v>
      </c>
      <c r="D1983" s="1">
        <v>81.400000000000006</v>
      </c>
      <c r="E1983" s="11">
        <v>81.400000000000006</v>
      </c>
      <c r="F1983" s="3">
        <v>45730</v>
      </c>
      <c r="G1983" s="3">
        <v>45731</v>
      </c>
      <c r="H1983" s="1" t="s">
        <v>27</v>
      </c>
      <c r="I1983" s="1" t="s">
        <v>40</v>
      </c>
      <c r="J1983" s="1">
        <v>5</v>
      </c>
      <c r="K1983" s="1" t="s">
        <v>19</v>
      </c>
      <c r="L1983" s="1" t="s">
        <v>33</v>
      </c>
      <c r="M1983" s="1">
        <f>orders[[#This Row],[Ship Date]]-orders[[#This Row],[Order Date]]</f>
        <v>1</v>
      </c>
      <c r="N1983" s="1">
        <f>WEEKNUM(orders[[#This Row],[Order Date]])</f>
        <v>11</v>
      </c>
      <c r="O1983" s="1" t="str" cm="1">
        <f t="array" ref="O1983">_xlfn.IFS(orders[[#This Row],[Customer Gender]]="M","Male", orders[[#This Row],[Customer Gender]]="F","Female", orders[[#This Row],[Customer Gender]]="O","Other", TRUE,"Unknown")</f>
        <v>Female</v>
      </c>
    </row>
    <row r="1984" spans="1:15">
      <c r="A1984" s="1" t="s">
        <v>2084</v>
      </c>
      <c r="B1984" s="1" t="s">
        <v>54</v>
      </c>
      <c r="C1984" s="1">
        <v>2</v>
      </c>
      <c r="D1984" s="1">
        <v>35.299999999999997</v>
      </c>
      <c r="E1984" s="11">
        <v>70.599999999999994</v>
      </c>
      <c r="F1984" s="3">
        <v>45730</v>
      </c>
      <c r="G1984" s="3">
        <v>45734</v>
      </c>
      <c r="H1984" s="1" t="s">
        <v>23</v>
      </c>
      <c r="I1984" s="1" t="s">
        <v>18</v>
      </c>
      <c r="J1984" s="1">
        <v>5</v>
      </c>
      <c r="K1984" s="1" t="s">
        <v>19</v>
      </c>
      <c r="L1984" s="1" t="s">
        <v>33</v>
      </c>
      <c r="M1984" s="1">
        <f>orders[[#This Row],[Ship Date]]-orders[[#This Row],[Order Date]]</f>
        <v>4</v>
      </c>
      <c r="N1984" s="1">
        <f>WEEKNUM(orders[[#This Row],[Order Date]])</f>
        <v>11</v>
      </c>
      <c r="O1984" s="1" t="str" cm="1">
        <f t="array" ref="O1984">_xlfn.IFS(orders[[#This Row],[Customer Gender]]="M","Male", orders[[#This Row],[Customer Gender]]="F","Female", orders[[#This Row],[Customer Gender]]="O","Other", TRUE,"Unknown")</f>
        <v>Male</v>
      </c>
    </row>
    <row r="1985" spans="1:15">
      <c r="A1985" s="1" t="s">
        <v>2085</v>
      </c>
      <c r="B1985" s="1" t="s">
        <v>30</v>
      </c>
      <c r="C1985" s="1">
        <v>1</v>
      </c>
      <c r="D1985" s="1">
        <v>36.1</v>
      </c>
      <c r="E1985" s="11">
        <v>36.1</v>
      </c>
      <c r="F1985" s="3">
        <v>45730</v>
      </c>
      <c r="G1985" s="3">
        <v>45731</v>
      </c>
      <c r="H1985" s="1" t="s">
        <v>27</v>
      </c>
      <c r="I1985" s="1" t="s">
        <v>70</v>
      </c>
      <c r="J1985" s="1">
        <v>4</v>
      </c>
      <c r="K1985" s="1" t="s">
        <v>19</v>
      </c>
      <c r="L1985" s="1" t="s">
        <v>33</v>
      </c>
      <c r="M1985" s="1">
        <f>orders[[#This Row],[Ship Date]]-orders[[#This Row],[Order Date]]</f>
        <v>1</v>
      </c>
      <c r="N1985" s="1">
        <f>WEEKNUM(orders[[#This Row],[Order Date]])</f>
        <v>11</v>
      </c>
      <c r="O1985" s="1" t="str" cm="1">
        <f t="array" ref="O1985">_xlfn.IFS(orders[[#This Row],[Customer Gender]]="M","Male", orders[[#This Row],[Customer Gender]]="F","Female", orders[[#This Row],[Customer Gender]]="O","Other", TRUE,"Unknown")</f>
        <v>Female</v>
      </c>
    </row>
    <row r="1986" spans="1:15">
      <c r="A1986" s="1" t="s">
        <v>2086</v>
      </c>
      <c r="B1986" s="1" t="s">
        <v>22</v>
      </c>
      <c r="C1986" s="1">
        <v>2</v>
      </c>
      <c r="D1986" s="1">
        <v>36.700000000000003</v>
      </c>
      <c r="E1986" s="11">
        <v>73.400000000000006</v>
      </c>
      <c r="F1986" s="3">
        <v>45730</v>
      </c>
      <c r="G1986" s="3">
        <v>45732</v>
      </c>
      <c r="H1986" s="1" t="s">
        <v>27</v>
      </c>
      <c r="I1986" s="1" t="s">
        <v>18</v>
      </c>
      <c r="J1986" s="1">
        <v>5</v>
      </c>
      <c r="K1986" s="1" t="s">
        <v>19</v>
      </c>
      <c r="L1986" s="1" t="s">
        <v>33</v>
      </c>
      <c r="M1986" s="1">
        <f>orders[[#This Row],[Ship Date]]-orders[[#This Row],[Order Date]]</f>
        <v>2</v>
      </c>
      <c r="N1986" s="1">
        <f>WEEKNUM(orders[[#This Row],[Order Date]])</f>
        <v>11</v>
      </c>
      <c r="O1986" s="1" t="str" cm="1">
        <f t="array" ref="O1986">_xlfn.IFS(orders[[#This Row],[Customer Gender]]="M","Male", orders[[#This Row],[Customer Gender]]="F","Female", orders[[#This Row],[Customer Gender]]="O","Other", TRUE,"Unknown")</f>
        <v>Female</v>
      </c>
    </row>
    <row r="1987" spans="1:15">
      <c r="A1987" s="1" t="s">
        <v>2087</v>
      </c>
      <c r="B1987" s="1" t="s">
        <v>54</v>
      </c>
      <c r="C1987" s="1">
        <v>1</v>
      </c>
      <c r="D1987" s="1">
        <v>20.9</v>
      </c>
      <c r="E1987" s="11">
        <v>20.9</v>
      </c>
      <c r="F1987" s="3">
        <v>45730</v>
      </c>
      <c r="G1987" s="3">
        <v>45732</v>
      </c>
      <c r="H1987" s="1" t="s">
        <v>27</v>
      </c>
      <c r="I1987" s="1" t="s">
        <v>18</v>
      </c>
      <c r="J1987" s="1">
        <v>2</v>
      </c>
      <c r="K1987" s="1" t="s">
        <v>19</v>
      </c>
      <c r="L1987" s="1" t="s">
        <v>33</v>
      </c>
      <c r="M1987" s="1">
        <f>orders[[#This Row],[Ship Date]]-orders[[#This Row],[Order Date]]</f>
        <v>2</v>
      </c>
      <c r="N1987" s="1">
        <f>WEEKNUM(orders[[#This Row],[Order Date]])</f>
        <v>11</v>
      </c>
      <c r="O1987" s="1" t="str" cm="1">
        <f t="array" ref="O1987">_xlfn.IFS(orders[[#This Row],[Customer Gender]]="M","Male", orders[[#This Row],[Customer Gender]]="F","Female", orders[[#This Row],[Customer Gender]]="O","Other", TRUE,"Unknown")</f>
        <v>Female</v>
      </c>
    </row>
    <row r="1988" spans="1:15">
      <c r="A1988" s="1" t="s">
        <v>2088</v>
      </c>
      <c r="B1988" s="1" t="s">
        <v>69</v>
      </c>
      <c r="C1988" s="1">
        <v>3</v>
      </c>
      <c r="D1988" s="1">
        <v>58.8</v>
      </c>
      <c r="E1988" s="11">
        <v>176.39999999999998</v>
      </c>
      <c r="F1988" s="3">
        <v>45730</v>
      </c>
      <c r="G1988" s="3">
        <v>45734</v>
      </c>
      <c r="H1988" s="1" t="s">
        <v>23</v>
      </c>
      <c r="I1988" s="1" t="s">
        <v>18</v>
      </c>
      <c r="J1988" s="1">
        <v>5</v>
      </c>
      <c r="K1988" s="1" t="s">
        <v>19</v>
      </c>
      <c r="L1988" s="1" t="s">
        <v>188</v>
      </c>
      <c r="M1988" s="1">
        <f>orders[[#This Row],[Ship Date]]-orders[[#This Row],[Order Date]]</f>
        <v>4</v>
      </c>
      <c r="N1988" s="1">
        <f>WEEKNUM(orders[[#This Row],[Order Date]])</f>
        <v>11</v>
      </c>
      <c r="O1988" s="1" t="str" cm="1">
        <f t="array" ref="O1988">_xlfn.IFS(orders[[#This Row],[Customer Gender]]="M","Male", orders[[#This Row],[Customer Gender]]="F","Female", orders[[#This Row],[Customer Gender]]="O","Other", TRUE,"Unknown")</f>
        <v>Male</v>
      </c>
    </row>
    <row r="1989" spans="1:15">
      <c r="A1989" s="1" t="s">
        <v>2089</v>
      </c>
      <c r="B1989" s="1" t="s">
        <v>26</v>
      </c>
      <c r="C1989" s="1">
        <v>3</v>
      </c>
      <c r="D1989" s="1">
        <v>97.6</v>
      </c>
      <c r="E1989" s="11">
        <v>292.79999999999995</v>
      </c>
      <c r="F1989" s="3">
        <v>45731</v>
      </c>
      <c r="G1989" s="3">
        <v>45733</v>
      </c>
      <c r="H1989" s="1" t="s">
        <v>17</v>
      </c>
      <c r="I1989" s="1" t="s">
        <v>18</v>
      </c>
      <c r="J1989" s="1">
        <v>4</v>
      </c>
      <c r="K1989" s="1" t="s">
        <v>19</v>
      </c>
      <c r="L1989" s="1" t="s">
        <v>55</v>
      </c>
      <c r="M1989" s="1">
        <f>orders[[#This Row],[Ship Date]]-orders[[#This Row],[Order Date]]</f>
        <v>2</v>
      </c>
      <c r="N1989" s="1">
        <f>WEEKNUM(orders[[#This Row],[Order Date]])</f>
        <v>11</v>
      </c>
      <c r="O1989" s="1" t="str" cm="1">
        <f t="array" ref="O1989">_xlfn.IFS(orders[[#This Row],[Customer Gender]]="M","Male", orders[[#This Row],[Customer Gender]]="F","Female", orders[[#This Row],[Customer Gender]]="O","Other", TRUE,"Unknown")</f>
        <v>Unknown</v>
      </c>
    </row>
    <row r="1990" spans="1:15">
      <c r="A1990" s="1" t="s">
        <v>2090</v>
      </c>
      <c r="B1990" s="1" t="s">
        <v>22</v>
      </c>
      <c r="C1990" s="1">
        <v>2</v>
      </c>
      <c r="D1990" s="1">
        <v>58.7</v>
      </c>
      <c r="E1990" s="11">
        <v>117.4</v>
      </c>
      <c r="F1990" s="3">
        <v>45731</v>
      </c>
      <c r="G1990" s="3">
        <v>45734</v>
      </c>
      <c r="H1990" s="1" t="s">
        <v>27</v>
      </c>
      <c r="I1990" s="1" t="s">
        <v>18</v>
      </c>
      <c r="J1990" s="1">
        <v>3</v>
      </c>
      <c r="K1990" s="1" t="s">
        <v>19</v>
      </c>
      <c r="L1990" s="1" t="s">
        <v>55</v>
      </c>
      <c r="M1990" s="1">
        <f>orders[[#This Row],[Ship Date]]-orders[[#This Row],[Order Date]]</f>
        <v>3</v>
      </c>
      <c r="N1990" s="1">
        <f>WEEKNUM(orders[[#This Row],[Order Date]])</f>
        <v>11</v>
      </c>
      <c r="O1990" s="1" t="str" cm="1">
        <f t="array" ref="O1990">_xlfn.IFS(orders[[#This Row],[Customer Gender]]="M","Male", orders[[#This Row],[Customer Gender]]="F","Female", orders[[#This Row],[Customer Gender]]="O","Other", TRUE,"Unknown")</f>
        <v>Female</v>
      </c>
    </row>
    <row r="1991" spans="1:15">
      <c r="A1991" s="1" t="s">
        <v>2091</v>
      </c>
      <c r="B1991" s="1" t="s">
        <v>39</v>
      </c>
      <c r="C1991" s="1">
        <v>5</v>
      </c>
      <c r="D1991" s="1">
        <v>71.900000000000006</v>
      </c>
      <c r="E1991" s="11">
        <v>359.5</v>
      </c>
      <c r="F1991" s="3">
        <v>45731</v>
      </c>
      <c r="G1991" s="3">
        <v>45732</v>
      </c>
      <c r="H1991" s="1" t="s">
        <v>17</v>
      </c>
      <c r="I1991" s="1" t="s">
        <v>18</v>
      </c>
      <c r="J1991" s="1">
        <v>3</v>
      </c>
      <c r="K1991" s="1" t="s">
        <v>19</v>
      </c>
      <c r="L1991" s="1" t="s">
        <v>55</v>
      </c>
      <c r="M1991" s="1">
        <f>orders[[#This Row],[Ship Date]]-orders[[#This Row],[Order Date]]</f>
        <v>1</v>
      </c>
      <c r="N1991" s="1">
        <f>WEEKNUM(orders[[#This Row],[Order Date]])</f>
        <v>11</v>
      </c>
      <c r="O1991" s="1" t="str" cm="1">
        <f t="array" ref="O1991">_xlfn.IFS(orders[[#This Row],[Customer Gender]]="M","Male", orders[[#This Row],[Customer Gender]]="F","Female", orders[[#This Row],[Customer Gender]]="O","Other", TRUE,"Unknown")</f>
        <v>Unknown</v>
      </c>
    </row>
    <row r="1992" spans="1:15">
      <c r="A1992" s="1" t="s">
        <v>2092</v>
      </c>
      <c r="B1992" s="1" t="s">
        <v>22</v>
      </c>
      <c r="C1992" s="1">
        <v>2</v>
      </c>
      <c r="D1992" s="1">
        <v>62.4</v>
      </c>
      <c r="E1992" s="11">
        <v>124.8</v>
      </c>
      <c r="F1992" s="3">
        <v>45731</v>
      </c>
      <c r="G1992" s="3">
        <v>45733</v>
      </c>
      <c r="H1992" s="1" t="s">
        <v>17</v>
      </c>
      <c r="I1992" s="1" t="s">
        <v>18</v>
      </c>
      <c r="J1992" s="1">
        <v>3</v>
      </c>
      <c r="K1992" s="1" t="s">
        <v>19</v>
      </c>
      <c r="L1992" s="1" t="s">
        <v>62</v>
      </c>
      <c r="M1992" s="1">
        <f>orders[[#This Row],[Ship Date]]-orders[[#This Row],[Order Date]]</f>
        <v>2</v>
      </c>
      <c r="N1992" s="1">
        <f>WEEKNUM(orders[[#This Row],[Order Date]])</f>
        <v>11</v>
      </c>
      <c r="O1992" s="1" t="str" cm="1">
        <f t="array" ref="O1992">_xlfn.IFS(orders[[#This Row],[Customer Gender]]="M","Male", orders[[#This Row],[Customer Gender]]="F","Female", orders[[#This Row],[Customer Gender]]="O","Other", TRUE,"Unknown")</f>
        <v>Unknown</v>
      </c>
    </row>
    <row r="1993" spans="1:15">
      <c r="A1993" s="1" t="s">
        <v>2093</v>
      </c>
      <c r="B1993" s="1" t="s">
        <v>39</v>
      </c>
      <c r="C1993" s="1">
        <v>16</v>
      </c>
      <c r="D1993" s="1">
        <v>53.8</v>
      </c>
      <c r="E1993" s="11">
        <v>860.8</v>
      </c>
      <c r="F1993" s="3">
        <v>45731</v>
      </c>
      <c r="G1993" s="3">
        <v>45732</v>
      </c>
      <c r="H1993" s="1" t="s">
        <v>27</v>
      </c>
      <c r="I1993" s="1" t="s">
        <v>35</v>
      </c>
      <c r="J1993" s="1">
        <v>4</v>
      </c>
      <c r="K1993" s="1" t="s">
        <v>19</v>
      </c>
      <c r="L1993" s="1" t="s">
        <v>62</v>
      </c>
      <c r="M1993" s="1">
        <f>orders[[#This Row],[Ship Date]]-orders[[#This Row],[Order Date]]</f>
        <v>1</v>
      </c>
      <c r="N1993" s="1">
        <f>WEEKNUM(orders[[#This Row],[Order Date]])</f>
        <v>11</v>
      </c>
      <c r="O1993" s="1" t="str" cm="1">
        <f t="array" ref="O1993">_xlfn.IFS(orders[[#This Row],[Customer Gender]]="M","Male", orders[[#This Row],[Customer Gender]]="F","Female", orders[[#This Row],[Customer Gender]]="O","Other", TRUE,"Unknown")</f>
        <v>Female</v>
      </c>
    </row>
    <row r="1994" spans="1:15">
      <c r="A1994" s="1" t="s">
        <v>2094</v>
      </c>
      <c r="B1994" s="1" t="s">
        <v>46</v>
      </c>
      <c r="C1994" s="1">
        <v>1</v>
      </c>
      <c r="D1994" s="1">
        <v>43.8</v>
      </c>
      <c r="E1994" s="11">
        <v>43.8</v>
      </c>
      <c r="F1994" s="3">
        <v>45731</v>
      </c>
      <c r="G1994" s="3">
        <v>45738</v>
      </c>
      <c r="H1994" s="1" t="s">
        <v>27</v>
      </c>
      <c r="I1994" s="1" t="s">
        <v>18</v>
      </c>
      <c r="J1994" s="1">
        <v>5</v>
      </c>
      <c r="K1994" s="1" t="s">
        <v>19</v>
      </c>
      <c r="L1994" s="1" t="s">
        <v>62</v>
      </c>
      <c r="M1994" s="1">
        <f>orders[[#This Row],[Ship Date]]-orders[[#This Row],[Order Date]]</f>
        <v>7</v>
      </c>
      <c r="N1994" s="1">
        <f>WEEKNUM(orders[[#This Row],[Order Date]])</f>
        <v>11</v>
      </c>
      <c r="O1994" s="1" t="str" cm="1">
        <f t="array" ref="O1994">_xlfn.IFS(orders[[#This Row],[Customer Gender]]="M","Male", orders[[#This Row],[Customer Gender]]="F","Female", orders[[#This Row],[Customer Gender]]="O","Other", TRUE,"Unknown")</f>
        <v>Female</v>
      </c>
    </row>
    <row r="1995" spans="1:15">
      <c r="A1995" s="1" t="s">
        <v>2095</v>
      </c>
      <c r="B1995" s="1" t="s">
        <v>37</v>
      </c>
      <c r="C1995" s="1">
        <v>3</v>
      </c>
      <c r="D1995" s="1">
        <v>53.6</v>
      </c>
      <c r="E1995" s="11">
        <v>160.80000000000001</v>
      </c>
      <c r="F1995" s="3">
        <v>45731</v>
      </c>
      <c r="G1995" s="3">
        <v>45732</v>
      </c>
      <c r="H1995" s="1" t="s">
        <v>23</v>
      </c>
      <c r="I1995" s="1" t="s">
        <v>51</v>
      </c>
      <c r="J1995" s="1">
        <v>4</v>
      </c>
      <c r="K1995" s="1" t="s">
        <v>19</v>
      </c>
      <c r="L1995" s="1" t="s">
        <v>62</v>
      </c>
      <c r="M1995" s="1">
        <f>orders[[#This Row],[Ship Date]]-orders[[#This Row],[Order Date]]</f>
        <v>1</v>
      </c>
      <c r="N1995" s="1">
        <f>WEEKNUM(orders[[#This Row],[Order Date]])</f>
        <v>11</v>
      </c>
      <c r="O1995" s="1" t="str" cm="1">
        <f t="array" ref="O1995">_xlfn.IFS(orders[[#This Row],[Customer Gender]]="M","Male", orders[[#This Row],[Customer Gender]]="F","Female", orders[[#This Row],[Customer Gender]]="O","Other", TRUE,"Unknown")</f>
        <v>Male</v>
      </c>
    </row>
    <row r="1996" spans="1:15">
      <c r="A1996" s="1" t="s">
        <v>2096</v>
      </c>
      <c r="B1996" s="1" t="s">
        <v>69</v>
      </c>
      <c r="C1996" s="1">
        <v>2</v>
      </c>
      <c r="D1996" s="1">
        <v>84.3</v>
      </c>
      <c r="E1996" s="11">
        <v>168.6</v>
      </c>
      <c r="F1996" s="3">
        <v>45731</v>
      </c>
      <c r="G1996" s="3">
        <v>45734</v>
      </c>
      <c r="H1996" s="1" t="s">
        <v>23</v>
      </c>
      <c r="I1996" s="1" t="s">
        <v>70</v>
      </c>
      <c r="J1996" s="1">
        <v>3</v>
      </c>
      <c r="K1996" s="1" t="s">
        <v>19</v>
      </c>
      <c r="L1996" s="1" t="s">
        <v>62</v>
      </c>
      <c r="M1996" s="1">
        <f>orders[[#This Row],[Ship Date]]-orders[[#This Row],[Order Date]]</f>
        <v>3</v>
      </c>
      <c r="N1996" s="1">
        <f>WEEKNUM(orders[[#This Row],[Order Date]])</f>
        <v>11</v>
      </c>
      <c r="O1996" s="1" t="str" cm="1">
        <f t="array" ref="O1996">_xlfn.IFS(orders[[#This Row],[Customer Gender]]="M","Male", orders[[#This Row],[Customer Gender]]="F","Female", orders[[#This Row],[Customer Gender]]="O","Other", TRUE,"Unknown")</f>
        <v>Male</v>
      </c>
    </row>
    <row r="1997" spans="1:15">
      <c r="A1997" s="1" t="s">
        <v>2097</v>
      </c>
      <c r="B1997" s="1" t="s">
        <v>39</v>
      </c>
      <c r="C1997" s="1">
        <v>9</v>
      </c>
      <c r="D1997" s="1">
        <v>117.9</v>
      </c>
      <c r="E1997" s="11">
        <v>1061.1000000000001</v>
      </c>
      <c r="F1997" s="3">
        <v>45731</v>
      </c>
      <c r="G1997" s="3">
        <v>45732</v>
      </c>
      <c r="H1997" s="1" t="s">
        <v>27</v>
      </c>
      <c r="I1997" s="1" t="s">
        <v>35</v>
      </c>
      <c r="J1997" s="1">
        <v>5</v>
      </c>
      <c r="K1997" s="1" t="s">
        <v>19</v>
      </c>
      <c r="L1997" s="1" t="s">
        <v>62</v>
      </c>
      <c r="M1997" s="1">
        <f>orders[[#This Row],[Ship Date]]-orders[[#This Row],[Order Date]]</f>
        <v>1</v>
      </c>
      <c r="N1997" s="1">
        <f>WEEKNUM(orders[[#This Row],[Order Date]])</f>
        <v>11</v>
      </c>
      <c r="O1997" s="1" t="str" cm="1">
        <f t="array" ref="O1997">_xlfn.IFS(orders[[#This Row],[Customer Gender]]="M","Male", orders[[#This Row],[Customer Gender]]="F","Female", orders[[#This Row],[Customer Gender]]="O","Other", TRUE,"Unknown")</f>
        <v>Female</v>
      </c>
    </row>
    <row r="1998" spans="1:15">
      <c r="A1998" s="1" t="s">
        <v>2098</v>
      </c>
      <c r="B1998" s="1" t="s">
        <v>32</v>
      </c>
      <c r="C1998" s="1">
        <v>8</v>
      </c>
      <c r="D1998" s="1">
        <v>30</v>
      </c>
      <c r="E1998" s="11">
        <v>240</v>
      </c>
      <c r="F1998" s="3">
        <v>45731</v>
      </c>
      <c r="G1998" s="3">
        <v>45732</v>
      </c>
      <c r="H1998" s="1" t="s">
        <v>27</v>
      </c>
      <c r="I1998" s="1" t="s">
        <v>35</v>
      </c>
      <c r="J1998" s="1">
        <v>4</v>
      </c>
      <c r="K1998" s="1" t="s">
        <v>19</v>
      </c>
      <c r="L1998" s="1" t="s">
        <v>201</v>
      </c>
      <c r="M1998" s="1">
        <f>orders[[#This Row],[Ship Date]]-orders[[#This Row],[Order Date]]</f>
        <v>1</v>
      </c>
      <c r="N1998" s="1">
        <f>WEEKNUM(orders[[#This Row],[Order Date]])</f>
        <v>11</v>
      </c>
      <c r="O1998" s="1" t="str" cm="1">
        <f t="array" ref="O1998">_xlfn.IFS(orders[[#This Row],[Customer Gender]]="M","Male", orders[[#This Row],[Customer Gender]]="F","Female", orders[[#This Row],[Customer Gender]]="O","Other", TRUE,"Unknown")</f>
        <v>Female</v>
      </c>
    </row>
    <row r="1999" spans="1:15">
      <c r="A1999" s="1" t="s">
        <v>2099</v>
      </c>
      <c r="B1999" s="1" t="s">
        <v>81</v>
      </c>
      <c r="C1999" s="1">
        <v>3</v>
      </c>
      <c r="D1999" s="1">
        <v>37.299999999999997</v>
      </c>
      <c r="E1999" s="11">
        <v>111.89999999999999</v>
      </c>
      <c r="F1999" s="3">
        <v>45731</v>
      </c>
      <c r="G1999" s="3">
        <v>45732</v>
      </c>
      <c r="H1999" s="1" t="s">
        <v>23</v>
      </c>
      <c r="I1999" s="1" t="s">
        <v>40</v>
      </c>
      <c r="J1999" s="1">
        <v>4</v>
      </c>
      <c r="K1999" s="1" t="s">
        <v>19</v>
      </c>
      <c r="L1999" s="1" t="s">
        <v>72</v>
      </c>
      <c r="M1999" s="1">
        <f>orders[[#This Row],[Ship Date]]-orders[[#This Row],[Order Date]]</f>
        <v>1</v>
      </c>
      <c r="N1999" s="1">
        <f>WEEKNUM(orders[[#This Row],[Order Date]])</f>
        <v>11</v>
      </c>
      <c r="O1999" s="1" t="str" cm="1">
        <f t="array" ref="O1999">_xlfn.IFS(orders[[#This Row],[Customer Gender]]="M","Male", orders[[#This Row],[Customer Gender]]="F","Female", orders[[#This Row],[Customer Gender]]="O","Other", TRUE,"Unknown")</f>
        <v>Male</v>
      </c>
    </row>
    <row r="2000" spans="1:15">
      <c r="A2000" s="1" t="s">
        <v>2100</v>
      </c>
      <c r="B2000" s="1" t="s">
        <v>32</v>
      </c>
      <c r="C2000" s="1">
        <v>9</v>
      </c>
      <c r="D2000" s="1">
        <v>25.1</v>
      </c>
      <c r="E2000" s="11">
        <v>225.9</v>
      </c>
      <c r="F2000" s="3">
        <v>45731</v>
      </c>
      <c r="G2000" s="3">
        <v>45733</v>
      </c>
      <c r="H2000" s="1" t="s">
        <v>23</v>
      </c>
      <c r="I2000" s="1" t="s">
        <v>35</v>
      </c>
      <c r="J2000" s="1">
        <v>5</v>
      </c>
      <c r="K2000" s="1" t="s">
        <v>19</v>
      </c>
      <c r="L2000" s="1" t="s">
        <v>77</v>
      </c>
      <c r="M2000" s="1">
        <f>orders[[#This Row],[Ship Date]]-orders[[#This Row],[Order Date]]</f>
        <v>2</v>
      </c>
      <c r="N2000" s="1">
        <f>WEEKNUM(orders[[#This Row],[Order Date]])</f>
        <v>11</v>
      </c>
      <c r="O2000" s="1" t="str" cm="1">
        <f t="array" ref="O2000">_xlfn.IFS(orders[[#This Row],[Customer Gender]]="M","Male", orders[[#This Row],[Customer Gender]]="F","Female", orders[[#This Row],[Customer Gender]]="O","Other", TRUE,"Unknown")</f>
        <v>Male</v>
      </c>
    </row>
    <row r="2001" spans="1:15">
      <c r="A2001" s="1" t="s">
        <v>2101</v>
      </c>
      <c r="B2001" s="1" t="s">
        <v>44</v>
      </c>
      <c r="C2001" s="1">
        <v>11</v>
      </c>
      <c r="D2001" s="1">
        <v>36</v>
      </c>
      <c r="E2001" s="11">
        <v>396</v>
      </c>
      <c r="F2001" s="3">
        <v>45731</v>
      </c>
      <c r="G2001" s="3">
        <v>45741</v>
      </c>
      <c r="H2001" s="1" t="s">
        <v>23</v>
      </c>
      <c r="I2001" s="1" t="s">
        <v>35</v>
      </c>
      <c r="J2001" s="1">
        <v>4</v>
      </c>
      <c r="K2001" s="1" t="s">
        <v>19</v>
      </c>
      <c r="L2001" s="1" t="s">
        <v>108</v>
      </c>
      <c r="M2001" s="1">
        <f>orders[[#This Row],[Ship Date]]-orders[[#This Row],[Order Date]]</f>
        <v>10</v>
      </c>
      <c r="N2001" s="1">
        <f>WEEKNUM(orders[[#This Row],[Order Date]])</f>
        <v>11</v>
      </c>
      <c r="O2001" s="1" t="str" cm="1">
        <f t="array" ref="O2001">_xlfn.IFS(orders[[#This Row],[Customer Gender]]="M","Male", orders[[#This Row],[Customer Gender]]="F","Female", orders[[#This Row],[Customer Gender]]="O","Other", TRUE,"Unknown")</f>
        <v>Male</v>
      </c>
    </row>
    <row r="2002" spans="1:15">
      <c r="A2002" s="1" t="s">
        <v>2102</v>
      </c>
      <c r="B2002" s="1" t="s">
        <v>128</v>
      </c>
      <c r="C2002" s="1">
        <v>3</v>
      </c>
      <c r="D2002" s="1">
        <v>48.5</v>
      </c>
      <c r="E2002" s="11">
        <v>145.5</v>
      </c>
      <c r="F2002" s="3">
        <v>45731</v>
      </c>
      <c r="G2002" s="3">
        <v>45735</v>
      </c>
      <c r="H2002" s="1" t="s">
        <v>27</v>
      </c>
      <c r="I2002" s="1" t="s">
        <v>35</v>
      </c>
      <c r="J2002" s="1">
        <v>4</v>
      </c>
      <c r="K2002" s="1" t="s">
        <v>19</v>
      </c>
      <c r="L2002" s="1" t="s">
        <v>110</v>
      </c>
      <c r="M2002" s="1">
        <f>orders[[#This Row],[Ship Date]]-orders[[#This Row],[Order Date]]</f>
        <v>4</v>
      </c>
      <c r="N2002" s="1">
        <f>WEEKNUM(orders[[#This Row],[Order Date]])</f>
        <v>11</v>
      </c>
      <c r="O2002" s="1" t="str" cm="1">
        <f t="array" ref="O2002">_xlfn.IFS(orders[[#This Row],[Customer Gender]]="M","Male", orders[[#This Row],[Customer Gender]]="F","Female", orders[[#This Row],[Customer Gender]]="O","Other", TRUE,"Unknown")</f>
        <v>Female</v>
      </c>
    </row>
    <row r="2003" spans="1:15">
      <c r="A2003" s="1" t="s">
        <v>2103</v>
      </c>
      <c r="B2003" s="1" t="s">
        <v>135</v>
      </c>
      <c r="C2003" s="1">
        <v>6</v>
      </c>
      <c r="D2003" s="1">
        <v>21.1</v>
      </c>
      <c r="E2003" s="11">
        <v>126.60000000000001</v>
      </c>
      <c r="F2003" s="3">
        <v>45731</v>
      </c>
      <c r="G2003" s="3">
        <v>45732</v>
      </c>
      <c r="H2003" s="1" t="s">
        <v>23</v>
      </c>
      <c r="I2003" s="1" t="s">
        <v>35</v>
      </c>
      <c r="J2003" s="1">
        <v>5</v>
      </c>
      <c r="K2003" s="1" t="s">
        <v>19</v>
      </c>
      <c r="L2003" s="1" t="s">
        <v>115</v>
      </c>
      <c r="M2003" s="1">
        <f>orders[[#This Row],[Ship Date]]-orders[[#This Row],[Order Date]]</f>
        <v>1</v>
      </c>
      <c r="N2003" s="1">
        <f>WEEKNUM(orders[[#This Row],[Order Date]])</f>
        <v>11</v>
      </c>
      <c r="O2003" s="1" t="str" cm="1">
        <f t="array" ref="O2003">_xlfn.IFS(orders[[#This Row],[Customer Gender]]="M","Male", orders[[#This Row],[Customer Gender]]="F","Female", orders[[#This Row],[Customer Gender]]="O","Other", TRUE,"Unknown")</f>
        <v>Male</v>
      </c>
    </row>
    <row r="2004" spans="1:15">
      <c r="A2004" s="1" t="s">
        <v>2104</v>
      </c>
      <c r="B2004" s="1" t="s">
        <v>123</v>
      </c>
      <c r="C2004" s="1">
        <v>14</v>
      </c>
      <c r="D2004" s="1">
        <v>43.2</v>
      </c>
      <c r="E2004" s="11">
        <v>604.80000000000007</v>
      </c>
      <c r="F2004" s="3">
        <v>45731</v>
      </c>
      <c r="G2004" s="3">
        <v>45732</v>
      </c>
      <c r="H2004" s="1" t="s">
        <v>89</v>
      </c>
      <c r="I2004" s="1" t="s">
        <v>18</v>
      </c>
      <c r="J2004" s="1">
        <v>3</v>
      </c>
      <c r="K2004" s="1" t="s">
        <v>19</v>
      </c>
      <c r="L2004" s="1" t="s">
        <v>115</v>
      </c>
      <c r="M2004" s="1">
        <f>orders[[#This Row],[Ship Date]]-orders[[#This Row],[Order Date]]</f>
        <v>1</v>
      </c>
      <c r="N2004" s="1">
        <f>WEEKNUM(orders[[#This Row],[Order Date]])</f>
        <v>11</v>
      </c>
      <c r="O2004" s="1" t="str" cm="1">
        <f t="array" ref="O2004">_xlfn.IFS(orders[[#This Row],[Customer Gender]]="M","Male", orders[[#This Row],[Customer Gender]]="F","Female", orders[[#This Row],[Customer Gender]]="O","Other", TRUE,"Unknown")</f>
        <v>Other</v>
      </c>
    </row>
    <row r="2005" spans="1:15">
      <c r="A2005" s="1" t="s">
        <v>2105</v>
      </c>
      <c r="B2005" s="1" t="s">
        <v>46</v>
      </c>
      <c r="C2005" s="1">
        <v>2</v>
      </c>
      <c r="D2005" s="1">
        <v>21.1</v>
      </c>
      <c r="E2005" s="11">
        <v>42.2</v>
      </c>
      <c r="F2005" s="3">
        <v>45731</v>
      </c>
      <c r="G2005" s="3">
        <v>45732</v>
      </c>
      <c r="H2005" s="1" t="s">
        <v>17</v>
      </c>
      <c r="I2005" s="1" t="s">
        <v>51</v>
      </c>
      <c r="J2005" s="1">
        <v>3</v>
      </c>
      <c r="K2005" s="1" t="s">
        <v>19</v>
      </c>
      <c r="L2005" s="1" t="s">
        <v>115</v>
      </c>
      <c r="M2005" s="1">
        <f>orders[[#This Row],[Ship Date]]-orders[[#This Row],[Order Date]]</f>
        <v>1</v>
      </c>
      <c r="N2005" s="1">
        <f>WEEKNUM(orders[[#This Row],[Order Date]])</f>
        <v>11</v>
      </c>
      <c r="O2005" s="1" t="str" cm="1">
        <f t="array" ref="O2005">_xlfn.IFS(orders[[#This Row],[Customer Gender]]="M","Male", orders[[#This Row],[Customer Gender]]="F","Female", orders[[#This Row],[Customer Gender]]="O","Other", TRUE,"Unknown")</f>
        <v>Unknown</v>
      </c>
    </row>
    <row r="2006" spans="1:15">
      <c r="A2006" s="1" t="s">
        <v>2106</v>
      </c>
      <c r="B2006" s="1" t="s">
        <v>39</v>
      </c>
      <c r="C2006" s="1">
        <v>4</v>
      </c>
      <c r="D2006" s="1">
        <v>41.3</v>
      </c>
      <c r="E2006" s="11">
        <v>165.2</v>
      </c>
      <c r="F2006" s="3">
        <v>45731</v>
      </c>
      <c r="G2006" s="3">
        <v>45733</v>
      </c>
      <c r="H2006" s="1" t="s">
        <v>27</v>
      </c>
      <c r="I2006" s="1" t="s">
        <v>51</v>
      </c>
      <c r="J2006" s="1">
        <v>5</v>
      </c>
      <c r="K2006" s="1" t="s">
        <v>19</v>
      </c>
      <c r="L2006" s="1" t="s">
        <v>24</v>
      </c>
      <c r="M2006" s="1">
        <f>orders[[#This Row],[Ship Date]]-orders[[#This Row],[Order Date]]</f>
        <v>2</v>
      </c>
      <c r="N2006" s="1">
        <f>WEEKNUM(orders[[#This Row],[Order Date]])</f>
        <v>11</v>
      </c>
      <c r="O2006" s="1" t="str" cm="1">
        <f t="array" ref="O2006">_xlfn.IFS(orders[[#This Row],[Customer Gender]]="M","Male", orders[[#This Row],[Customer Gender]]="F","Female", orders[[#This Row],[Customer Gender]]="O","Other", TRUE,"Unknown")</f>
        <v>Female</v>
      </c>
    </row>
    <row r="2007" spans="1:15">
      <c r="A2007" s="1" t="s">
        <v>2107</v>
      </c>
      <c r="B2007" s="1" t="s">
        <v>44</v>
      </c>
      <c r="C2007" s="1">
        <v>2</v>
      </c>
      <c r="D2007" s="1">
        <v>15.3</v>
      </c>
      <c r="E2007" s="11">
        <v>30.6</v>
      </c>
      <c r="F2007" s="3">
        <v>45731</v>
      </c>
      <c r="G2007" s="3">
        <v>45734</v>
      </c>
      <c r="H2007" s="1" t="s">
        <v>17</v>
      </c>
      <c r="I2007" s="1" t="s">
        <v>40</v>
      </c>
      <c r="J2007" s="1">
        <v>5</v>
      </c>
      <c r="K2007" s="1" t="s">
        <v>19</v>
      </c>
      <c r="L2007" s="1" t="s">
        <v>24</v>
      </c>
      <c r="M2007" s="1">
        <f>orders[[#This Row],[Ship Date]]-orders[[#This Row],[Order Date]]</f>
        <v>3</v>
      </c>
      <c r="N2007" s="1">
        <f>WEEKNUM(orders[[#This Row],[Order Date]])</f>
        <v>11</v>
      </c>
      <c r="O2007" s="1" t="str" cm="1">
        <f t="array" ref="O2007">_xlfn.IFS(orders[[#This Row],[Customer Gender]]="M","Male", orders[[#This Row],[Customer Gender]]="F","Female", orders[[#This Row],[Customer Gender]]="O","Other", TRUE,"Unknown")</f>
        <v>Unknown</v>
      </c>
    </row>
    <row r="2008" spans="1:15">
      <c r="A2008" s="1" t="s">
        <v>2108</v>
      </c>
      <c r="B2008" s="1" t="s">
        <v>22</v>
      </c>
      <c r="C2008" s="1">
        <v>1</v>
      </c>
      <c r="D2008" s="1">
        <v>54.6</v>
      </c>
      <c r="E2008" s="11">
        <v>54.6</v>
      </c>
      <c r="F2008" s="3">
        <v>45731</v>
      </c>
      <c r="G2008" s="3">
        <v>45733</v>
      </c>
      <c r="H2008" s="1" t="s">
        <v>23</v>
      </c>
      <c r="I2008" s="1" t="s">
        <v>35</v>
      </c>
      <c r="J2008" s="1">
        <v>3</v>
      </c>
      <c r="K2008" s="1" t="s">
        <v>19</v>
      </c>
      <c r="L2008" s="1" t="s">
        <v>28</v>
      </c>
      <c r="M2008" s="1">
        <f>orders[[#This Row],[Ship Date]]-orders[[#This Row],[Order Date]]</f>
        <v>2</v>
      </c>
      <c r="N2008" s="1">
        <f>WEEKNUM(orders[[#This Row],[Order Date]])</f>
        <v>11</v>
      </c>
      <c r="O2008" s="1" t="str" cm="1">
        <f t="array" ref="O2008">_xlfn.IFS(orders[[#This Row],[Customer Gender]]="M","Male", orders[[#This Row],[Customer Gender]]="F","Female", orders[[#This Row],[Customer Gender]]="O","Other", TRUE,"Unknown")</f>
        <v>Male</v>
      </c>
    </row>
    <row r="2009" spans="1:15">
      <c r="A2009" s="1" t="s">
        <v>2109</v>
      </c>
      <c r="B2009" s="1" t="s">
        <v>44</v>
      </c>
      <c r="C2009" s="1">
        <v>1</v>
      </c>
      <c r="D2009" s="1">
        <v>15.9</v>
      </c>
      <c r="E2009" s="11">
        <v>15.9</v>
      </c>
      <c r="F2009" s="3">
        <v>45731</v>
      </c>
      <c r="G2009" s="3">
        <v>45732</v>
      </c>
      <c r="H2009" s="1" t="s">
        <v>23</v>
      </c>
      <c r="I2009" s="1" t="s">
        <v>18</v>
      </c>
      <c r="J2009" s="1">
        <v>3</v>
      </c>
      <c r="K2009" s="1" t="s">
        <v>19</v>
      </c>
      <c r="L2009" s="1" t="s">
        <v>147</v>
      </c>
      <c r="M2009" s="1">
        <f>orders[[#This Row],[Ship Date]]-orders[[#This Row],[Order Date]]</f>
        <v>1</v>
      </c>
      <c r="N2009" s="1">
        <f>WEEKNUM(orders[[#This Row],[Order Date]])</f>
        <v>11</v>
      </c>
      <c r="O2009" s="1" t="str" cm="1">
        <f t="array" ref="O2009">_xlfn.IFS(orders[[#This Row],[Customer Gender]]="M","Male", orders[[#This Row],[Customer Gender]]="F","Female", orders[[#This Row],[Customer Gender]]="O","Other", TRUE,"Unknown")</f>
        <v>Male</v>
      </c>
    </row>
    <row r="2010" spans="1:15">
      <c r="A2010" s="1" t="s">
        <v>2110</v>
      </c>
      <c r="B2010" s="1" t="s">
        <v>46</v>
      </c>
      <c r="C2010" s="1">
        <v>1</v>
      </c>
      <c r="D2010" s="1">
        <v>50.2</v>
      </c>
      <c r="E2010" s="11">
        <v>50.2</v>
      </c>
      <c r="F2010" s="3">
        <v>45731</v>
      </c>
      <c r="G2010" s="3">
        <v>45733</v>
      </c>
      <c r="H2010" s="1" t="s">
        <v>27</v>
      </c>
      <c r="I2010" s="1" t="s">
        <v>51</v>
      </c>
      <c r="J2010" s="1">
        <v>5</v>
      </c>
      <c r="K2010" s="1" t="s">
        <v>19</v>
      </c>
      <c r="L2010" s="1" t="s">
        <v>334</v>
      </c>
      <c r="M2010" s="1">
        <f>orders[[#This Row],[Ship Date]]-orders[[#This Row],[Order Date]]</f>
        <v>2</v>
      </c>
      <c r="N2010" s="1">
        <f>WEEKNUM(orders[[#This Row],[Order Date]])</f>
        <v>11</v>
      </c>
      <c r="O2010" s="1" t="str" cm="1">
        <f t="array" ref="O2010">_xlfn.IFS(orders[[#This Row],[Customer Gender]]="M","Male", orders[[#This Row],[Customer Gender]]="F","Female", orders[[#This Row],[Customer Gender]]="O","Other", TRUE,"Unknown")</f>
        <v>Female</v>
      </c>
    </row>
    <row r="2011" spans="1:15">
      <c r="A2011" s="1" t="s">
        <v>2111</v>
      </c>
      <c r="B2011" s="1" t="s">
        <v>67</v>
      </c>
      <c r="C2011" s="1">
        <v>4</v>
      </c>
      <c r="D2011" s="1">
        <v>85.1</v>
      </c>
      <c r="E2011" s="11">
        <v>340.4</v>
      </c>
      <c r="F2011" s="3">
        <v>45731</v>
      </c>
      <c r="G2011" s="3">
        <v>45732</v>
      </c>
      <c r="H2011" s="1" t="s">
        <v>27</v>
      </c>
      <c r="I2011" s="1" t="s">
        <v>51</v>
      </c>
      <c r="J2011" s="1">
        <v>2</v>
      </c>
      <c r="K2011" s="1" t="s">
        <v>19</v>
      </c>
      <c r="L2011" s="1" t="s">
        <v>334</v>
      </c>
      <c r="M2011" s="1">
        <f>orders[[#This Row],[Ship Date]]-orders[[#This Row],[Order Date]]</f>
        <v>1</v>
      </c>
      <c r="N2011" s="1">
        <f>WEEKNUM(orders[[#This Row],[Order Date]])</f>
        <v>11</v>
      </c>
      <c r="O2011" s="1" t="str" cm="1">
        <f t="array" ref="O2011">_xlfn.IFS(orders[[#This Row],[Customer Gender]]="M","Male", orders[[#This Row],[Customer Gender]]="F","Female", orders[[#This Row],[Customer Gender]]="O","Other", TRUE,"Unknown")</f>
        <v>Female</v>
      </c>
    </row>
    <row r="2012" spans="1:15">
      <c r="A2012" s="1" t="s">
        <v>2112</v>
      </c>
      <c r="B2012" s="1" t="s">
        <v>67</v>
      </c>
      <c r="C2012" s="1">
        <v>2</v>
      </c>
      <c r="D2012" s="1">
        <v>41.4</v>
      </c>
      <c r="E2012" s="11">
        <v>82.8</v>
      </c>
      <c r="F2012" s="3">
        <v>45731</v>
      </c>
      <c r="G2012" s="3">
        <v>45732</v>
      </c>
      <c r="H2012" s="1" t="s">
        <v>27</v>
      </c>
      <c r="I2012" s="1" t="s">
        <v>18</v>
      </c>
      <c r="J2012" s="1">
        <v>5</v>
      </c>
      <c r="K2012" s="1" t="s">
        <v>19</v>
      </c>
      <c r="L2012" s="1" t="s">
        <v>33</v>
      </c>
      <c r="M2012" s="1">
        <f>orders[[#This Row],[Ship Date]]-orders[[#This Row],[Order Date]]</f>
        <v>1</v>
      </c>
      <c r="N2012" s="1">
        <f>WEEKNUM(orders[[#This Row],[Order Date]])</f>
        <v>11</v>
      </c>
      <c r="O2012" s="1" t="str" cm="1">
        <f t="array" ref="O2012">_xlfn.IFS(orders[[#This Row],[Customer Gender]]="M","Male", orders[[#This Row],[Customer Gender]]="F","Female", orders[[#This Row],[Customer Gender]]="O","Other", TRUE,"Unknown")</f>
        <v>Female</v>
      </c>
    </row>
    <row r="2013" spans="1:15">
      <c r="A2013" s="1" t="s">
        <v>2113</v>
      </c>
      <c r="B2013" s="1" t="s">
        <v>32</v>
      </c>
      <c r="C2013" s="1">
        <v>7</v>
      </c>
      <c r="D2013" s="1">
        <v>32.700000000000003</v>
      </c>
      <c r="E2013" s="11">
        <v>228.90000000000003</v>
      </c>
      <c r="F2013" s="3">
        <v>45731</v>
      </c>
      <c r="G2013" s="3">
        <v>45732</v>
      </c>
      <c r="H2013" s="1" t="s">
        <v>27</v>
      </c>
      <c r="I2013" s="1" t="s">
        <v>40</v>
      </c>
      <c r="J2013" s="1">
        <v>3</v>
      </c>
      <c r="K2013" s="1" t="s">
        <v>19</v>
      </c>
      <c r="L2013" s="1" t="s">
        <v>33</v>
      </c>
      <c r="M2013" s="1">
        <f>orders[[#This Row],[Ship Date]]-orders[[#This Row],[Order Date]]</f>
        <v>1</v>
      </c>
      <c r="N2013" s="1">
        <f>WEEKNUM(orders[[#This Row],[Order Date]])</f>
        <v>11</v>
      </c>
      <c r="O2013" s="1" t="str" cm="1">
        <f t="array" ref="O2013">_xlfn.IFS(orders[[#This Row],[Customer Gender]]="M","Male", orders[[#This Row],[Customer Gender]]="F","Female", orders[[#This Row],[Customer Gender]]="O","Other", TRUE,"Unknown")</f>
        <v>Female</v>
      </c>
    </row>
    <row r="2014" spans="1:15">
      <c r="A2014" s="1" t="s">
        <v>2114</v>
      </c>
      <c r="B2014" s="1" t="s">
        <v>32</v>
      </c>
      <c r="C2014" s="1">
        <v>2</v>
      </c>
      <c r="D2014" s="1">
        <v>41.6</v>
      </c>
      <c r="E2014" s="11">
        <v>83.2</v>
      </c>
      <c r="F2014" s="3">
        <v>45731</v>
      </c>
      <c r="G2014" s="3">
        <v>45733</v>
      </c>
      <c r="H2014" s="1" t="s">
        <v>23</v>
      </c>
      <c r="I2014" s="1" t="s">
        <v>70</v>
      </c>
      <c r="J2014" s="1">
        <v>3</v>
      </c>
      <c r="K2014" s="1" t="s">
        <v>19</v>
      </c>
      <c r="L2014" s="1" t="s">
        <v>33</v>
      </c>
      <c r="M2014" s="1">
        <f>orders[[#This Row],[Ship Date]]-orders[[#This Row],[Order Date]]</f>
        <v>2</v>
      </c>
      <c r="N2014" s="1">
        <f>WEEKNUM(orders[[#This Row],[Order Date]])</f>
        <v>11</v>
      </c>
      <c r="O2014" s="1" t="str" cm="1">
        <f t="array" ref="O2014">_xlfn.IFS(orders[[#This Row],[Customer Gender]]="M","Male", orders[[#This Row],[Customer Gender]]="F","Female", orders[[#This Row],[Customer Gender]]="O","Other", TRUE,"Unknown")</f>
        <v>Male</v>
      </c>
    </row>
    <row r="2015" spans="1:15">
      <c r="A2015" s="1" t="s">
        <v>2115</v>
      </c>
      <c r="B2015" s="1" t="s">
        <v>37</v>
      </c>
      <c r="C2015" s="1">
        <v>4</v>
      </c>
      <c r="D2015" s="1">
        <v>64.8</v>
      </c>
      <c r="E2015" s="11">
        <v>259.2</v>
      </c>
      <c r="F2015" s="3">
        <v>45731</v>
      </c>
      <c r="G2015" s="3">
        <v>45732</v>
      </c>
      <c r="H2015" s="1" t="s">
        <v>17</v>
      </c>
      <c r="I2015" s="1" t="s">
        <v>40</v>
      </c>
      <c r="J2015" s="1">
        <v>4</v>
      </c>
      <c r="K2015" s="1" t="s">
        <v>19</v>
      </c>
      <c r="L2015" s="1" t="s">
        <v>33</v>
      </c>
      <c r="M2015" s="1">
        <f>orders[[#This Row],[Ship Date]]-orders[[#This Row],[Order Date]]</f>
        <v>1</v>
      </c>
      <c r="N2015" s="1">
        <f>WEEKNUM(orders[[#This Row],[Order Date]])</f>
        <v>11</v>
      </c>
      <c r="O2015" s="1" t="str" cm="1">
        <f t="array" ref="O2015">_xlfn.IFS(orders[[#This Row],[Customer Gender]]="M","Male", orders[[#This Row],[Customer Gender]]="F","Female", orders[[#This Row],[Customer Gender]]="O","Other", TRUE,"Unknown")</f>
        <v>Unknown</v>
      </c>
    </row>
    <row r="2016" spans="1:15">
      <c r="A2016" s="1" t="s">
        <v>2116</v>
      </c>
      <c r="B2016" s="1" t="s">
        <v>123</v>
      </c>
      <c r="C2016" s="1">
        <v>2</v>
      </c>
      <c r="D2016" s="1">
        <v>33.6</v>
      </c>
      <c r="E2016" s="11">
        <v>67.2</v>
      </c>
      <c r="F2016" s="3">
        <v>45731</v>
      </c>
      <c r="G2016" s="3">
        <v>45732</v>
      </c>
      <c r="H2016" s="1" t="s">
        <v>23</v>
      </c>
      <c r="I2016" s="1" t="s">
        <v>18</v>
      </c>
      <c r="J2016" s="1">
        <v>5</v>
      </c>
      <c r="K2016" s="1" t="s">
        <v>19</v>
      </c>
      <c r="L2016" s="1" t="s">
        <v>33</v>
      </c>
      <c r="M2016" s="1">
        <f>orders[[#This Row],[Ship Date]]-orders[[#This Row],[Order Date]]</f>
        <v>1</v>
      </c>
      <c r="N2016" s="1">
        <f>WEEKNUM(orders[[#This Row],[Order Date]])</f>
        <v>11</v>
      </c>
      <c r="O2016" s="1" t="str" cm="1">
        <f t="array" ref="O2016">_xlfn.IFS(orders[[#This Row],[Customer Gender]]="M","Male", orders[[#This Row],[Customer Gender]]="F","Female", orders[[#This Row],[Customer Gender]]="O","Other", TRUE,"Unknown")</f>
        <v>Male</v>
      </c>
    </row>
    <row r="2017" spans="1:15">
      <c r="A2017" s="1" t="s">
        <v>2117</v>
      </c>
      <c r="B2017" s="1" t="s">
        <v>39</v>
      </c>
      <c r="C2017" s="1">
        <v>3</v>
      </c>
      <c r="D2017" s="1">
        <v>100.7</v>
      </c>
      <c r="E2017" s="11">
        <v>302.10000000000002</v>
      </c>
      <c r="F2017" s="3">
        <v>45731</v>
      </c>
      <c r="G2017" s="3">
        <v>45732</v>
      </c>
      <c r="H2017" s="1" t="s">
        <v>17</v>
      </c>
      <c r="I2017" s="1" t="s">
        <v>35</v>
      </c>
      <c r="J2017" s="1">
        <v>4</v>
      </c>
      <c r="K2017" s="1" t="s">
        <v>19</v>
      </c>
      <c r="L2017" s="1" t="s">
        <v>33</v>
      </c>
      <c r="M2017" s="1">
        <f>orders[[#This Row],[Ship Date]]-orders[[#This Row],[Order Date]]</f>
        <v>1</v>
      </c>
      <c r="N2017" s="1">
        <f>WEEKNUM(orders[[#This Row],[Order Date]])</f>
        <v>11</v>
      </c>
      <c r="O2017" s="1" t="str" cm="1">
        <f t="array" ref="O2017">_xlfn.IFS(orders[[#This Row],[Customer Gender]]="M","Male", orders[[#This Row],[Customer Gender]]="F","Female", orders[[#This Row],[Customer Gender]]="O","Other", TRUE,"Unknown")</f>
        <v>Unknown</v>
      </c>
    </row>
    <row r="2018" spans="1:15">
      <c r="A2018" s="1" t="s">
        <v>2118</v>
      </c>
      <c r="B2018" s="1" t="s">
        <v>32</v>
      </c>
      <c r="C2018" s="1">
        <v>2</v>
      </c>
      <c r="D2018" s="1">
        <v>49.3</v>
      </c>
      <c r="E2018" s="11">
        <v>98.6</v>
      </c>
      <c r="F2018" s="3">
        <v>45732</v>
      </c>
      <c r="G2018" s="3">
        <v>45734</v>
      </c>
      <c r="H2018" s="1" t="s">
        <v>27</v>
      </c>
      <c r="I2018" s="1" t="s">
        <v>70</v>
      </c>
      <c r="J2018" s="1">
        <v>5</v>
      </c>
      <c r="K2018" s="1" t="s">
        <v>19</v>
      </c>
      <c r="L2018" s="1" t="s">
        <v>33</v>
      </c>
      <c r="M2018" s="1">
        <f>orders[[#This Row],[Ship Date]]-orders[[#This Row],[Order Date]]</f>
        <v>2</v>
      </c>
      <c r="N2018" s="1">
        <f>WEEKNUM(orders[[#This Row],[Order Date]])</f>
        <v>12</v>
      </c>
      <c r="O2018" s="1" t="str" cm="1">
        <f t="array" ref="O2018">_xlfn.IFS(orders[[#This Row],[Customer Gender]]="M","Male", orders[[#This Row],[Customer Gender]]="F","Female", orders[[#This Row],[Customer Gender]]="O","Other", TRUE,"Unknown")</f>
        <v>Female</v>
      </c>
    </row>
    <row r="2019" spans="1:15">
      <c r="A2019" s="1" t="s">
        <v>2119</v>
      </c>
      <c r="B2019" s="1" t="s">
        <v>26</v>
      </c>
      <c r="C2019" s="1">
        <v>6</v>
      </c>
      <c r="D2019" s="1">
        <v>97</v>
      </c>
      <c r="E2019" s="11">
        <v>582</v>
      </c>
      <c r="F2019" s="3">
        <v>45732</v>
      </c>
      <c r="G2019" s="3">
        <v>45735</v>
      </c>
      <c r="H2019" s="1" t="s">
        <v>23</v>
      </c>
      <c r="I2019" s="1" t="s">
        <v>40</v>
      </c>
      <c r="J2019" s="1">
        <v>5</v>
      </c>
      <c r="K2019" s="1" t="s">
        <v>19</v>
      </c>
      <c r="L2019" s="1" t="s">
        <v>33</v>
      </c>
      <c r="M2019" s="1">
        <f>orders[[#This Row],[Ship Date]]-orders[[#This Row],[Order Date]]</f>
        <v>3</v>
      </c>
      <c r="N2019" s="1">
        <f>WEEKNUM(orders[[#This Row],[Order Date]])</f>
        <v>12</v>
      </c>
      <c r="O2019" s="1" t="str" cm="1">
        <f t="array" ref="O2019">_xlfn.IFS(orders[[#This Row],[Customer Gender]]="M","Male", orders[[#This Row],[Customer Gender]]="F","Female", orders[[#This Row],[Customer Gender]]="O","Other", TRUE,"Unknown")</f>
        <v>Male</v>
      </c>
    </row>
    <row r="2020" spans="1:15">
      <c r="A2020" s="1" t="s">
        <v>2120</v>
      </c>
      <c r="B2020" s="1" t="s">
        <v>16</v>
      </c>
      <c r="C2020" s="1">
        <v>6</v>
      </c>
      <c r="D2020" s="1">
        <v>25.2</v>
      </c>
      <c r="E2020" s="11">
        <v>151.19999999999999</v>
      </c>
      <c r="F2020" s="3">
        <v>45732</v>
      </c>
      <c r="G2020" s="3">
        <v>45735</v>
      </c>
      <c r="H2020" s="1" t="s">
        <v>27</v>
      </c>
      <c r="I2020" s="1" t="s">
        <v>70</v>
      </c>
      <c r="J2020" s="1">
        <v>5</v>
      </c>
      <c r="K2020" s="1" t="s">
        <v>19</v>
      </c>
      <c r="L2020" s="1" t="s">
        <v>33</v>
      </c>
      <c r="M2020" s="1">
        <f>orders[[#This Row],[Ship Date]]-orders[[#This Row],[Order Date]]</f>
        <v>3</v>
      </c>
      <c r="N2020" s="1">
        <f>WEEKNUM(orders[[#This Row],[Order Date]])</f>
        <v>12</v>
      </c>
      <c r="O2020" s="1" t="str" cm="1">
        <f t="array" ref="O2020">_xlfn.IFS(orders[[#This Row],[Customer Gender]]="M","Male", orders[[#This Row],[Customer Gender]]="F","Female", orders[[#This Row],[Customer Gender]]="O","Other", TRUE,"Unknown")</f>
        <v>Female</v>
      </c>
    </row>
    <row r="2021" spans="1:15">
      <c r="A2021" s="1" t="s">
        <v>2121</v>
      </c>
      <c r="B2021" s="1" t="s">
        <v>16</v>
      </c>
      <c r="C2021" s="1">
        <v>11</v>
      </c>
      <c r="D2021" s="1">
        <v>12.2</v>
      </c>
      <c r="E2021" s="11">
        <v>134.19999999999999</v>
      </c>
      <c r="F2021" s="3">
        <v>45732</v>
      </c>
      <c r="G2021" s="3">
        <v>45733</v>
      </c>
      <c r="H2021" s="1" t="s">
        <v>17</v>
      </c>
      <c r="I2021" s="1" t="s">
        <v>18</v>
      </c>
      <c r="J2021" s="1">
        <v>3</v>
      </c>
      <c r="K2021" s="1" t="s">
        <v>19</v>
      </c>
      <c r="L2021" s="1" t="s">
        <v>33</v>
      </c>
      <c r="M2021" s="1">
        <f>orders[[#This Row],[Ship Date]]-orders[[#This Row],[Order Date]]</f>
        <v>1</v>
      </c>
      <c r="N2021" s="1">
        <f>WEEKNUM(orders[[#This Row],[Order Date]])</f>
        <v>12</v>
      </c>
      <c r="O2021" s="1" t="str" cm="1">
        <f t="array" ref="O2021">_xlfn.IFS(orders[[#This Row],[Customer Gender]]="M","Male", orders[[#This Row],[Customer Gender]]="F","Female", orders[[#This Row],[Customer Gender]]="O","Other", TRUE,"Unknown")</f>
        <v>Unknown</v>
      </c>
    </row>
    <row r="2022" spans="1:15">
      <c r="A2022" s="1" t="s">
        <v>2122</v>
      </c>
      <c r="B2022" s="1" t="s">
        <v>44</v>
      </c>
      <c r="C2022" s="1">
        <v>7</v>
      </c>
      <c r="D2022" s="1">
        <v>38.799999999999997</v>
      </c>
      <c r="E2022" s="11">
        <v>271.59999999999997</v>
      </c>
      <c r="F2022" s="3">
        <v>45732</v>
      </c>
      <c r="G2022" s="3">
        <v>45734</v>
      </c>
      <c r="H2022" s="1" t="s">
        <v>27</v>
      </c>
      <c r="I2022" s="1" t="s">
        <v>35</v>
      </c>
      <c r="J2022" s="1">
        <v>3</v>
      </c>
      <c r="K2022" s="1" t="s">
        <v>19</v>
      </c>
      <c r="L2022" s="1" t="s">
        <v>158</v>
      </c>
      <c r="M2022" s="1">
        <f>orders[[#This Row],[Ship Date]]-orders[[#This Row],[Order Date]]</f>
        <v>2</v>
      </c>
      <c r="N2022" s="1">
        <f>WEEKNUM(orders[[#This Row],[Order Date]])</f>
        <v>12</v>
      </c>
      <c r="O2022" s="1" t="str" cm="1">
        <f t="array" ref="O2022">_xlfn.IFS(orders[[#This Row],[Customer Gender]]="M","Male", orders[[#This Row],[Customer Gender]]="F","Female", orders[[#This Row],[Customer Gender]]="O","Other", TRUE,"Unknown")</f>
        <v>Female</v>
      </c>
    </row>
    <row r="2023" spans="1:15">
      <c r="A2023" s="1" t="s">
        <v>2123</v>
      </c>
      <c r="B2023" s="1" t="s">
        <v>26</v>
      </c>
      <c r="C2023" s="1">
        <v>4</v>
      </c>
      <c r="D2023" s="1">
        <v>53.2</v>
      </c>
      <c r="E2023" s="11">
        <v>212.8</v>
      </c>
      <c r="F2023" s="3">
        <v>45732</v>
      </c>
      <c r="G2023" s="3">
        <v>45733</v>
      </c>
      <c r="H2023" s="1" t="s">
        <v>23</v>
      </c>
      <c r="I2023" s="1" t="s">
        <v>18</v>
      </c>
      <c r="J2023" s="1">
        <v>5</v>
      </c>
      <c r="K2023" s="1" t="s">
        <v>19</v>
      </c>
      <c r="L2023" s="1" t="s">
        <v>62</v>
      </c>
      <c r="M2023" s="1">
        <f>orders[[#This Row],[Ship Date]]-orders[[#This Row],[Order Date]]</f>
        <v>1</v>
      </c>
      <c r="N2023" s="1">
        <f>WEEKNUM(orders[[#This Row],[Order Date]])</f>
        <v>12</v>
      </c>
      <c r="O2023" s="1" t="str" cm="1">
        <f t="array" ref="O2023">_xlfn.IFS(orders[[#This Row],[Customer Gender]]="M","Male", orders[[#This Row],[Customer Gender]]="F","Female", orders[[#This Row],[Customer Gender]]="O","Other", TRUE,"Unknown")</f>
        <v>Male</v>
      </c>
    </row>
    <row r="2024" spans="1:15">
      <c r="A2024" s="1" t="s">
        <v>2124</v>
      </c>
      <c r="B2024" s="1" t="s">
        <v>39</v>
      </c>
      <c r="C2024" s="1">
        <v>7</v>
      </c>
      <c r="D2024" s="1">
        <v>151</v>
      </c>
      <c r="E2024" s="11">
        <v>1057</v>
      </c>
      <c r="F2024" s="3">
        <v>45732</v>
      </c>
      <c r="G2024" s="3">
        <v>45733</v>
      </c>
      <c r="H2024" s="1" t="s">
        <v>89</v>
      </c>
      <c r="I2024" s="1" t="s">
        <v>35</v>
      </c>
      <c r="J2024" s="1">
        <v>3</v>
      </c>
      <c r="K2024" s="1" t="s">
        <v>19</v>
      </c>
      <c r="L2024" s="1" t="s">
        <v>62</v>
      </c>
      <c r="M2024" s="1">
        <f>orders[[#This Row],[Ship Date]]-orders[[#This Row],[Order Date]]</f>
        <v>1</v>
      </c>
      <c r="N2024" s="1">
        <f>WEEKNUM(orders[[#This Row],[Order Date]])</f>
        <v>12</v>
      </c>
      <c r="O2024" s="1" t="str" cm="1">
        <f t="array" ref="O2024">_xlfn.IFS(orders[[#This Row],[Customer Gender]]="M","Male", orders[[#This Row],[Customer Gender]]="F","Female", orders[[#This Row],[Customer Gender]]="O","Other", TRUE,"Unknown")</f>
        <v>Other</v>
      </c>
    </row>
    <row r="2025" spans="1:15">
      <c r="A2025" s="1" t="s">
        <v>2125</v>
      </c>
      <c r="B2025" s="1" t="s">
        <v>22</v>
      </c>
      <c r="C2025" s="1">
        <v>2</v>
      </c>
      <c r="D2025" s="1">
        <v>37.1</v>
      </c>
      <c r="E2025" s="11">
        <v>74.2</v>
      </c>
      <c r="F2025" s="3">
        <v>45732</v>
      </c>
      <c r="G2025" s="3">
        <v>45733</v>
      </c>
      <c r="H2025" s="1" t="s">
        <v>27</v>
      </c>
      <c r="I2025" s="1" t="s">
        <v>70</v>
      </c>
      <c r="J2025" s="1">
        <v>4</v>
      </c>
      <c r="K2025" s="1" t="s">
        <v>19</v>
      </c>
      <c r="L2025" s="1" t="s">
        <v>62</v>
      </c>
      <c r="M2025" s="1">
        <f>orders[[#This Row],[Ship Date]]-orders[[#This Row],[Order Date]]</f>
        <v>1</v>
      </c>
      <c r="N2025" s="1">
        <f>WEEKNUM(orders[[#This Row],[Order Date]])</f>
        <v>12</v>
      </c>
      <c r="O2025" s="1" t="str" cm="1">
        <f t="array" ref="O2025">_xlfn.IFS(orders[[#This Row],[Customer Gender]]="M","Male", orders[[#This Row],[Customer Gender]]="F","Female", orders[[#This Row],[Customer Gender]]="O","Other", TRUE,"Unknown")</f>
        <v>Female</v>
      </c>
    </row>
    <row r="2026" spans="1:15">
      <c r="A2026" s="1" t="s">
        <v>2126</v>
      </c>
      <c r="B2026" s="1" t="s">
        <v>37</v>
      </c>
      <c r="C2026" s="1">
        <v>2</v>
      </c>
      <c r="D2026" s="1">
        <v>38.9</v>
      </c>
      <c r="E2026" s="11">
        <v>77.8</v>
      </c>
      <c r="F2026" s="3">
        <v>45732</v>
      </c>
      <c r="G2026" s="3">
        <v>45733</v>
      </c>
      <c r="H2026" s="1" t="s">
        <v>23</v>
      </c>
      <c r="I2026" s="1" t="s">
        <v>70</v>
      </c>
      <c r="J2026" s="1">
        <v>4</v>
      </c>
      <c r="K2026" s="1" t="s">
        <v>19</v>
      </c>
      <c r="L2026" s="1" t="s">
        <v>62</v>
      </c>
      <c r="M2026" s="1">
        <f>orders[[#This Row],[Ship Date]]-orders[[#This Row],[Order Date]]</f>
        <v>1</v>
      </c>
      <c r="N2026" s="1">
        <f>WEEKNUM(orders[[#This Row],[Order Date]])</f>
        <v>12</v>
      </c>
      <c r="O2026" s="1" t="str" cm="1">
        <f t="array" ref="O2026">_xlfn.IFS(orders[[#This Row],[Customer Gender]]="M","Male", orders[[#This Row],[Customer Gender]]="F","Female", orders[[#This Row],[Customer Gender]]="O","Other", TRUE,"Unknown")</f>
        <v>Male</v>
      </c>
    </row>
    <row r="2027" spans="1:15">
      <c r="A2027" s="1" t="s">
        <v>2127</v>
      </c>
      <c r="B2027" s="1" t="s">
        <v>54</v>
      </c>
      <c r="C2027" s="1">
        <v>2</v>
      </c>
      <c r="D2027" s="1">
        <v>35.200000000000003</v>
      </c>
      <c r="E2027" s="11">
        <v>70.400000000000006</v>
      </c>
      <c r="F2027" s="3">
        <v>45732</v>
      </c>
      <c r="G2027" s="3">
        <v>45733</v>
      </c>
      <c r="H2027" s="1" t="s">
        <v>23</v>
      </c>
      <c r="I2027" s="1" t="s">
        <v>18</v>
      </c>
      <c r="J2027" s="1">
        <v>5</v>
      </c>
      <c r="K2027" s="1" t="s">
        <v>19</v>
      </c>
      <c r="L2027" s="1" t="s">
        <v>103</v>
      </c>
      <c r="M2027" s="1">
        <f>orders[[#This Row],[Ship Date]]-orders[[#This Row],[Order Date]]</f>
        <v>1</v>
      </c>
      <c r="N2027" s="1">
        <f>WEEKNUM(orders[[#This Row],[Order Date]])</f>
        <v>12</v>
      </c>
      <c r="O2027" s="1" t="str" cm="1">
        <f t="array" ref="O2027">_xlfn.IFS(orders[[#This Row],[Customer Gender]]="M","Male", orders[[#This Row],[Customer Gender]]="F","Female", orders[[#This Row],[Customer Gender]]="O","Other", TRUE,"Unknown")</f>
        <v>Male</v>
      </c>
    </row>
    <row r="2028" spans="1:15">
      <c r="A2028" s="1" t="s">
        <v>2128</v>
      </c>
      <c r="B2028" s="1" t="s">
        <v>16</v>
      </c>
      <c r="C2028" s="1">
        <v>2</v>
      </c>
      <c r="D2028" s="1">
        <v>22.3</v>
      </c>
      <c r="E2028" s="11">
        <v>44.6</v>
      </c>
      <c r="F2028" s="3">
        <v>45732</v>
      </c>
      <c r="G2028" s="3">
        <v>45734</v>
      </c>
      <c r="H2028" s="1" t="s">
        <v>27</v>
      </c>
      <c r="I2028" s="1" t="s">
        <v>35</v>
      </c>
      <c r="J2028" s="1">
        <v>4</v>
      </c>
      <c r="K2028" s="1" t="s">
        <v>19</v>
      </c>
      <c r="L2028" s="1" t="s">
        <v>72</v>
      </c>
      <c r="M2028" s="1">
        <f>orders[[#This Row],[Ship Date]]-orders[[#This Row],[Order Date]]</f>
        <v>2</v>
      </c>
      <c r="N2028" s="1">
        <f>WEEKNUM(orders[[#This Row],[Order Date]])</f>
        <v>12</v>
      </c>
      <c r="O2028" s="1" t="str" cm="1">
        <f t="array" ref="O2028">_xlfn.IFS(orders[[#This Row],[Customer Gender]]="M","Male", orders[[#This Row],[Customer Gender]]="F","Female", orders[[#This Row],[Customer Gender]]="O","Other", TRUE,"Unknown")</f>
        <v>Female</v>
      </c>
    </row>
    <row r="2029" spans="1:15">
      <c r="A2029" s="1" t="s">
        <v>2129</v>
      </c>
      <c r="B2029" s="1" t="s">
        <v>46</v>
      </c>
      <c r="C2029" s="1">
        <v>1</v>
      </c>
      <c r="D2029" s="1">
        <v>43.3</v>
      </c>
      <c r="E2029" s="11">
        <v>43.3</v>
      </c>
      <c r="F2029" s="3">
        <v>45732</v>
      </c>
      <c r="G2029" s="3">
        <v>45735</v>
      </c>
      <c r="H2029" s="1" t="s">
        <v>27</v>
      </c>
      <c r="I2029" s="1" t="s">
        <v>18</v>
      </c>
      <c r="J2029" s="1">
        <v>5</v>
      </c>
      <c r="K2029" s="1" t="s">
        <v>19</v>
      </c>
      <c r="L2029" s="1" t="s">
        <v>77</v>
      </c>
      <c r="M2029" s="1">
        <f>orders[[#This Row],[Ship Date]]-orders[[#This Row],[Order Date]]</f>
        <v>3</v>
      </c>
      <c r="N2029" s="1">
        <f>WEEKNUM(orders[[#This Row],[Order Date]])</f>
        <v>12</v>
      </c>
      <c r="O2029" s="1" t="str" cm="1">
        <f t="array" ref="O2029">_xlfn.IFS(orders[[#This Row],[Customer Gender]]="M","Male", orders[[#This Row],[Customer Gender]]="F","Female", orders[[#This Row],[Customer Gender]]="O","Other", TRUE,"Unknown")</f>
        <v>Female</v>
      </c>
    </row>
    <row r="2030" spans="1:15">
      <c r="A2030" s="1" t="s">
        <v>2130</v>
      </c>
      <c r="B2030" s="1" t="s">
        <v>39</v>
      </c>
      <c r="C2030" s="1">
        <v>6</v>
      </c>
      <c r="D2030" s="1">
        <v>75.900000000000006</v>
      </c>
      <c r="E2030" s="11">
        <v>455.40000000000003</v>
      </c>
      <c r="F2030" s="3">
        <v>45732</v>
      </c>
      <c r="G2030" s="3">
        <v>45738</v>
      </c>
      <c r="H2030" s="1" t="s">
        <v>23</v>
      </c>
      <c r="I2030" s="1" t="s">
        <v>18</v>
      </c>
      <c r="J2030" s="1">
        <v>4</v>
      </c>
      <c r="K2030" s="1" t="s">
        <v>19</v>
      </c>
      <c r="L2030" s="1" t="s">
        <v>77</v>
      </c>
      <c r="M2030" s="1">
        <f>orders[[#This Row],[Ship Date]]-orders[[#This Row],[Order Date]]</f>
        <v>6</v>
      </c>
      <c r="N2030" s="1">
        <f>WEEKNUM(orders[[#This Row],[Order Date]])</f>
        <v>12</v>
      </c>
      <c r="O2030" s="1" t="str" cm="1">
        <f t="array" ref="O2030">_xlfn.IFS(orders[[#This Row],[Customer Gender]]="M","Male", orders[[#This Row],[Customer Gender]]="F","Female", orders[[#This Row],[Customer Gender]]="O","Other", TRUE,"Unknown")</f>
        <v>Male</v>
      </c>
    </row>
    <row r="2031" spans="1:15">
      <c r="A2031" s="1" t="s">
        <v>2131</v>
      </c>
      <c r="B2031" s="1" t="s">
        <v>39</v>
      </c>
      <c r="C2031" s="1">
        <v>3</v>
      </c>
      <c r="D2031" s="1">
        <v>78.7</v>
      </c>
      <c r="E2031" s="11">
        <v>236.10000000000002</v>
      </c>
      <c r="F2031" s="3">
        <v>45732</v>
      </c>
      <c r="G2031" s="3">
        <v>45736</v>
      </c>
      <c r="H2031" s="1" t="s">
        <v>27</v>
      </c>
      <c r="I2031" s="1" t="s">
        <v>40</v>
      </c>
      <c r="J2031" s="1">
        <v>3</v>
      </c>
      <c r="K2031" s="1" t="s">
        <v>19</v>
      </c>
      <c r="L2031" s="1" t="s">
        <v>77</v>
      </c>
      <c r="M2031" s="1">
        <f>orders[[#This Row],[Ship Date]]-orders[[#This Row],[Order Date]]</f>
        <v>4</v>
      </c>
      <c r="N2031" s="1">
        <f>WEEKNUM(orders[[#This Row],[Order Date]])</f>
        <v>12</v>
      </c>
      <c r="O2031" s="1" t="str" cm="1">
        <f t="array" ref="O2031">_xlfn.IFS(orders[[#This Row],[Customer Gender]]="M","Male", orders[[#This Row],[Customer Gender]]="F","Female", orders[[#This Row],[Customer Gender]]="O","Other", TRUE,"Unknown")</f>
        <v>Female</v>
      </c>
    </row>
    <row r="2032" spans="1:15">
      <c r="A2032" s="1" t="s">
        <v>2132</v>
      </c>
      <c r="B2032" s="1" t="s">
        <v>22</v>
      </c>
      <c r="C2032" s="1">
        <v>1</v>
      </c>
      <c r="D2032" s="1">
        <v>66.3</v>
      </c>
      <c r="E2032" s="11">
        <v>66.3</v>
      </c>
      <c r="F2032" s="3">
        <v>45732</v>
      </c>
      <c r="G2032" s="3">
        <v>45736</v>
      </c>
      <c r="H2032" s="1" t="s">
        <v>27</v>
      </c>
      <c r="I2032" s="1" t="s">
        <v>18</v>
      </c>
      <c r="J2032" s="1">
        <v>5</v>
      </c>
      <c r="K2032" s="1" t="s">
        <v>19</v>
      </c>
      <c r="L2032" s="1" t="s">
        <v>110</v>
      </c>
      <c r="M2032" s="1">
        <f>orders[[#This Row],[Ship Date]]-orders[[#This Row],[Order Date]]</f>
        <v>4</v>
      </c>
      <c r="N2032" s="1">
        <f>WEEKNUM(orders[[#This Row],[Order Date]])</f>
        <v>12</v>
      </c>
      <c r="O2032" s="1" t="str" cm="1">
        <f t="array" ref="O2032">_xlfn.IFS(orders[[#This Row],[Customer Gender]]="M","Male", orders[[#This Row],[Customer Gender]]="F","Female", orders[[#This Row],[Customer Gender]]="O","Other", TRUE,"Unknown")</f>
        <v>Female</v>
      </c>
    </row>
    <row r="2033" spans="1:15">
      <c r="A2033" s="1" t="s">
        <v>2133</v>
      </c>
      <c r="B2033" s="1" t="s">
        <v>44</v>
      </c>
      <c r="C2033" s="1">
        <v>2</v>
      </c>
      <c r="D2033" s="1">
        <v>33.6</v>
      </c>
      <c r="E2033" s="11">
        <v>67.2</v>
      </c>
      <c r="F2033" s="3">
        <v>45732</v>
      </c>
      <c r="G2033" s="3">
        <v>45732</v>
      </c>
      <c r="H2033" s="1" t="s">
        <v>23</v>
      </c>
      <c r="I2033" s="1" t="s">
        <v>18</v>
      </c>
      <c r="J2033" s="1">
        <v>3</v>
      </c>
      <c r="K2033" s="1" t="s">
        <v>19</v>
      </c>
      <c r="L2033" s="1" t="s">
        <v>110</v>
      </c>
      <c r="M2033" s="1">
        <f>orders[[#This Row],[Ship Date]]-orders[[#This Row],[Order Date]]</f>
        <v>0</v>
      </c>
      <c r="N2033" s="1">
        <f>WEEKNUM(orders[[#This Row],[Order Date]])</f>
        <v>12</v>
      </c>
      <c r="O2033" s="1" t="str" cm="1">
        <f t="array" ref="O2033">_xlfn.IFS(orders[[#This Row],[Customer Gender]]="M","Male", orders[[#This Row],[Customer Gender]]="F","Female", orders[[#This Row],[Customer Gender]]="O","Other", TRUE,"Unknown")</f>
        <v>Male</v>
      </c>
    </row>
    <row r="2034" spans="1:15">
      <c r="A2034" s="1" t="s">
        <v>2134</v>
      </c>
      <c r="B2034" s="1" t="s">
        <v>26</v>
      </c>
      <c r="C2034" s="1">
        <v>7</v>
      </c>
      <c r="D2034" s="1">
        <v>61.4</v>
      </c>
      <c r="E2034" s="11">
        <v>429.8</v>
      </c>
      <c r="F2034" s="3">
        <v>45732</v>
      </c>
      <c r="G2034" s="3">
        <v>45733</v>
      </c>
      <c r="H2034" s="1" t="s">
        <v>23</v>
      </c>
      <c r="I2034" s="1" t="s">
        <v>70</v>
      </c>
      <c r="J2034" s="1">
        <v>4</v>
      </c>
      <c r="K2034" s="1" t="s">
        <v>19</v>
      </c>
      <c r="L2034" s="1" t="s">
        <v>110</v>
      </c>
      <c r="M2034" s="1">
        <f>orders[[#This Row],[Ship Date]]-orders[[#This Row],[Order Date]]</f>
        <v>1</v>
      </c>
      <c r="N2034" s="1">
        <f>WEEKNUM(orders[[#This Row],[Order Date]])</f>
        <v>12</v>
      </c>
      <c r="O2034" s="1" t="str" cm="1">
        <f t="array" ref="O2034">_xlfn.IFS(orders[[#This Row],[Customer Gender]]="M","Male", orders[[#This Row],[Customer Gender]]="F","Female", orders[[#This Row],[Customer Gender]]="O","Other", TRUE,"Unknown")</f>
        <v>Male</v>
      </c>
    </row>
    <row r="2035" spans="1:15">
      <c r="A2035" s="1" t="s">
        <v>2135</v>
      </c>
      <c r="B2035" s="1" t="s">
        <v>44</v>
      </c>
      <c r="C2035" s="1">
        <v>2</v>
      </c>
      <c r="D2035" s="1">
        <v>17.5</v>
      </c>
      <c r="E2035" s="11">
        <v>35</v>
      </c>
      <c r="F2035" s="3">
        <v>45732</v>
      </c>
      <c r="G2035" s="3">
        <v>45735</v>
      </c>
      <c r="H2035" s="1" t="s">
        <v>27</v>
      </c>
      <c r="I2035" s="1" t="s">
        <v>18</v>
      </c>
      <c r="J2035" s="1">
        <v>4</v>
      </c>
      <c r="K2035" s="1" t="s">
        <v>19</v>
      </c>
      <c r="L2035" s="1" t="s">
        <v>115</v>
      </c>
      <c r="M2035" s="1">
        <f>orders[[#This Row],[Ship Date]]-orders[[#This Row],[Order Date]]</f>
        <v>3</v>
      </c>
      <c r="N2035" s="1">
        <f>WEEKNUM(orders[[#This Row],[Order Date]])</f>
        <v>12</v>
      </c>
      <c r="O2035" s="1" t="str" cm="1">
        <f t="array" ref="O2035">_xlfn.IFS(orders[[#This Row],[Customer Gender]]="M","Male", orders[[#This Row],[Customer Gender]]="F","Female", orders[[#This Row],[Customer Gender]]="O","Other", TRUE,"Unknown")</f>
        <v>Female</v>
      </c>
    </row>
    <row r="2036" spans="1:15">
      <c r="A2036" s="1" t="s">
        <v>2136</v>
      </c>
      <c r="B2036" s="1" t="s">
        <v>44</v>
      </c>
      <c r="C2036" s="1">
        <v>2</v>
      </c>
      <c r="D2036" s="1">
        <v>32.5</v>
      </c>
      <c r="E2036" s="11">
        <v>65</v>
      </c>
      <c r="F2036" s="3">
        <v>45732</v>
      </c>
      <c r="G2036" s="3">
        <v>45735</v>
      </c>
      <c r="H2036" s="1" t="s">
        <v>27</v>
      </c>
      <c r="I2036" s="1" t="s">
        <v>35</v>
      </c>
      <c r="J2036" s="1">
        <v>4</v>
      </c>
      <c r="K2036" s="1" t="s">
        <v>19</v>
      </c>
      <c r="L2036" s="1" t="s">
        <v>115</v>
      </c>
      <c r="M2036" s="1">
        <f>orders[[#This Row],[Ship Date]]-orders[[#This Row],[Order Date]]</f>
        <v>3</v>
      </c>
      <c r="N2036" s="1">
        <f>WEEKNUM(orders[[#This Row],[Order Date]])</f>
        <v>12</v>
      </c>
      <c r="O2036" s="1" t="str" cm="1">
        <f t="array" ref="O2036">_xlfn.IFS(orders[[#This Row],[Customer Gender]]="M","Male", orders[[#This Row],[Customer Gender]]="F","Female", orders[[#This Row],[Customer Gender]]="O","Other", TRUE,"Unknown")</f>
        <v>Female</v>
      </c>
    </row>
    <row r="2037" spans="1:15">
      <c r="A2037" s="1" t="s">
        <v>2137</v>
      </c>
      <c r="B2037" s="1" t="s">
        <v>32</v>
      </c>
      <c r="C2037" s="1">
        <v>1</v>
      </c>
      <c r="D2037" s="1">
        <v>34.6</v>
      </c>
      <c r="E2037" s="11">
        <v>34.6</v>
      </c>
      <c r="F2037" s="3">
        <v>45732</v>
      </c>
      <c r="G2037" s="3">
        <v>45733</v>
      </c>
      <c r="H2037" s="1" t="s">
        <v>27</v>
      </c>
      <c r="I2037" s="1" t="s">
        <v>70</v>
      </c>
      <c r="J2037" s="1">
        <v>4</v>
      </c>
      <c r="K2037" s="1" t="s">
        <v>19</v>
      </c>
      <c r="L2037" s="1" t="s">
        <v>115</v>
      </c>
      <c r="M2037" s="1">
        <f>orders[[#This Row],[Ship Date]]-orders[[#This Row],[Order Date]]</f>
        <v>1</v>
      </c>
      <c r="N2037" s="1">
        <f>WEEKNUM(orders[[#This Row],[Order Date]])</f>
        <v>12</v>
      </c>
      <c r="O2037" s="1" t="str" cm="1">
        <f t="array" ref="O2037">_xlfn.IFS(orders[[#This Row],[Customer Gender]]="M","Male", orders[[#This Row],[Customer Gender]]="F","Female", orders[[#This Row],[Customer Gender]]="O","Other", TRUE,"Unknown")</f>
        <v>Female</v>
      </c>
    </row>
    <row r="2038" spans="1:15">
      <c r="A2038" s="1" t="s">
        <v>2138</v>
      </c>
      <c r="B2038" s="1" t="s">
        <v>26</v>
      </c>
      <c r="C2038" s="1">
        <v>1</v>
      </c>
      <c r="D2038" s="1">
        <v>75.900000000000006</v>
      </c>
      <c r="E2038" s="11">
        <v>75.900000000000006</v>
      </c>
      <c r="F2038" s="3">
        <v>45732</v>
      </c>
      <c r="G2038" s="3">
        <v>45732</v>
      </c>
      <c r="H2038" s="1" t="s">
        <v>23</v>
      </c>
      <c r="I2038" s="1" t="s">
        <v>35</v>
      </c>
      <c r="J2038" s="1">
        <v>5</v>
      </c>
      <c r="K2038" s="1" t="s">
        <v>19</v>
      </c>
      <c r="L2038" s="1" t="s">
        <v>115</v>
      </c>
      <c r="M2038" s="1">
        <f>orders[[#This Row],[Ship Date]]-orders[[#This Row],[Order Date]]</f>
        <v>0</v>
      </c>
      <c r="N2038" s="1">
        <f>WEEKNUM(orders[[#This Row],[Order Date]])</f>
        <v>12</v>
      </c>
      <c r="O2038" s="1" t="str" cm="1">
        <f t="array" ref="O2038">_xlfn.IFS(orders[[#This Row],[Customer Gender]]="M","Male", orders[[#This Row],[Customer Gender]]="F","Female", orders[[#This Row],[Customer Gender]]="O","Other", TRUE,"Unknown")</f>
        <v>Male</v>
      </c>
    </row>
    <row r="2039" spans="1:15">
      <c r="A2039" s="1" t="s">
        <v>2139</v>
      </c>
      <c r="B2039" s="1" t="s">
        <v>22</v>
      </c>
      <c r="C2039" s="1">
        <v>3</v>
      </c>
      <c r="D2039" s="1">
        <v>42.1</v>
      </c>
      <c r="E2039" s="11">
        <v>126.30000000000001</v>
      </c>
      <c r="F2039" s="3">
        <v>45732</v>
      </c>
      <c r="G2039" s="3">
        <v>45735</v>
      </c>
      <c r="H2039" s="1" t="s">
        <v>23</v>
      </c>
      <c r="I2039" s="1" t="s">
        <v>35</v>
      </c>
      <c r="J2039" s="1">
        <v>3</v>
      </c>
      <c r="K2039" s="1" t="s">
        <v>19</v>
      </c>
      <c r="L2039" s="1" t="s">
        <v>115</v>
      </c>
      <c r="M2039" s="1">
        <f>orders[[#This Row],[Ship Date]]-orders[[#This Row],[Order Date]]</f>
        <v>3</v>
      </c>
      <c r="N2039" s="1">
        <f>WEEKNUM(orders[[#This Row],[Order Date]])</f>
        <v>12</v>
      </c>
      <c r="O2039" s="1" t="str" cm="1">
        <f t="array" ref="O2039">_xlfn.IFS(orders[[#This Row],[Customer Gender]]="M","Male", orders[[#This Row],[Customer Gender]]="F","Female", orders[[#This Row],[Customer Gender]]="O","Other", TRUE,"Unknown")</f>
        <v>Male</v>
      </c>
    </row>
    <row r="2040" spans="1:15">
      <c r="A2040" s="1" t="s">
        <v>2140</v>
      </c>
      <c r="B2040" s="1" t="s">
        <v>42</v>
      </c>
      <c r="C2040" s="1">
        <v>3</v>
      </c>
      <c r="D2040" s="1">
        <v>65.3</v>
      </c>
      <c r="E2040" s="11">
        <v>195.89999999999998</v>
      </c>
      <c r="F2040" s="3">
        <v>45732</v>
      </c>
      <c r="G2040" s="3">
        <v>45739</v>
      </c>
      <c r="H2040" s="1" t="s">
        <v>23</v>
      </c>
      <c r="I2040" s="1" t="s">
        <v>18</v>
      </c>
      <c r="J2040" s="1">
        <v>4</v>
      </c>
      <c r="K2040" s="1" t="s">
        <v>19</v>
      </c>
      <c r="L2040" s="1" t="s">
        <v>24</v>
      </c>
      <c r="M2040" s="1">
        <f>orders[[#This Row],[Ship Date]]-orders[[#This Row],[Order Date]]</f>
        <v>7</v>
      </c>
      <c r="N2040" s="1">
        <f>WEEKNUM(orders[[#This Row],[Order Date]])</f>
        <v>12</v>
      </c>
      <c r="O2040" s="1" t="str" cm="1">
        <f t="array" ref="O2040">_xlfn.IFS(orders[[#This Row],[Customer Gender]]="M","Male", orders[[#This Row],[Customer Gender]]="F","Female", orders[[#This Row],[Customer Gender]]="O","Other", TRUE,"Unknown")</f>
        <v>Male</v>
      </c>
    </row>
    <row r="2041" spans="1:15">
      <c r="A2041" s="1" t="s">
        <v>2141</v>
      </c>
      <c r="B2041" s="1" t="s">
        <v>123</v>
      </c>
      <c r="C2041" s="1">
        <v>1</v>
      </c>
      <c r="D2041" s="1">
        <v>20.6</v>
      </c>
      <c r="E2041" s="11">
        <v>20.6</v>
      </c>
      <c r="F2041" s="3">
        <v>45732</v>
      </c>
      <c r="G2041" s="3">
        <v>45735</v>
      </c>
      <c r="H2041" s="1" t="s">
        <v>23</v>
      </c>
      <c r="I2041" s="1" t="s">
        <v>51</v>
      </c>
      <c r="J2041" s="1">
        <v>4</v>
      </c>
      <c r="K2041" s="1" t="s">
        <v>19</v>
      </c>
      <c r="L2041" s="1" t="s">
        <v>437</v>
      </c>
      <c r="M2041" s="1">
        <f>orders[[#This Row],[Ship Date]]-orders[[#This Row],[Order Date]]</f>
        <v>3</v>
      </c>
      <c r="N2041" s="1">
        <f>WEEKNUM(orders[[#This Row],[Order Date]])</f>
        <v>12</v>
      </c>
      <c r="O2041" s="1" t="str" cm="1">
        <f t="array" ref="O2041">_xlfn.IFS(orders[[#This Row],[Customer Gender]]="M","Male", orders[[#This Row],[Customer Gender]]="F","Female", orders[[#This Row],[Customer Gender]]="O","Other", TRUE,"Unknown")</f>
        <v>Male</v>
      </c>
    </row>
    <row r="2042" spans="1:15">
      <c r="A2042" s="1" t="s">
        <v>2142</v>
      </c>
      <c r="B2042" s="1" t="s">
        <v>44</v>
      </c>
      <c r="C2042" s="1">
        <v>7</v>
      </c>
      <c r="D2042" s="1">
        <v>16.5</v>
      </c>
      <c r="E2042" s="11">
        <v>115.5</v>
      </c>
      <c r="F2042" s="3">
        <v>45732</v>
      </c>
      <c r="G2042" s="3">
        <v>45733</v>
      </c>
      <c r="H2042" s="1" t="s">
        <v>23</v>
      </c>
      <c r="I2042" s="1" t="s">
        <v>35</v>
      </c>
      <c r="J2042" s="1">
        <v>3</v>
      </c>
      <c r="K2042" s="1" t="s">
        <v>19</v>
      </c>
      <c r="L2042" s="1" t="s">
        <v>28</v>
      </c>
      <c r="M2042" s="1">
        <f>orders[[#This Row],[Ship Date]]-orders[[#This Row],[Order Date]]</f>
        <v>1</v>
      </c>
      <c r="N2042" s="1">
        <f>WEEKNUM(orders[[#This Row],[Order Date]])</f>
        <v>12</v>
      </c>
      <c r="O2042" s="1" t="str" cm="1">
        <f t="array" ref="O2042">_xlfn.IFS(orders[[#This Row],[Customer Gender]]="M","Male", orders[[#This Row],[Customer Gender]]="F","Female", orders[[#This Row],[Customer Gender]]="O","Other", TRUE,"Unknown")</f>
        <v>Male</v>
      </c>
    </row>
    <row r="2043" spans="1:15">
      <c r="A2043" s="1" t="s">
        <v>2143</v>
      </c>
      <c r="B2043" s="1" t="s">
        <v>128</v>
      </c>
      <c r="C2043" s="1">
        <v>10</v>
      </c>
      <c r="D2043" s="1">
        <v>36.200000000000003</v>
      </c>
      <c r="E2043" s="11">
        <v>362</v>
      </c>
      <c r="F2043" s="3">
        <v>45732</v>
      </c>
      <c r="G2043" s="3">
        <v>45734</v>
      </c>
      <c r="H2043" s="1" t="s">
        <v>23</v>
      </c>
      <c r="I2043" s="1" t="s">
        <v>18</v>
      </c>
      <c r="J2043" s="1">
        <v>5</v>
      </c>
      <c r="K2043" s="1" t="s">
        <v>19</v>
      </c>
      <c r="L2043" s="1" t="s">
        <v>28</v>
      </c>
      <c r="M2043" s="1">
        <f>orders[[#This Row],[Ship Date]]-orders[[#This Row],[Order Date]]</f>
        <v>2</v>
      </c>
      <c r="N2043" s="1">
        <f>WEEKNUM(orders[[#This Row],[Order Date]])</f>
        <v>12</v>
      </c>
      <c r="O2043" s="1" t="str" cm="1">
        <f t="array" ref="O2043">_xlfn.IFS(orders[[#This Row],[Customer Gender]]="M","Male", orders[[#This Row],[Customer Gender]]="F","Female", orders[[#This Row],[Customer Gender]]="O","Other", TRUE,"Unknown")</f>
        <v>Male</v>
      </c>
    </row>
    <row r="2044" spans="1:15">
      <c r="A2044" s="1" t="s">
        <v>2144</v>
      </c>
      <c r="B2044" s="1" t="s">
        <v>39</v>
      </c>
      <c r="C2044" s="1">
        <v>1</v>
      </c>
      <c r="D2044" s="1">
        <v>53.2</v>
      </c>
      <c r="E2044" s="11">
        <v>53.2</v>
      </c>
      <c r="F2044" s="3">
        <v>45732</v>
      </c>
      <c r="G2044" s="3">
        <v>45733</v>
      </c>
      <c r="H2044" s="1" t="s">
        <v>27</v>
      </c>
      <c r="I2044" s="1" t="s">
        <v>18</v>
      </c>
      <c r="J2044" s="1">
        <v>3</v>
      </c>
      <c r="K2044" s="1" t="s">
        <v>19</v>
      </c>
      <c r="L2044" s="1" t="s">
        <v>147</v>
      </c>
      <c r="M2044" s="1">
        <f>orders[[#This Row],[Ship Date]]-orders[[#This Row],[Order Date]]</f>
        <v>1</v>
      </c>
      <c r="N2044" s="1">
        <f>WEEKNUM(orders[[#This Row],[Order Date]])</f>
        <v>12</v>
      </c>
      <c r="O2044" s="1" t="str" cm="1">
        <f t="array" ref="O2044">_xlfn.IFS(orders[[#This Row],[Customer Gender]]="M","Male", orders[[#This Row],[Customer Gender]]="F","Female", orders[[#This Row],[Customer Gender]]="O","Other", TRUE,"Unknown")</f>
        <v>Female</v>
      </c>
    </row>
    <row r="2045" spans="1:15">
      <c r="A2045" s="1" t="s">
        <v>2145</v>
      </c>
      <c r="B2045" s="1" t="s">
        <v>26</v>
      </c>
      <c r="C2045" s="1">
        <v>14</v>
      </c>
      <c r="D2045" s="1">
        <v>176</v>
      </c>
      <c r="E2045" s="11">
        <v>2464</v>
      </c>
      <c r="F2045" s="3">
        <v>45732</v>
      </c>
      <c r="G2045" s="3">
        <v>45733</v>
      </c>
      <c r="H2045" s="1" t="s">
        <v>27</v>
      </c>
      <c r="I2045" s="1" t="s">
        <v>18</v>
      </c>
      <c r="J2045" s="1">
        <v>3</v>
      </c>
      <c r="K2045" s="1" t="s">
        <v>19</v>
      </c>
      <c r="L2045" s="1" t="s">
        <v>33</v>
      </c>
      <c r="M2045" s="1">
        <f>orders[[#This Row],[Ship Date]]-orders[[#This Row],[Order Date]]</f>
        <v>1</v>
      </c>
      <c r="N2045" s="1">
        <f>WEEKNUM(orders[[#This Row],[Order Date]])</f>
        <v>12</v>
      </c>
      <c r="O2045" s="1" t="str" cm="1">
        <f t="array" ref="O2045">_xlfn.IFS(orders[[#This Row],[Customer Gender]]="M","Male", orders[[#This Row],[Customer Gender]]="F","Female", orders[[#This Row],[Customer Gender]]="O","Other", TRUE,"Unknown")</f>
        <v>Female</v>
      </c>
    </row>
    <row r="2046" spans="1:15">
      <c r="A2046" s="1" t="s">
        <v>2146</v>
      </c>
      <c r="B2046" s="1" t="s">
        <v>22</v>
      </c>
      <c r="C2046" s="1">
        <v>1</v>
      </c>
      <c r="D2046" s="1">
        <v>52.4</v>
      </c>
      <c r="E2046" s="11">
        <v>52.4</v>
      </c>
      <c r="F2046" s="3">
        <v>45732</v>
      </c>
      <c r="G2046" s="3">
        <v>45733</v>
      </c>
      <c r="H2046" s="1" t="s">
        <v>23</v>
      </c>
      <c r="I2046" s="1" t="s">
        <v>35</v>
      </c>
      <c r="J2046" s="1">
        <v>4</v>
      </c>
      <c r="K2046" s="1" t="s">
        <v>19</v>
      </c>
      <c r="L2046" s="1" t="s">
        <v>33</v>
      </c>
      <c r="M2046" s="1">
        <f>orders[[#This Row],[Ship Date]]-orders[[#This Row],[Order Date]]</f>
        <v>1</v>
      </c>
      <c r="N2046" s="1">
        <f>WEEKNUM(orders[[#This Row],[Order Date]])</f>
        <v>12</v>
      </c>
      <c r="O2046" s="1" t="str" cm="1">
        <f t="array" ref="O2046">_xlfn.IFS(orders[[#This Row],[Customer Gender]]="M","Male", orders[[#This Row],[Customer Gender]]="F","Female", orders[[#This Row],[Customer Gender]]="O","Other", TRUE,"Unknown")</f>
        <v>Male</v>
      </c>
    </row>
    <row r="2047" spans="1:15">
      <c r="A2047" s="1" t="s">
        <v>2147</v>
      </c>
      <c r="B2047" s="1" t="s">
        <v>54</v>
      </c>
      <c r="C2047" s="1">
        <v>3</v>
      </c>
      <c r="D2047" s="1">
        <v>48.2</v>
      </c>
      <c r="E2047" s="11">
        <v>144.60000000000002</v>
      </c>
      <c r="F2047" s="3">
        <v>45732</v>
      </c>
      <c r="G2047" s="3">
        <v>45733</v>
      </c>
      <c r="H2047" s="1" t="s">
        <v>27</v>
      </c>
      <c r="I2047" s="1" t="s">
        <v>35</v>
      </c>
      <c r="J2047" s="1">
        <v>5</v>
      </c>
      <c r="K2047" s="1" t="s">
        <v>19</v>
      </c>
      <c r="L2047" s="1" t="s">
        <v>33</v>
      </c>
      <c r="M2047" s="1">
        <f>orders[[#This Row],[Ship Date]]-orders[[#This Row],[Order Date]]</f>
        <v>1</v>
      </c>
      <c r="N2047" s="1">
        <f>WEEKNUM(orders[[#This Row],[Order Date]])</f>
        <v>12</v>
      </c>
      <c r="O2047" s="1" t="str" cm="1">
        <f t="array" ref="O2047">_xlfn.IFS(orders[[#This Row],[Customer Gender]]="M","Male", orders[[#This Row],[Customer Gender]]="F","Female", orders[[#This Row],[Customer Gender]]="O","Other", TRUE,"Unknown")</f>
        <v>Female</v>
      </c>
    </row>
    <row r="2048" spans="1:15">
      <c r="A2048" s="1" t="s">
        <v>2148</v>
      </c>
      <c r="B2048" s="1" t="s">
        <v>123</v>
      </c>
      <c r="C2048" s="1">
        <v>1</v>
      </c>
      <c r="D2048" s="1">
        <v>51.6</v>
      </c>
      <c r="E2048" s="11">
        <v>51.6</v>
      </c>
      <c r="F2048" s="3">
        <v>45732</v>
      </c>
      <c r="G2048" s="3">
        <v>45736</v>
      </c>
      <c r="H2048" s="1" t="s">
        <v>27</v>
      </c>
      <c r="I2048" s="1" t="s">
        <v>40</v>
      </c>
      <c r="J2048" s="1">
        <v>3</v>
      </c>
      <c r="K2048" s="1" t="s">
        <v>19</v>
      </c>
      <c r="L2048" s="1" t="s">
        <v>33</v>
      </c>
      <c r="M2048" s="1">
        <f>orders[[#This Row],[Ship Date]]-orders[[#This Row],[Order Date]]</f>
        <v>4</v>
      </c>
      <c r="N2048" s="1">
        <f>WEEKNUM(orders[[#This Row],[Order Date]])</f>
        <v>12</v>
      </c>
      <c r="O2048" s="1" t="str" cm="1">
        <f t="array" ref="O2048">_xlfn.IFS(orders[[#This Row],[Customer Gender]]="M","Male", orders[[#This Row],[Customer Gender]]="F","Female", orders[[#This Row],[Customer Gender]]="O","Other", TRUE,"Unknown")</f>
        <v>Female</v>
      </c>
    </row>
    <row r="2049" spans="1:15">
      <c r="A2049" s="1" t="s">
        <v>2149</v>
      </c>
      <c r="B2049" s="1" t="s">
        <v>16</v>
      </c>
      <c r="C2049" s="1">
        <v>4</v>
      </c>
      <c r="D2049" s="1">
        <v>33.700000000000003</v>
      </c>
      <c r="E2049" s="11">
        <v>134.80000000000001</v>
      </c>
      <c r="F2049" s="3">
        <v>45733</v>
      </c>
      <c r="G2049" s="3">
        <v>45734</v>
      </c>
      <c r="H2049" s="1" t="s">
        <v>23</v>
      </c>
      <c r="I2049" s="1" t="s">
        <v>18</v>
      </c>
      <c r="J2049" s="1">
        <v>4</v>
      </c>
      <c r="K2049" s="1" t="s">
        <v>19</v>
      </c>
      <c r="L2049" s="1" t="s">
        <v>33</v>
      </c>
      <c r="M2049" s="1">
        <f>orders[[#This Row],[Ship Date]]-orders[[#This Row],[Order Date]]</f>
        <v>1</v>
      </c>
      <c r="N2049" s="1">
        <f>WEEKNUM(orders[[#This Row],[Order Date]])</f>
        <v>12</v>
      </c>
      <c r="O2049" s="1" t="str" cm="1">
        <f t="array" ref="O2049">_xlfn.IFS(orders[[#This Row],[Customer Gender]]="M","Male", orders[[#This Row],[Customer Gender]]="F","Female", orders[[#This Row],[Customer Gender]]="O","Other", TRUE,"Unknown")</f>
        <v>Male</v>
      </c>
    </row>
    <row r="2050" spans="1:15">
      <c r="A2050" s="1" t="s">
        <v>2150</v>
      </c>
      <c r="B2050" s="1" t="s">
        <v>32</v>
      </c>
      <c r="C2050" s="1">
        <v>10</v>
      </c>
      <c r="D2050" s="1">
        <v>36.299999999999997</v>
      </c>
      <c r="E2050" s="11">
        <v>363</v>
      </c>
      <c r="F2050" s="3">
        <v>45733</v>
      </c>
      <c r="G2050" s="3">
        <v>45735</v>
      </c>
      <c r="H2050" s="1" t="s">
        <v>27</v>
      </c>
      <c r="I2050" s="1" t="s">
        <v>70</v>
      </c>
      <c r="J2050" s="1">
        <v>3</v>
      </c>
      <c r="K2050" s="1" t="s">
        <v>19</v>
      </c>
      <c r="L2050" s="1" t="s">
        <v>33</v>
      </c>
      <c r="M2050" s="1">
        <f>orders[[#This Row],[Ship Date]]-orders[[#This Row],[Order Date]]</f>
        <v>2</v>
      </c>
      <c r="N2050" s="1">
        <f>WEEKNUM(orders[[#This Row],[Order Date]])</f>
        <v>12</v>
      </c>
      <c r="O2050" s="1" t="str" cm="1">
        <f t="array" ref="O2050">_xlfn.IFS(orders[[#This Row],[Customer Gender]]="M","Male", orders[[#This Row],[Customer Gender]]="F","Female", orders[[#This Row],[Customer Gender]]="O","Other", TRUE,"Unknown")</f>
        <v>Female</v>
      </c>
    </row>
    <row r="2051" spans="1:15">
      <c r="A2051" s="1" t="s">
        <v>2151</v>
      </c>
      <c r="B2051" s="1" t="s">
        <v>44</v>
      </c>
      <c r="C2051" s="1">
        <v>1</v>
      </c>
      <c r="D2051" s="1">
        <v>23.4</v>
      </c>
      <c r="E2051" s="11">
        <v>23.4</v>
      </c>
      <c r="F2051" s="3">
        <v>45733</v>
      </c>
      <c r="G2051" s="3">
        <v>45738</v>
      </c>
      <c r="H2051" s="1" t="s">
        <v>27</v>
      </c>
      <c r="I2051" s="1" t="s">
        <v>35</v>
      </c>
      <c r="J2051" s="1">
        <v>5</v>
      </c>
      <c r="K2051" s="1" t="s">
        <v>19</v>
      </c>
      <c r="L2051" s="1" t="s">
        <v>33</v>
      </c>
      <c r="M2051" s="1">
        <f>orders[[#This Row],[Ship Date]]-orders[[#This Row],[Order Date]]</f>
        <v>5</v>
      </c>
      <c r="N2051" s="1">
        <f>WEEKNUM(orders[[#This Row],[Order Date]])</f>
        <v>12</v>
      </c>
      <c r="O2051" s="1" t="str" cm="1">
        <f t="array" ref="O2051">_xlfn.IFS(orders[[#This Row],[Customer Gender]]="M","Male", orders[[#This Row],[Customer Gender]]="F","Female", orders[[#This Row],[Customer Gender]]="O","Other", TRUE,"Unknown")</f>
        <v>Female</v>
      </c>
    </row>
    <row r="2052" spans="1:15">
      <c r="A2052" s="1" t="s">
        <v>2152</v>
      </c>
      <c r="B2052" s="1" t="s">
        <v>123</v>
      </c>
      <c r="C2052" s="1">
        <v>8</v>
      </c>
      <c r="D2052" s="1">
        <v>56.6</v>
      </c>
      <c r="E2052" s="11">
        <v>452.8</v>
      </c>
      <c r="F2052" s="3">
        <v>45733</v>
      </c>
      <c r="G2052" s="3">
        <v>45735</v>
      </c>
      <c r="H2052" s="1" t="s">
        <v>27</v>
      </c>
      <c r="I2052" s="1" t="s">
        <v>35</v>
      </c>
      <c r="J2052" s="1">
        <v>4</v>
      </c>
      <c r="K2052" s="1" t="s">
        <v>19</v>
      </c>
      <c r="L2052" s="1" t="s">
        <v>33</v>
      </c>
      <c r="M2052" s="1">
        <f>orders[[#This Row],[Ship Date]]-orders[[#This Row],[Order Date]]</f>
        <v>2</v>
      </c>
      <c r="N2052" s="1">
        <f>WEEKNUM(orders[[#This Row],[Order Date]])</f>
        <v>12</v>
      </c>
      <c r="O2052" s="1" t="str" cm="1">
        <f t="array" ref="O2052">_xlfn.IFS(orders[[#This Row],[Customer Gender]]="M","Male", orders[[#This Row],[Customer Gender]]="F","Female", orders[[#This Row],[Customer Gender]]="O","Other", TRUE,"Unknown")</f>
        <v>Female</v>
      </c>
    </row>
    <row r="2053" spans="1:15">
      <c r="A2053" s="1" t="s">
        <v>2153</v>
      </c>
      <c r="B2053" s="1" t="s">
        <v>123</v>
      </c>
      <c r="C2053" s="1">
        <v>2</v>
      </c>
      <c r="D2053" s="1">
        <v>26.8</v>
      </c>
      <c r="E2053" s="11">
        <v>53.6</v>
      </c>
      <c r="F2053" s="3">
        <v>45733</v>
      </c>
      <c r="G2053" s="3">
        <v>45734</v>
      </c>
      <c r="H2053" s="1" t="s">
        <v>23</v>
      </c>
      <c r="I2053" s="1" t="s">
        <v>18</v>
      </c>
      <c r="J2053" s="1">
        <v>4</v>
      </c>
      <c r="K2053" s="1" t="s">
        <v>19</v>
      </c>
      <c r="L2053" s="1" t="s">
        <v>49</v>
      </c>
      <c r="M2053" s="1">
        <f>orders[[#This Row],[Ship Date]]-orders[[#This Row],[Order Date]]</f>
        <v>1</v>
      </c>
      <c r="N2053" s="1">
        <f>WEEKNUM(orders[[#This Row],[Order Date]])</f>
        <v>12</v>
      </c>
      <c r="O2053" s="1" t="str" cm="1">
        <f t="array" ref="O2053">_xlfn.IFS(orders[[#This Row],[Customer Gender]]="M","Male", orders[[#This Row],[Customer Gender]]="F","Female", orders[[#This Row],[Customer Gender]]="O","Other", TRUE,"Unknown")</f>
        <v>Male</v>
      </c>
    </row>
    <row r="2054" spans="1:15">
      <c r="A2054" s="1" t="s">
        <v>2154</v>
      </c>
      <c r="B2054" s="1" t="s">
        <v>16</v>
      </c>
      <c r="C2054" s="1">
        <v>3</v>
      </c>
      <c r="D2054" s="1">
        <v>11.3</v>
      </c>
      <c r="E2054" s="11">
        <v>33.900000000000006</v>
      </c>
      <c r="F2054" s="3">
        <v>45733</v>
      </c>
      <c r="G2054" s="3">
        <v>45735</v>
      </c>
      <c r="H2054" s="1" t="s">
        <v>23</v>
      </c>
      <c r="I2054" s="1" t="s">
        <v>40</v>
      </c>
      <c r="J2054" s="1">
        <v>4</v>
      </c>
      <c r="K2054" s="1" t="s">
        <v>19</v>
      </c>
      <c r="L2054" s="1" t="s">
        <v>188</v>
      </c>
      <c r="M2054" s="1">
        <f>orders[[#This Row],[Ship Date]]-orders[[#This Row],[Order Date]]</f>
        <v>2</v>
      </c>
      <c r="N2054" s="1">
        <f>WEEKNUM(orders[[#This Row],[Order Date]])</f>
        <v>12</v>
      </c>
      <c r="O2054" s="1" t="str" cm="1">
        <f t="array" ref="O2054">_xlfn.IFS(orders[[#This Row],[Customer Gender]]="M","Male", orders[[#This Row],[Customer Gender]]="F","Female", orders[[#This Row],[Customer Gender]]="O","Other", TRUE,"Unknown")</f>
        <v>Male</v>
      </c>
    </row>
    <row r="2055" spans="1:15">
      <c r="A2055" s="1" t="s">
        <v>2155</v>
      </c>
      <c r="B2055" s="1" t="s">
        <v>39</v>
      </c>
      <c r="C2055" s="1">
        <v>3</v>
      </c>
      <c r="D2055" s="1">
        <v>60.1</v>
      </c>
      <c r="E2055" s="11">
        <v>180.3</v>
      </c>
      <c r="F2055" s="3">
        <v>45733</v>
      </c>
      <c r="G2055" s="3">
        <v>45736</v>
      </c>
      <c r="H2055" s="1" t="s">
        <v>27</v>
      </c>
      <c r="I2055" s="1" t="s">
        <v>18</v>
      </c>
      <c r="J2055" s="1">
        <v>4</v>
      </c>
      <c r="K2055" s="1" t="s">
        <v>19</v>
      </c>
      <c r="L2055" s="1" t="s">
        <v>59</v>
      </c>
      <c r="M2055" s="1">
        <f>orders[[#This Row],[Ship Date]]-orders[[#This Row],[Order Date]]</f>
        <v>3</v>
      </c>
      <c r="N2055" s="1">
        <f>WEEKNUM(orders[[#This Row],[Order Date]])</f>
        <v>12</v>
      </c>
      <c r="O2055" s="1" t="str" cm="1">
        <f t="array" ref="O2055">_xlfn.IFS(orders[[#This Row],[Customer Gender]]="M","Male", orders[[#This Row],[Customer Gender]]="F","Female", orders[[#This Row],[Customer Gender]]="O","Other", TRUE,"Unknown")</f>
        <v>Female</v>
      </c>
    </row>
    <row r="2056" spans="1:15">
      <c r="A2056" s="1" t="s">
        <v>2156</v>
      </c>
      <c r="B2056" s="1" t="s">
        <v>16</v>
      </c>
      <c r="C2056" s="1">
        <v>11</v>
      </c>
      <c r="D2056" s="1">
        <v>27.7</v>
      </c>
      <c r="E2056" s="11">
        <v>304.7</v>
      </c>
      <c r="F2056" s="3">
        <v>45733</v>
      </c>
      <c r="G2056" s="3">
        <v>45738</v>
      </c>
      <c r="H2056" s="1" t="s">
        <v>27</v>
      </c>
      <c r="I2056" s="1" t="s">
        <v>18</v>
      </c>
      <c r="J2056" s="1">
        <v>4</v>
      </c>
      <c r="K2056" s="1" t="s">
        <v>19</v>
      </c>
      <c r="L2056" s="1" t="s">
        <v>62</v>
      </c>
      <c r="M2056" s="1">
        <f>orders[[#This Row],[Ship Date]]-orders[[#This Row],[Order Date]]</f>
        <v>5</v>
      </c>
      <c r="N2056" s="1">
        <f>WEEKNUM(orders[[#This Row],[Order Date]])</f>
        <v>12</v>
      </c>
      <c r="O2056" s="1" t="str" cm="1">
        <f t="array" ref="O2056">_xlfn.IFS(orders[[#This Row],[Customer Gender]]="M","Male", orders[[#This Row],[Customer Gender]]="F","Female", orders[[#This Row],[Customer Gender]]="O","Other", TRUE,"Unknown")</f>
        <v>Female</v>
      </c>
    </row>
    <row r="2057" spans="1:15">
      <c r="A2057" s="1" t="s">
        <v>2157</v>
      </c>
      <c r="B2057" s="1" t="s">
        <v>123</v>
      </c>
      <c r="C2057" s="1">
        <v>1</v>
      </c>
      <c r="D2057" s="1">
        <v>71.400000000000006</v>
      </c>
      <c r="E2057" s="11">
        <v>71.400000000000006</v>
      </c>
      <c r="F2057" s="3">
        <v>45733</v>
      </c>
      <c r="G2057" s="3">
        <v>45736</v>
      </c>
      <c r="H2057" s="1" t="s">
        <v>23</v>
      </c>
      <c r="I2057" s="1" t="s">
        <v>18</v>
      </c>
      <c r="J2057" s="1">
        <v>5</v>
      </c>
      <c r="K2057" s="1" t="s">
        <v>19</v>
      </c>
      <c r="L2057" s="1" t="s">
        <v>62</v>
      </c>
      <c r="M2057" s="1">
        <f>orders[[#This Row],[Ship Date]]-orders[[#This Row],[Order Date]]</f>
        <v>3</v>
      </c>
      <c r="N2057" s="1">
        <f>WEEKNUM(orders[[#This Row],[Order Date]])</f>
        <v>12</v>
      </c>
      <c r="O2057" s="1" t="str" cm="1">
        <f t="array" ref="O2057">_xlfn.IFS(orders[[#This Row],[Customer Gender]]="M","Male", orders[[#This Row],[Customer Gender]]="F","Female", orders[[#This Row],[Customer Gender]]="O","Other", TRUE,"Unknown")</f>
        <v>Male</v>
      </c>
    </row>
    <row r="2058" spans="1:15">
      <c r="A2058" s="1" t="s">
        <v>2158</v>
      </c>
      <c r="B2058" s="1" t="s">
        <v>26</v>
      </c>
      <c r="C2058" s="1">
        <v>2</v>
      </c>
      <c r="D2058" s="1">
        <v>66.7</v>
      </c>
      <c r="E2058" s="11">
        <v>133.4</v>
      </c>
      <c r="F2058" s="3">
        <v>45733</v>
      </c>
      <c r="G2058" s="3">
        <v>45734</v>
      </c>
      <c r="H2058" s="1" t="s">
        <v>27</v>
      </c>
      <c r="I2058" s="1" t="s">
        <v>18</v>
      </c>
      <c r="J2058" s="1">
        <v>5</v>
      </c>
      <c r="K2058" s="1" t="s">
        <v>19</v>
      </c>
      <c r="L2058" s="1" t="s">
        <v>62</v>
      </c>
      <c r="M2058" s="1">
        <f>orders[[#This Row],[Ship Date]]-orders[[#This Row],[Order Date]]</f>
        <v>1</v>
      </c>
      <c r="N2058" s="1">
        <f>WEEKNUM(orders[[#This Row],[Order Date]])</f>
        <v>12</v>
      </c>
      <c r="O2058" s="1" t="str" cm="1">
        <f t="array" ref="O2058">_xlfn.IFS(orders[[#This Row],[Customer Gender]]="M","Male", orders[[#This Row],[Customer Gender]]="F","Female", orders[[#This Row],[Customer Gender]]="O","Other", TRUE,"Unknown")</f>
        <v>Female</v>
      </c>
    </row>
    <row r="2059" spans="1:15">
      <c r="A2059" s="1" t="s">
        <v>2159</v>
      </c>
      <c r="B2059" s="1" t="s">
        <v>76</v>
      </c>
      <c r="C2059" s="1">
        <v>5</v>
      </c>
      <c r="D2059" s="1">
        <v>39.1</v>
      </c>
      <c r="E2059" s="11">
        <v>195.5</v>
      </c>
      <c r="F2059" s="3">
        <v>45733</v>
      </c>
      <c r="G2059" s="3">
        <v>45734</v>
      </c>
      <c r="H2059" s="1" t="s">
        <v>27</v>
      </c>
      <c r="I2059" s="1" t="s">
        <v>18</v>
      </c>
      <c r="J2059" s="1">
        <v>4</v>
      </c>
      <c r="K2059" s="1" t="s">
        <v>19</v>
      </c>
      <c r="L2059" s="1" t="s">
        <v>62</v>
      </c>
      <c r="M2059" s="1">
        <f>orders[[#This Row],[Ship Date]]-orders[[#This Row],[Order Date]]</f>
        <v>1</v>
      </c>
      <c r="N2059" s="1">
        <f>WEEKNUM(orders[[#This Row],[Order Date]])</f>
        <v>12</v>
      </c>
      <c r="O2059" s="1" t="str" cm="1">
        <f t="array" ref="O2059">_xlfn.IFS(orders[[#This Row],[Customer Gender]]="M","Male", orders[[#This Row],[Customer Gender]]="F","Female", orders[[#This Row],[Customer Gender]]="O","Other", TRUE,"Unknown")</f>
        <v>Female</v>
      </c>
    </row>
    <row r="2060" spans="1:15">
      <c r="A2060" s="1" t="s">
        <v>2160</v>
      </c>
      <c r="B2060" s="1" t="s">
        <v>44</v>
      </c>
      <c r="C2060" s="1">
        <v>4</v>
      </c>
      <c r="D2060" s="1">
        <v>24.9</v>
      </c>
      <c r="E2060" s="11">
        <v>99.6</v>
      </c>
      <c r="F2060" s="3">
        <v>45733</v>
      </c>
      <c r="G2060" s="3">
        <v>45738</v>
      </c>
      <c r="H2060" s="1" t="s">
        <v>23</v>
      </c>
      <c r="I2060" s="1" t="s">
        <v>35</v>
      </c>
      <c r="J2060" s="1">
        <v>5</v>
      </c>
      <c r="K2060" s="1" t="s">
        <v>19</v>
      </c>
      <c r="L2060" s="1" t="s">
        <v>62</v>
      </c>
      <c r="M2060" s="1">
        <f>orders[[#This Row],[Ship Date]]-orders[[#This Row],[Order Date]]</f>
        <v>5</v>
      </c>
      <c r="N2060" s="1">
        <f>WEEKNUM(orders[[#This Row],[Order Date]])</f>
        <v>12</v>
      </c>
      <c r="O2060" s="1" t="str" cm="1">
        <f t="array" ref="O2060">_xlfn.IFS(orders[[#This Row],[Customer Gender]]="M","Male", orders[[#This Row],[Customer Gender]]="F","Female", orders[[#This Row],[Customer Gender]]="O","Other", TRUE,"Unknown")</f>
        <v>Male</v>
      </c>
    </row>
    <row r="2061" spans="1:15">
      <c r="A2061" s="1" t="s">
        <v>2161</v>
      </c>
      <c r="B2061" s="1" t="s">
        <v>37</v>
      </c>
      <c r="C2061" s="1">
        <v>5</v>
      </c>
      <c r="D2061" s="1">
        <v>29.2</v>
      </c>
      <c r="E2061" s="11">
        <v>146</v>
      </c>
      <c r="F2061" s="3">
        <v>45733</v>
      </c>
      <c r="G2061" s="3">
        <v>45734</v>
      </c>
      <c r="H2061" s="1" t="s">
        <v>23</v>
      </c>
      <c r="I2061" s="1" t="s">
        <v>18</v>
      </c>
      <c r="J2061" s="1">
        <v>5</v>
      </c>
      <c r="K2061" s="1" t="s">
        <v>19</v>
      </c>
      <c r="L2061" s="1" t="s">
        <v>103</v>
      </c>
      <c r="M2061" s="1">
        <f>orders[[#This Row],[Ship Date]]-orders[[#This Row],[Order Date]]</f>
        <v>1</v>
      </c>
      <c r="N2061" s="1">
        <f>WEEKNUM(orders[[#This Row],[Order Date]])</f>
        <v>12</v>
      </c>
      <c r="O2061" s="1" t="str" cm="1">
        <f t="array" ref="O2061">_xlfn.IFS(orders[[#This Row],[Customer Gender]]="M","Male", orders[[#This Row],[Customer Gender]]="F","Female", orders[[#This Row],[Customer Gender]]="O","Other", TRUE,"Unknown")</f>
        <v>Male</v>
      </c>
    </row>
    <row r="2062" spans="1:15">
      <c r="A2062" s="1" t="s">
        <v>2162</v>
      </c>
      <c r="B2062" s="1" t="s">
        <v>76</v>
      </c>
      <c r="C2062" s="1">
        <v>14</v>
      </c>
      <c r="D2062" s="1">
        <v>28.3</v>
      </c>
      <c r="E2062" s="11">
        <v>396.2</v>
      </c>
      <c r="F2062" s="3">
        <v>45733</v>
      </c>
      <c r="G2062" s="3">
        <v>45735</v>
      </c>
      <c r="H2062" s="1" t="s">
        <v>27</v>
      </c>
      <c r="I2062" s="1" t="s">
        <v>35</v>
      </c>
      <c r="J2062" s="1">
        <v>4</v>
      </c>
      <c r="K2062" s="1" t="s">
        <v>19</v>
      </c>
      <c r="L2062" s="1" t="s">
        <v>77</v>
      </c>
      <c r="M2062" s="1">
        <f>orders[[#This Row],[Ship Date]]-orders[[#This Row],[Order Date]]</f>
        <v>2</v>
      </c>
      <c r="N2062" s="1">
        <f>WEEKNUM(orders[[#This Row],[Order Date]])</f>
        <v>12</v>
      </c>
      <c r="O2062" s="1" t="str" cm="1">
        <f t="array" ref="O2062">_xlfn.IFS(orders[[#This Row],[Customer Gender]]="M","Male", orders[[#This Row],[Customer Gender]]="F","Female", orders[[#This Row],[Customer Gender]]="O","Other", TRUE,"Unknown")</f>
        <v>Female</v>
      </c>
    </row>
    <row r="2063" spans="1:15">
      <c r="A2063" s="1" t="s">
        <v>2163</v>
      </c>
      <c r="B2063" s="1" t="s">
        <v>46</v>
      </c>
      <c r="C2063" s="1">
        <v>3</v>
      </c>
      <c r="D2063" s="1">
        <v>37.799999999999997</v>
      </c>
      <c r="E2063" s="11">
        <v>113.39999999999999</v>
      </c>
      <c r="F2063" s="3">
        <v>45733</v>
      </c>
      <c r="G2063" s="3">
        <v>45734</v>
      </c>
      <c r="H2063" s="1" t="s">
        <v>27</v>
      </c>
      <c r="I2063" s="1" t="s">
        <v>18</v>
      </c>
      <c r="J2063" s="1">
        <v>3</v>
      </c>
      <c r="K2063" s="1" t="s">
        <v>19</v>
      </c>
      <c r="L2063" s="1" t="s">
        <v>77</v>
      </c>
      <c r="M2063" s="1">
        <f>orders[[#This Row],[Ship Date]]-orders[[#This Row],[Order Date]]</f>
        <v>1</v>
      </c>
      <c r="N2063" s="1">
        <f>WEEKNUM(orders[[#This Row],[Order Date]])</f>
        <v>12</v>
      </c>
      <c r="O2063" s="1" t="str" cm="1">
        <f t="array" ref="O2063">_xlfn.IFS(orders[[#This Row],[Customer Gender]]="M","Male", orders[[#This Row],[Customer Gender]]="F","Female", orders[[#This Row],[Customer Gender]]="O","Other", TRUE,"Unknown")</f>
        <v>Female</v>
      </c>
    </row>
    <row r="2064" spans="1:15">
      <c r="A2064" s="1" t="s">
        <v>2164</v>
      </c>
      <c r="B2064" s="1" t="s">
        <v>81</v>
      </c>
      <c r="C2064" s="1">
        <v>7</v>
      </c>
      <c r="D2064" s="1">
        <v>28.1</v>
      </c>
      <c r="E2064" s="11">
        <v>196.70000000000002</v>
      </c>
      <c r="F2064" s="3">
        <v>45733</v>
      </c>
      <c r="G2064" s="3">
        <v>45739</v>
      </c>
      <c r="H2064" s="1" t="s">
        <v>27</v>
      </c>
      <c r="I2064" s="1" t="s">
        <v>40</v>
      </c>
      <c r="J2064" s="1">
        <v>4</v>
      </c>
      <c r="K2064" s="1" t="s">
        <v>19</v>
      </c>
      <c r="L2064" s="1" t="s">
        <v>77</v>
      </c>
      <c r="M2064" s="1">
        <f>orders[[#This Row],[Ship Date]]-orders[[#This Row],[Order Date]]</f>
        <v>6</v>
      </c>
      <c r="N2064" s="1">
        <f>WEEKNUM(orders[[#This Row],[Order Date]])</f>
        <v>12</v>
      </c>
      <c r="O2064" s="1" t="str" cm="1">
        <f t="array" ref="O2064">_xlfn.IFS(orders[[#This Row],[Customer Gender]]="M","Male", orders[[#This Row],[Customer Gender]]="F","Female", orders[[#This Row],[Customer Gender]]="O","Other", TRUE,"Unknown")</f>
        <v>Female</v>
      </c>
    </row>
    <row r="2065" spans="1:15">
      <c r="A2065" s="1" t="s">
        <v>2165</v>
      </c>
      <c r="B2065" s="1" t="s">
        <v>22</v>
      </c>
      <c r="C2065" s="1">
        <v>3</v>
      </c>
      <c r="D2065" s="1">
        <v>59.7</v>
      </c>
      <c r="E2065" s="11">
        <v>179.10000000000002</v>
      </c>
      <c r="F2065" s="3">
        <v>45733</v>
      </c>
      <c r="G2065" s="3">
        <v>45735</v>
      </c>
      <c r="H2065" s="1" t="s">
        <v>27</v>
      </c>
      <c r="I2065" s="1" t="s">
        <v>40</v>
      </c>
      <c r="J2065" s="1">
        <v>4</v>
      </c>
      <c r="K2065" s="1" t="s">
        <v>19</v>
      </c>
      <c r="L2065" s="1" t="s">
        <v>77</v>
      </c>
      <c r="M2065" s="1">
        <f>orders[[#This Row],[Ship Date]]-orders[[#This Row],[Order Date]]</f>
        <v>2</v>
      </c>
      <c r="N2065" s="1">
        <f>WEEKNUM(orders[[#This Row],[Order Date]])</f>
        <v>12</v>
      </c>
      <c r="O2065" s="1" t="str" cm="1">
        <f t="array" ref="O2065">_xlfn.IFS(orders[[#This Row],[Customer Gender]]="M","Male", orders[[#This Row],[Customer Gender]]="F","Female", orders[[#This Row],[Customer Gender]]="O","Other", TRUE,"Unknown")</f>
        <v>Female</v>
      </c>
    </row>
    <row r="2066" spans="1:15">
      <c r="A2066" s="1" t="s">
        <v>2166</v>
      </c>
      <c r="B2066" s="1" t="s">
        <v>128</v>
      </c>
      <c r="C2066" s="1">
        <v>1</v>
      </c>
      <c r="D2066" s="1">
        <v>71.900000000000006</v>
      </c>
      <c r="E2066" s="11">
        <v>71.900000000000006</v>
      </c>
      <c r="F2066" s="3">
        <v>45733</v>
      </c>
      <c r="G2066" s="3">
        <v>45734</v>
      </c>
      <c r="H2066" s="1" t="s">
        <v>23</v>
      </c>
      <c r="I2066" s="1" t="s">
        <v>35</v>
      </c>
      <c r="J2066" s="1">
        <v>3</v>
      </c>
      <c r="K2066" s="1" t="s">
        <v>19</v>
      </c>
      <c r="L2066" s="1" t="s">
        <v>77</v>
      </c>
      <c r="M2066" s="1">
        <f>orders[[#This Row],[Ship Date]]-orders[[#This Row],[Order Date]]</f>
        <v>1</v>
      </c>
      <c r="N2066" s="1">
        <f>WEEKNUM(orders[[#This Row],[Order Date]])</f>
        <v>12</v>
      </c>
      <c r="O2066" s="1" t="str" cm="1">
        <f t="array" ref="O2066">_xlfn.IFS(orders[[#This Row],[Customer Gender]]="M","Male", orders[[#This Row],[Customer Gender]]="F","Female", orders[[#This Row],[Customer Gender]]="O","Other", TRUE,"Unknown")</f>
        <v>Male</v>
      </c>
    </row>
    <row r="2067" spans="1:15">
      <c r="A2067" s="1" t="s">
        <v>2167</v>
      </c>
      <c r="B2067" s="1" t="s">
        <v>22</v>
      </c>
      <c r="C2067" s="1">
        <v>2</v>
      </c>
      <c r="D2067" s="1">
        <v>56.9</v>
      </c>
      <c r="E2067" s="11">
        <v>113.8</v>
      </c>
      <c r="F2067" s="3">
        <v>45733</v>
      </c>
      <c r="G2067" s="3">
        <v>45734</v>
      </c>
      <c r="H2067" s="1" t="s">
        <v>23</v>
      </c>
      <c r="I2067" s="1" t="s">
        <v>40</v>
      </c>
      <c r="J2067" s="1">
        <v>4</v>
      </c>
      <c r="K2067" s="1" t="s">
        <v>19</v>
      </c>
      <c r="L2067" s="1" t="s">
        <v>82</v>
      </c>
      <c r="M2067" s="1">
        <f>orders[[#This Row],[Ship Date]]-orders[[#This Row],[Order Date]]</f>
        <v>1</v>
      </c>
      <c r="N2067" s="1">
        <f>WEEKNUM(orders[[#This Row],[Order Date]])</f>
        <v>12</v>
      </c>
      <c r="O2067" s="1" t="str" cm="1">
        <f t="array" ref="O2067">_xlfn.IFS(orders[[#This Row],[Customer Gender]]="M","Male", orders[[#This Row],[Customer Gender]]="F","Female", orders[[#This Row],[Customer Gender]]="O","Other", TRUE,"Unknown")</f>
        <v>Male</v>
      </c>
    </row>
    <row r="2068" spans="1:15">
      <c r="A2068" s="1" t="s">
        <v>2168</v>
      </c>
      <c r="B2068" s="1" t="s">
        <v>44</v>
      </c>
      <c r="C2068" s="1">
        <v>2</v>
      </c>
      <c r="D2068" s="1">
        <v>15.8</v>
      </c>
      <c r="E2068" s="11">
        <v>31.6</v>
      </c>
      <c r="F2068" s="3">
        <v>45733</v>
      </c>
      <c r="G2068" s="3">
        <v>45736</v>
      </c>
      <c r="H2068" s="1" t="s">
        <v>27</v>
      </c>
      <c r="I2068" s="1" t="s">
        <v>40</v>
      </c>
      <c r="J2068" s="1">
        <v>3</v>
      </c>
      <c r="K2068" s="1" t="s">
        <v>19</v>
      </c>
      <c r="L2068" s="1" t="s">
        <v>24</v>
      </c>
      <c r="M2068" s="1">
        <f>orders[[#This Row],[Ship Date]]-orders[[#This Row],[Order Date]]</f>
        <v>3</v>
      </c>
      <c r="N2068" s="1">
        <f>WEEKNUM(orders[[#This Row],[Order Date]])</f>
        <v>12</v>
      </c>
      <c r="O2068" s="1" t="str" cm="1">
        <f t="array" ref="O2068">_xlfn.IFS(orders[[#This Row],[Customer Gender]]="M","Male", orders[[#This Row],[Customer Gender]]="F","Female", orders[[#This Row],[Customer Gender]]="O","Other", TRUE,"Unknown")</f>
        <v>Female</v>
      </c>
    </row>
    <row r="2069" spans="1:15">
      <c r="A2069" s="1" t="s">
        <v>2169</v>
      </c>
      <c r="B2069" s="1" t="s">
        <v>67</v>
      </c>
      <c r="C2069" s="1">
        <v>4</v>
      </c>
      <c r="D2069" s="1">
        <v>61.7</v>
      </c>
      <c r="E2069" s="11">
        <v>246.8</v>
      </c>
      <c r="F2069" s="3">
        <v>45733</v>
      </c>
      <c r="G2069" s="3">
        <v>45735</v>
      </c>
      <c r="H2069" s="1" t="s">
        <v>27</v>
      </c>
      <c r="I2069" s="1" t="s">
        <v>40</v>
      </c>
      <c r="J2069" s="1">
        <v>4</v>
      </c>
      <c r="K2069" s="1" t="s">
        <v>19</v>
      </c>
      <c r="L2069" s="1" t="s">
        <v>147</v>
      </c>
      <c r="M2069" s="1">
        <f>orders[[#This Row],[Ship Date]]-orders[[#This Row],[Order Date]]</f>
        <v>2</v>
      </c>
      <c r="N2069" s="1">
        <f>WEEKNUM(orders[[#This Row],[Order Date]])</f>
        <v>12</v>
      </c>
      <c r="O2069" s="1" t="str" cm="1">
        <f t="array" ref="O2069">_xlfn.IFS(orders[[#This Row],[Customer Gender]]="M","Male", orders[[#This Row],[Customer Gender]]="F","Female", orders[[#This Row],[Customer Gender]]="O","Other", TRUE,"Unknown")</f>
        <v>Female</v>
      </c>
    </row>
    <row r="2070" spans="1:15">
      <c r="A2070" s="1" t="s">
        <v>2170</v>
      </c>
      <c r="B2070" s="1" t="s">
        <v>26</v>
      </c>
      <c r="C2070" s="1">
        <v>10</v>
      </c>
      <c r="D2070" s="1">
        <v>105.2</v>
      </c>
      <c r="E2070" s="11">
        <v>1052</v>
      </c>
      <c r="F2070" s="3">
        <v>45733</v>
      </c>
      <c r="G2070" s="3">
        <v>45735</v>
      </c>
      <c r="H2070" s="1" t="s">
        <v>23</v>
      </c>
      <c r="I2070" s="1" t="s">
        <v>35</v>
      </c>
      <c r="J2070" s="1">
        <v>2</v>
      </c>
      <c r="K2070" s="1" t="s">
        <v>19</v>
      </c>
      <c r="L2070" s="1" t="s">
        <v>33</v>
      </c>
      <c r="M2070" s="1">
        <f>orders[[#This Row],[Ship Date]]-orders[[#This Row],[Order Date]]</f>
        <v>2</v>
      </c>
      <c r="N2070" s="1">
        <f>WEEKNUM(orders[[#This Row],[Order Date]])</f>
        <v>12</v>
      </c>
      <c r="O2070" s="1" t="str" cm="1">
        <f t="array" ref="O2070">_xlfn.IFS(orders[[#This Row],[Customer Gender]]="M","Male", orders[[#This Row],[Customer Gender]]="F","Female", orders[[#This Row],[Customer Gender]]="O","Other", TRUE,"Unknown")</f>
        <v>Male</v>
      </c>
    </row>
    <row r="2071" spans="1:15">
      <c r="A2071" s="1" t="s">
        <v>2171</v>
      </c>
      <c r="B2071" s="1" t="s">
        <v>16</v>
      </c>
      <c r="C2071" s="1">
        <v>2</v>
      </c>
      <c r="D2071" s="1">
        <v>17</v>
      </c>
      <c r="E2071" s="11">
        <v>34</v>
      </c>
      <c r="F2071" s="3">
        <v>45733</v>
      </c>
      <c r="G2071" s="3">
        <v>45735</v>
      </c>
      <c r="H2071" s="1" t="s">
        <v>27</v>
      </c>
      <c r="I2071" s="1" t="s">
        <v>40</v>
      </c>
      <c r="J2071" s="1">
        <v>4</v>
      </c>
      <c r="K2071" s="1" t="s">
        <v>19</v>
      </c>
      <c r="L2071" s="1" t="s">
        <v>33</v>
      </c>
      <c r="M2071" s="1">
        <f>orders[[#This Row],[Ship Date]]-orders[[#This Row],[Order Date]]</f>
        <v>2</v>
      </c>
      <c r="N2071" s="1">
        <f>WEEKNUM(orders[[#This Row],[Order Date]])</f>
        <v>12</v>
      </c>
      <c r="O2071" s="1" t="str" cm="1">
        <f t="array" ref="O2071">_xlfn.IFS(orders[[#This Row],[Customer Gender]]="M","Male", orders[[#This Row],[Customer Gender]]="F","Female", orders[[#This Row],[Customer Gender]]="O","Other", TRUE,"Unknown")</f>
        <v>Female</v>
      </c>
    </row>
    <row r="2072" spans="1:15">
      <c r="A2072" s="1" t="s">
        <v>2172</v>
      </c>
      <c r="B2072" s="1" t="s">
        <v>39</v>
      </c>
      <c r="C2072" s="1">
        <v>3</v>
      </c>
      <c r="D2072" s="1">
        <v>84.1</v>
      </c>
      <c r="E2072" s="11">
        <v>252.29999999999998</v>
      </c>
      <c r="F2072" s="3">
        <v>45733</v>
      </c>
      <c r="G2072" s="3">
        <v>45734</v>
      </c>
      <c r="H2072" s="1" t="s">
        <v>23</v>
      </c>
      <c r="I2072" s="1" t="s">
        <v>40</v>
      </c>
      <c r="J2072" s="1">
        <v>4</v>
      </c>
      <c r="K2072" s="1" t="s">
        <v>19</v>
      </c>
      <c r="L2072" s="1" t="s">
        <v>33</v>
      </c>
      <c r="M2072" s="1">
        <f>orders[[#This Row],[Ship Date]]-orders[[#This Row],[Order Date]]</f>
        <v>1</v>
      </c>
      <c r="N2072" s="1">
        <f>WEEKNUM(orders[[#This Row],[Order Date]])</f>
        <v>12</v>
      </c>
      <c r="O2072" s="1" t="str" cm="1">
        <f t="array" ref="O2072">_xlfn.IFS(orders[[#This Row],[Customer Gender]]="M","Male", orders[[#This Row],[Customer Gender]]="F","Female", orders[[#This Row],[Customer Gender]]="O","Other", TRUE,"Unknown")</f>
        <v>Male</v>
      </c>
    </row>
    <row r="2073" spans="1:15">
      <c r="A2073" s="1" t="s">
        <v>2173</v>
      </c>
      <c r="B2073" s="1" t="s">
        <v>30</v>
      </c>
      <c r="C2073" s="1">
        <v>4</v>
      </c>
      <c r="D2073" s="1">
        <v>59.5</v>
      </c>
      <c r="E2073" s="11">
        <v>238</v>
      </c>
      <c r="F2073" s="3">
        <v>45733</v>
      </c>
      <c r="G2073" s="3">
        <v>45738</v>
      </c>
      <c r="H2073" s="1" t="s">
        <v>23</v>
      </c>
      <c r="I2073" s="1" t="s">
        <v>18</v>
      </c>
      <c r="J2073" s="1">
        <v>5</v>
      </c>
      <c r="K2073" s="1" t="s">
        <v>19</v>
      </c>
      <c r="L2073" s="1" t="s">
        <v>33</v>
      </c>
      <c r="M2073" s="1">
        <f>orders[[#This Row],[Ship Date]]-orders[[#This Row],[Order Date]]</f>
        <v>5</v>
      </c>
      <c r="N2073" s="1">
        <f>WEEKNUM(orders[[#This Row],[Order Date]])</f>
        <v>12</v>
      </c>
      <c r="O2073" s="1" t="str" cm="1">
        <f t="array" ref="O2073">_xlfn.IFS(orders[[#This Row],[Customer Gender]]="M","Male", orders[[#This Row],[Customer Gender]]="F","Female", orders[[#This Row],[Customer Gender]]="O","Other", TRUE,"Unknown")</f>
        <v>Male</v>
      </c>
    </row>
    <row r="2074" spans="1:15">
      <c r="A2074" s="1" t="s">
        <v>2174</v>
      </c>
      <c r="B2074" s="1" t="s">
        <v>44</v>
      </c>
      <c r="C2074" s="1">
        <v>2</v>
      </c>
      <c r="D2074" s="1">
        <v>57.5</v>
      </c>
      <c r="E2074" s="11">
        <v>115</v>
      </c>
      <c r="F2074" s="3">
        <v>45733</v>
      </c>
      <c r="G2074" s="3">
        <v>45735</v>
      </c>
      <c r="H2074" s="1" t="s">
        <v>23</v>
      </c>
      <c r="I2074" s="1" t="s">
        <v>35</v>
      </c>
      <c r="J2074" s="1">
        <v>5</v>
      </c>
      <c r="K2074" s="1" t="s">
        <v>19</v>
      </c>
      <c r="L2074" s="1" t="s">
        <v>33</v>
      </c>
      <c r="M2074" s="1">
        <f>orders[[#This Row],[Ship Date]]-orders[[#This Row],[Order Date]]</f>
        <v>2</v>
      </c>
      <c r="N2074" s="1">
        <f>WEEKNUM(orders[[#This Row],[Order Date]])</f>
        <v>12</v>
      </c>
      <c r="O2074" s="1" t="str" cm="1">
        <f t="array" ref="O2074">_xlfn.IFS(orders[[#This Row],[Customer Gender]]="M","Male", orders[[#This Row],[Customer Gender]]="F","Female", orders[[#This Row],[Customer Gender]]="O","Other", TRUE,"Unknown")</f>
        <v>Male</v>
      </c>
    </row>
    <row r="2075" spans="1:15">
      <c r="A2075" s="1" t="s">
        <v>2175</v>
      </c>
      <c r="B2075" s="1" t="s">
        <v>44</v>
      </c>
      <c r="C2075" s="1">
        <v>1</v>
      </c>
      <c r="D2075" s="1">
        <v>34.299999999999997</v>
      </c>
      <c r="E2075" s="11">
        <v>34.299999999999997</v>
      </c>
      <c r="F2075" s="3">
        <v>45733</v>
      </c>
      <c r="G2075" s="3">
        <v>45734</v>
      </c>
      <c r="H2075" s="1" t="s">
        <v>27</v>
      </c>
      <c r="I2075" s="1" t="s">
        <v>70</v>
      </c>
      <c r="J2075" s="1">
        <v>5</v>
      </c>
      <c r="K2075" s="1" t="s">
        <v>19</v>
      </c>
      <c r="L2075" s="1" t="s">
        <v>33</v>
      </c>
      <c r="M2075" s="1">
        <f>orders[[#This Row],[Ship Date]]-orders[[#This Row],[Order Date]]</f>
        <v>1</v>
      </c>
      <c r="N2075" s="1">
        <f>WEEKNUM(orders[[#This Row],[Order Date]])</f>
        <v>12</v>
      </c>
      <c r="O2075" s="1" t="str" cm="1">
        <f t="array" ref="O2075">_xlfn.IFS(orders[[#This Row],[Customer Gender]]="M","Male", orders[[#This Row],[Customer Gender]]="F","Female", orders[[#This Row],[Customer Gender]]="O","Other", TRUE,"Unknown")</f>
        <v>Female</v>
      </c>
    </row>
    <row r="2076" spans="1:15">
      <c r="A2076" s="1" t="s">
        <v>2176</v>
      </c>
      <c r="B2076" s="1" t="s">
        <v>37</v>
      </c>
      <c r="C2076" s="1">
        <v>2</v>
      </c>
      <c r="D2076" s="1">
        <v>27.8</v>
      </c>
      <c r="E2076" s="11">
        <v>55.6</v>
      </c>
      <c r="F2076" s="3">
        <v>45734</v>
      </c>
      <c r="G2076" s="3">
        <v>45736</v>
      </c>
      <c r="H2076" s="1" t="s">
        <v>27</v>
      </c>
      <c r="I2076" s="1" t="s">
        <v>18</v>
      </c>
      <c r="J2076" s="1">
        <v>4</v>
      </c>
      <c r="K2076" s="1" t="s">
        <v>19</v>
      </c>
      <c r="L2076" s="1" t="s">
        <v>33</v>
      </c>
      <c r="M2076" s="1">
        <f>orders[[#This Row],[Ship Date]]-orders[[#This Row],[Order Date]]</f>
        <v>2</v>
      </c>
      <c r="N2076" s="1">
        <f>WEEKNUM(orders[[#This Row],[Order Date]])</f>
        <v>12</v>
      </c>
      <c r="O2076" s="1" t="str" cm="1">
        <f t="array" ref="O2076">_xlfn.IFS(orders[[#This Row],[Customer Gender]]="M","Male", orders[[#This Row],[Customer Gender]]="F","Female", orders[[#This Row],[Customer Gender]]="O","Other", TRUE,"Unknown")</f>
        <v>Female</v>
      </c>
    </row>
    <row r="2077" spans="1:15">
      <c r="A2077" s="1" t="s">
        <v>2177</v>
      </c>
      <c r="B2077" s="1" t="s">
        <v>69</v>
      </c>
      <c r="C2077" s="1">
        <v>2</v>
      </c>
      <c r="D2077" s="1">
        <v>85</v>
      </c>
      <c r="E2077" s="11">
        <v>170</v>
      </c>
      <c r="F2077" s="3">
        <v>45734</v>
      </c>
      <c r="G2077" s="3">
        <v>45734</v>
      </c>
      <c r="H2077" s="1" t="s">
        <v>23</v>
      </c>
      <c r="I2077" s="1" t="s">
        <v>40</v>
      </c>
      <c r="J2077" s="1">
        <v>5</v>
      </c>
      <c r="K2077" s="1" t="s">
        <v>19</v>
      </c>
      <c r="L2077" s="1" t="s">
        <v>33</v>
      </c>
      <c r="M2077" s="1">
        <f>orders[[#This Row],[Ship Date]]-orders[[#This Row],[Order Date]]</f>
        <v>0</v>
      </c>
      <c r="N2077" s="1">
        <f>WEEKNUM(orders[[#This Row],[Order Date]])</f>
        <v>12</v>
      </c>
      <c r="O2077" s="1" t="str" cm="1">
        <f t="array" ref="O2077">_xlfn.IFS(orders[[#This Row],[Customer Gender]]="M","Male", orders[[#This Row],[Customer Gender]]="F","Female", orders[[#This Row],[Customer Gender]]="O","Other", TRUE,"Unknown")</f>
        <v>Male</v>
      </c>
    </row>
    <row r="2078" spans="1:15">
      <c r="A2078" s="1" t="s">
        <v>2178</v>
      </c>
      <c r="B2078" s="1" t="s">
        <v>39</v>
      </c>
      <c r="C2078" s="1">
        <v>2</v>
      </c>
      <c r="D2078" s="1">
        <v>95</v>
      </c>
      <c r="E2078" s="11">
        <v>190</v>
      </c>
      <c r="F2078" s="3">
        <v>45734</v>
      </c>
      <c r="G2078" s="3">
        <v>45736</v>
      </c>
      <c r="H2078" s="1" t="s">
        <v>27</v>
      </c>
      <c r="I2078" s="1" t="s">
        <v>18</v>
      </c>
      <c r="J2078" s="1">
        <v>4</v>
      </c>
      <c r="K2078" s="1" t="s">
        <v>19</v>
      </c>
      <c r="L2078" s="1" t="s">
        <v>33</v>
      </c>
      <c r="M2078" s="1">
        <f>orders[[#This Row],[Ship Date]]-orders[[#This Row],[Order Date]]</f>
        <v>2</v>
      </c>
      <c r="N2078" s="1">
        <f>WEEKNUM(orders[[#This Row],[Order Date]])</f>
        <v>12</v>
      </c>
      <c r="O2078" s="1" t="str" cm="1">
        <f t="array" ref="O2078">_xlfn.IFS(orders[[#This Row],[Customer Gender]]="M","Male", orders[[#This Row],[Customer Gender]]="F","Female", orders[[#This Row],[Customer Gender]]="O","Other", TRUE,"Unknown")</f>
        <v>Female</v>
      </c>
    </row>
    <row r="2079" spans="1:15">
      <c r="A2079" s="1" t="s">
        <v>2179</v>
      </c>
      <c r="B2079" s="1" t="s">
        <v>128</v>
      </c>
      <c r="C2079" s="1">
        <v>2</v>
      </c>
      <c r="D2079" s="1">
        <v>32</v>
      </c>
      <c r="E2079" s="11">
        <v>64</v>
      </c>
      <c r="F2079" s="3">
        <v>45734</v>
      </c>
      <c r="G2079" s="3">
        <v>45736</v>
      </c>
      <c r="H2079" s="1" t="s">
        <v>23</v>
      </c>
      <c r="I2079" s="1" t="s">
        <v>18</v>
      </c>
      <c r="J2079" s="1">
        <v>3</v>
      </c>
      <c r="K2079" s="1" t="s">
        <v>19</v>
      </c>
      <c r="L2079" s="1" t="s">
        <v>33</v>
      </c>
      <c r="M2079" s="1">
        <f>orders[[#This Row],[Ship Date]]-orders[[#This Row],[Order Date]]</f>
        <v>2</v>
      </c>
      <c r="N2079" s="1">
        <f>WEEKNUM(orders[[#This Row],[Order Date]])</f>
        <v>12</v>
      </c>
      <c r="O2079" s="1" t="str" cm="1">
        <f t="array" ref="O2079">_xlfn.IFS(orders[[#This Row],[Customer Gender]]="M","Male", orders[[#This Row],[Customer Gender]]="F","Female", orders[[#This Row],[Customer Gender]]="O","Other", TRUE,"Unknown")</f>
        <v>Male</v>
      </c>
    </row>
    <row r="2080" spans="1:15">
      <c r="A2080" s="1" t="s">
        <v>2180</v>
      </c>
      <c r="B2080" s="1" t="s">
        <v>26</v>
      </c>
      <c r="C2080" s="1">
        <v>2</v>
      </c>
      <c r="D2080" s="1">
        <v>65.2</v>
      </c>
      <c r="E2080" s="11">
        <v>130.4</v>
      </c>
      <c r="F2080" s="3">
        <v>45734</v>
      </c>
      <c r="G2080" s="3">
        <v>45735</v>
      </c>
      <c r="H2080" s="1" t="s">
        <v>27</v>
      </c>
      <c r="I2080" s="1" t="s">
        <v>35</v>
      </c>
      <c r="J2080" s="1">
        <v>4</v>
      </c>
      <c r="K2080" s="1" t="s">
        <v>19</v>
      </c>
      <c r="L2080" s="1" t="s">
        <v>33</v>
      </c>
      <c r="M2080" s="1">
        <f>orders[[#This Row],[Ship Date]]-orders[[#This Row],[Order Date]]</f>
        <v>1</v>
      </c>
      <c r="N2080" s="1">
        <f>WEEKNUM(orders[[#This Row],[Order Date]])</f>
        <v>12</v>
      </c>
      <c r="O2080" s="1" t="str" cm="1">
        <f t="array" ref="O2080">_xlfn.IFS(orders[[#This Row],[Customer Gender]]="M","Male", orders[[#This Row],[Customer Gender]]="F","Female", orders[[#This Row],[Customer Gender]]="O","Other", TRUE,"Unknown")</f>
        <v>Female</v>
      </c>
    </row>
    <row r="2081" spans="1:15">
      <c r="A2081" s="1" t="s">
        <v>2181</v>
      </c>
      <c r="B2081" s="1" t="s">
        <v>135</v>
      </c>
      <c r="C2081" s="1">
        <v>4</v>
      </c>
      <c r="D2081" s="1">
        <v>22</v>
      </c>
      <c r="E2081" s="11">
        <v>88</v>
      </c>
      <c r="F2081" s="3">
        <v>45734</v>
      </c>
      <c r="G2081" s="3">
        <v>45735</v>
      </c>
      <c r="H2081" s="1" t="s">
        <v>23</v>
      </c>
      <c r="I2081" s="1" t="s">
        <v>35</v>
      </c>
      <c r="J2081" s="1">
        <v>5</v>
      </c>
      <c r="K2081" s="1" t="s">
        <v>19</v>
      </c>
      <c r="L2081" s="1" t="s">
        <v>33</v>
      </c>
      <c r="M2081" s="1">
        <f>orders[[#This Row],[Ship Date]]-orders[[#This Row],[Order Date]]</f>
        <v>1</v>
      </c>
      <c r="N2081" s="1">
        <f>WEEKNUM(orders[[#This Row],[Order Date]])</f>
        <v>12</v>
      </c>
      <c r="O2081" s="1" t="str" cm="1">
        <f t="array" ref="O2081">_xlfn.IFS(orders[[#This Row],[Customer Gender]]="M","Male", orders[[#This Row],[Customer Gender]]="F","Female", orders[[#This Row],[Customer Gender]]="O","Other", TRUE,"Unknown")</f>
        <v>Male</v>
      </c>
    </row>
    <row r="2082" spans="1:15">
      <c r="A2082" s="1" t="s">
        <v>2182</v>
      </c>
      <c r="B2082" s="1" t="s">
        <v>123</v>
      </c>
      <c r="C2082" s="1">
        <v>3</v>
      </c>
      <c r="D2082" s="1">
        <v>69.400000000000006</v>
      </c>
      <c r="E2082" s="11">
        <v>208.20000000000002</v>
      </c>
      <c r="F2082" s="3">
        <v>45734</v>
      </c>
      <c r="G2082" s="3">
        <v>45737</v>
      </c>
      <c r="H2082" s="1" t="s">
        <v>23</v>
      </c>
      <c r="I2082" s="1" t="s">
        <v>35</v>
      </c>
      <c r="J2082" s="1">
        <v>5</v>
      </c>
      <c r="K2082" s="1" t="s">
        <v>19</v>
      </c>
      <c r="L2082" s="1" t="s">
        <v>33</v>
      </c>
      <c r="M2082" s="1">
        <f>orders[[#This Row],[Ship Date]]-orders[[#This Row],[Order Date]]</f>
        <v>3</v>
      </c>
      <c r="N2082" s="1">
        <f>WEEKNUM(orders[[#This Row],[Order Date]])</f>
        <v>12</v>
      </c>
      <c r="O2082" s="1" t="str" cm="1">
        <f t="array" ref="O2082">_xlfn.IFS(orders[[#This Row],[Customer Gender]]="M","Male", orders[[#This Row],[Customer Gender]]="F","Female", orders[[#This Row],[Customer Gender]]="O","Other", TRUE,"Unknown")</f>
        <v>Male</v>
      </c>
    </row>
    <row r="2083" spans="1:15">
      <c r="A2083" s="1" t="s">
        <v>2183</v>
      </c>
      <c r="B2083" s="1" t="s">
        <v>54</v>
      </c>
      <c r="C2083" s="1">
        <v>6</v>
      </c>
      <c r="D2083" s="1">
        <v>31.5</v>
      </c>
      <c r="E2083" s="11">
        <v>189</v>
      </c>
      <c r="F2083" s="3">
        <v>45734</v>
      </c>
      <c r="G2083" s="3">
        <v>45736</v>
      </c>
      <c r="H2083" s="1" t="s">
        <v>27</v>
      </c>
      <c r="I2083" s="1" t="s">
        <v>18</v>
      </c>
      <c r="J2083" s="1">
        <v>5</v>
      </c>
      <c r="K2083" s="1" t="s">
        <v>19</v>
      </c>
      <c r="L2083" s="1" t="s">
        <v>33</v>
      </c>
      <c r="M2083" s="1">
        <f>orders[[#This Row],[Ship Date]]-orders[[#This Row],[Order Date]]</f>
        <v>2</v>
      </c>
      <c r="N2083" s="1">
        <f>WEEKNUM(orders[[#This Row],[Order Date]])</f>
        <v>12</v>
      </c>
      <c r="O2083" s="1" t="str" cm="1">
        <f t="array" ref="O2083">_xlfn.IFS(orders[[#This Row],[Customer Gender]]="M","Male", orders[[#This Row],[Customer Gender]]="F","Female", orders[[#This Row],[Customer Gender]]="O","Other", TRUE,"Unknown")</f>
        <v>Female</v>
      </c>
    </row>
    <row r="2084" spans="1:15">
      <c r="A2084" s="1" t="s">
        <v>2184</v>
      </c>
      <c r="B2084" s="1" t="s">
        <v>39</v>
      </c>
      <c r="C2084" s="1">
        <v>1</v>
      </c>
      <c r="D2084" s="1">
        <v>45.8</v>
      </c>
      <c r="E2084" s="11">
        <v>45.8</v>
      </c>
      <c r="F2084" s="3">
        <v>45734</v>
      </c>
      <c r="G2084" s="3">
        <v>45738</v>
      </c>
      <c r="H2084" s="1" t="s">
        <v>89</v>
      </c>
      <c r="I2084" s="1" t="s">
        <v>18</v>
      </c>
      <c r="J2084" s="1">
        <v>4</v>
      </c>
      <c r="K2084" s="1" t="s">
        <v>19</v>
      </c>
      <c r="L2084" s="1" t="s">
        <v>33</v>
      </c>
      <c r="M2084" s="1">
        <f>orders[[#This Row],[Ship Date]]-orders[[#This Row],[Order Date]]</f>
        <v>4</v>
      </c>
      <c r="N2084" s="1">
        <f>WEEKNUM(orders[[#This Row],[Order Date]])</f>
        <v>12</v>
      </c>
      <c r="O2084" s="1" t="str" cm="1">
        <f t="array" ref="O2084">_xlfn.IFS(orders[[#This Row],[Customer Gender]]="M","Male", orders[[#This Row],[Customer Gender]]="F","Female", orders[[#This Row],[Customer Gender]]="O","Other", TRUE,"Unknown")</f>
        <v>Other</v>
      </c>
    </row>
    <row r="2085" spans="1:15">
      <c r="A2085" s="1" t="s">
        <v>2185</v>
      </c>
      <c r="B2085" s="1" t="s">
        <v>171</v>
      </c>
      <c r="C2085" s="1">
        <v>4</v>
      </c>
      <c r="D2085" s="1">
        <v>12.8</v>
      </c>
      <c r="E2085" s="11">
        <v>51.2</v>
      </c>
      <c r="F2085" s="3">
        <v>45734</v>
      </c>
      <c r="G2085" s="3">
        <v>45741</v>
      </c>
      <c r="H2085" s="1" t="s">
        <v>27</v>
      </c>
      <c r="I2085" s="1" t="s">
        <v>35</v>
      </c>
      <c r="J2085" s="1">
        <v>3</v>
      </c>
      <c r="K2085" s="1" t="s">
        <v>19</v>
      </c>
      <c r="L2085" s="1" t="s">
        <v>52</v>
      </c>
      <c r="M2085" s="1">
        <f>orders[[#This Row],[Ship Date]]-orders[[#This Row],[Order Date]]</f>
        <v>7</v>
      </c>
      <c r="N2085" s="1">
        <f>WEEKNUM(orders[[#This Row],[Order Date]])</f>
        <v>12</v>
      </c>
      <c r="O2085" s="1" t="str" cm="1">
        <f t="array" ref="O2085">_xlfn.IFS(orders[[#This Row],[Customer Gender]]="M","Male", orders[[#This Row],[Customer Gender]]="F","Female", orders[[#This Row],[Customer Gender]]="O","Other", TRUE,"Unknown")</f>
        <v>Female</v>
      </c>
    </row>
    <row r="2086" spans="1:15">
      <c r="A2086" s="1" t="s">
        <v>2186</v>
      </c>
      <c r="B2086" s="1" t="s">
        <v>37</v>
      </c>
      <c r="C2086" s="1">
        <v>3</v>
      </c>
      <c r="D2086" s="1">
        <v>115.3</v>
      </c>
      <c r="E2086" s="11">
        <v>345.9</v>
      </c>
      <c r="F2086" s="3">
        <v>45734</v>
      </c>
      <c r="G2086" s="3">
        <v>45735</v>
      </c>
      <c r="H2086" s="1" t="s">
        <v>27</v>
      </c>
      <c r="I2086" s="1" t="s">
        <v>40</v>
      </c>
      <c r="J2086" s="1">
        <v>5</v>
      </c>
      <c r="K2086" s="1" t="s">
        <v>19</v>
      </c>
      <c r="L2086" s="1" t="s">
        <v>55</v>
      </c>
      <c r="M2086" s="1">
        <f>orders[[#This Row],[Ship Date]]-orders[[#This Row],[Order Date]]</f>
        <v>1</v>
      </c>
      <c r="N2086" s="1">
        <f>WEEKNUM(orders[[#This Row],[Order Date]])</f>
        <v>12</v>
      </c>
      <c r="O2086" s="1" t="str" cm="1">
        <f t="array" ref="O2086">_xlfn.IFS(orders[[#This Row],[Customer Gender]]="M","Male", orders[[#This Row],[Customer Gender]]="F","Female", orders[[#This Row],[Customer Gender]]="O","Other", TRUE,"Unknown")</f>
        <v>Female</v>
      </c>
    </row>
    <row r="2087" spans="1:15">
      <c r="A2087" s="1" t="s">
        <v>2187</v>
      </c>
      <c r="B2087" s="1" t="s">
        <v>37</v>
      </c>
      <c r="C2087" s="1">
        <v>2</v>
      </c>
      <c r="D2087" s="1">
        <v>85</v>
      </c>
      <c r="E2087" s="11">
        <v>170</v>
      </c>
      <c r="F2087" s="3">
        <v>45734</v>
      </c>
      <c r="G2087" s="3">
        <v>45736</v>
      </c>
      <c r="H2087" s="1" t="s">
        <v>27</v>
      </c>
      <c r="I2087" s="1" t="s">
        <v>35</v>
      </c>
      <c r="J2087" s="1">
        <v>4</v>
      </c>
      <c r="K2087" s="1" t="s">
        <v>19</v>
      </c>
      <c r="L2087" s="1" t="s">
        <v>59</v>
      </c>
      <c r="M2087" s="1">
        <f>orders[[#This Row],[Ship Date]]-orders[[#This Row],[Order Date]]</f>
        <v>2</v>
      </c>
      <c r="N2087" s="1">
        <f>WEEKNUM(orders[[#This Row],[Order Date]])</f>
        <v>12</v>
      </c>
      <c r="O2087" s="1" t="str" cm="1">
        <f t="array" ref="O2087">_xlfn.IFS(orders[[#This Row],[Customer Gender]]="M","Male", orders[[#This Row],[Customer Gender]]="F","Female", orders[[#This Row],[Customer Gender]]="O","Other", TRUE,"Unknown")</f>
        <v>Female</v>
      </c>
    </row>
    <row r="2088" spans="1:15">
      <c r="A2088" s="1" t="s">
        <v>2188</v>
      </c>
      <c r="B2088" s="1" t="s">
        <v>44</v>
      </c>
      <c r="C2088" s="1">
        <v>3</v>
      </c>
      <c r="D2088" s="1">
        <v>56.6</v>
      </c>
      <c r="E2088" s="11">
        <v>169.8</v>
      </c>
      <c r="F2088" s="3">
        <v>45734</v>
      </c>
      <c r="G2088" s="3">
        <v>45735</v>
      </c>
      <c r="H2088" s="1" t="s">
        <v>27</v>
      </c>
      <c r="I2088" s="1" t="s">
        <v>35</v>
      </c>
      <c r="J2088" s="1">
        <v>5</v>
      </c>
      <c r="K2088" s="1" t="s">
        <v>19</v>
      </c>
      <c r="L2088" s="1" t="s">
        <v>59</v>
      </c>
      <c r="M2088" s="1">
        <f>orders[[#This Row],[Ship Date]]-orders[[#This Row],[Order Date]]</f>
        <v>1</v>
      </c>
      <c r="N2088" s="1">
        <f>WEEKNUM(orders[[#This Row],[Order Date]])</f>
        <v>12</v>
      </c>
      <c r="O2088" s="1" t="str" cm="1">
        <f t="array" ref="O2088">_xlfn.IFS(orders[[#This Row],[Customer Gender]]="M","Male", orders[[#This Row],[Customer Gender]]="F","Female", orders[[#This Row],[Customer Gender]]="O","Other", TRUE,"Unknown")</f>
        <v>Female</v>
      </c>
    </row>
    <row r="2089" spans="1:15">
      <c r="A2089" s="1" t="s">
        <v>2189</v>
      </c>
      <c r="B2089" s="1" t="s">
        <v>123</v>
      </c>
      <c r="C2089" s="1">
        <v>27</v>
      </c>
      <c r="D2089" s="1">
        <v>46.3</v>
      </c>
      <c r="E2089" s="11">
        <v>1250.0999999999999</v>
      </c>
      <c r="F2089" s="3">
        <v>45734</v>
      </c>
      <c r="G2089" s="3">
        <v>45737</v>
      </c>
      <c r="H2089" s="1" t="s">
        <v>23</v>
      </c>
      <c r="I2089" s="1" t="s">
        <v>18</v>
      </c>
      <c r="J2089" s="1">
        <v>4</v>
      </c>
      <c r="K2089" s="1" t="s">
        <v>19</v>
      </c>
      <c r="L2089" s="1" t="s">
        <v>59</v>
      </c>
      <c r="M2089" s="1">
        <f>orders[[#This Row],[Ship Date]]-orders[[#This Row],[Order Date]]</f>
        <v>3</v>
      </c>
      <c r="N2089" s="1">
        <f>WEEKNUM(orders[[#This Row],[Order Date]])</f>
        <v>12</v>
      </c>
      <c r="O2089" s="1" t="str" cm="1">
        <f t="array" ref="O2089">_xlfn.IFS(orders[[#This Row],[Customer Gender]]="M","Male", orders[[#This Row],[Customer Gender]]="F","Female", orders[[#This Row],[Customer Gender]]="O","Other", TRUE,"Unknown")</f>
        <v>Male</v>
      </c>
    </row>
    <row r="2090" spans="1:15">
      <c r="A2090" s="1" t="s">
        <v>2190</v>
      </c>
      <c r="B2090" s="1" t="s">
        <v>81</v>
      </c>
      <c r="C2090" s="1">
        <v>4</v>
      </c>
      <c r="D2090" s="1">
        <v>23</v>
      </c>
      <c r="E2090" s="11">
        <v>92</v>
      </c>
      <c r="F2090" s="3">
        <v>45734</v>
      </c>
      <c r="G2090" s="3">
        <v>45738</v>
      </c>
      <c r="H2090" s="1" t="s">
        <v>23</v>
      </c>
      <c r="I2090" s="1" t="s">
        <v>51</v>
      </c>
      <c r="J2090" s="1">
        <v>5</v>
      </c>
      <c r="K2090" s="1" t="s">
        <v>19</v>
      </c>
      <c r="L2090" s="1" t="s">
        <v>59</v>
      </c>
      <c r="M2090" s="1">
        <f>orders[[#This Row],[Ship Date]]-orders[[#This Row],[Order Date]]</f>
        <v>4</v>
      </c>
      <c r="N2090" s="1">
        <f>WEEKNUM(orders[[#This Row],[Order Date]])</f>
        <v>12</v>
      </c>
      <c r="O2090" s="1" t="str" cm="1">
        <f t="array" ref="O2090">_xlfn.IFS(orders[[#This Row],[Customer Gender]]="M","Male", orders[[#This Row],[Customer Gender]]="F","Female", orders[[#This Row],[Customer Gender]]="O","Other", TRUE,"Unknown")</f>
        <v>Male</v>
      </c>
    </row>
    <row r="2091" spans="1:15">
      <c r="A2091" s="1" t="s">
        <v>2191</v>
      </c>
      <c r="B2091" s="1" t="s">
        <v>44</v>
      </c>
      <c r="C2091" s="1">
        <v>6</v>
      </c>
      <c r="D2091" s="1">
        <v>42.1</v>
      </c>
      <c r="E2091" s="11">
        <v>252.60000000000002</v>
      </c>
      <c r="F2091" s="3">
        <v>45734</v>
      </c>
      <c r="G2091" s="3">
        <v>45736</v>
      </c>
      <c r="H2091" s="1" t="s">
        <v>23</v>
      </c>
      <c r="I2091" s="1" t="s">
        <v>70</v>
      </c>
      <c r="J2091" s="1">
        <v>4</v>
      </c>
      <c r="K2091" s="1" t="s">
        <v>19</v>
      </c>
      <c r="L2091" s="1" t="s">
        <v>62</v>
      </c>
      <c r="M2091" s="1">
        <f>orders[[#This Row],[Ship Date]]-orders[[#This Row],[Order Date]]</f>
        <v>2</v>
      </c>
      <c r="N2091" s="1">
        <f>WEEKNUM(orders[[#This Row],[Order Date]])</f>
        <v>12</v>
      </c>
      <c r="O2091" s="1" t="str" cm="1">
        <f t="array" ref="O2091">_xlfn.IFS(orders[[#This Row],[Customer Gender]]="M","Male", orders[[#This Row],[Customer Gender]]="F","Female", orders[[#This Row],[Customer Gender]]="O","Other", TRUE,"Unknown")</f>
        <v>Male</v>
      </c>
    </row>
    <row r="2092" spans="1:15">
      <c r="A2092" s="1" t="s">
        <v>2192</v>
      </c>
      <c r="B2092" s="1" t="s">
        <v>37</v>
      </c>
      <c r="C2092" s="1">
        <v>7</v>
      </c>
      <c r="D2092" s="1">
        <v>57.4</v>
      </c>
      <c r="E2092" s="11">
        <v>401.8</v>
      </c>
      <c r="F2092" s="3">
        <v>45734</v>
      </c>
      <c r="G2092" s="3">
        <v>45738</v>
      </c>
      <c r="H2092" s="1" t="s">
        <v>27</v>
      </c>
      <c r="I2092" s="1" t="s">
        <v>35</v>
      </c>
      <c r="J2092" s="1">
        <v>2</v>
      </c>
      <c r="K2092" s="1" t="s">
        <v>19</v>
      </c>
      <c r="L2092" s="1" t="s">
        <v>62</v>
      </c>
      <c r="M2092" s="1">
        <f>orders[[#This Row],[Ship Date]]-orders[[#This Row],[Order Date]]</f>
        <v>4</v>
      </c>
      <c r="N2092" s="1">
        <f>WEEKNUM(orders[[#This Row],[Order Date]])</f>
        <v>12</v>
      </c>
      <c r="O2092" s="1" t="str" cm="1">
        <f t="array" ref="O2092">_xlfn.IFS(orders[[#This Row],[Customer Gender]]="M","Male", orders[[#This Row],[Customer Gender]]="F","Female", orders[[#This Row],[Customer Gender]]="O","Other", TRUE,"Unknown")</f>
        <v>Female</v>
      </c>
    </row>
    <row r="2093" spans="1:15">
      <c r="A2093" s="1" t="s">
        <v>2193</v>
      </c>
      <c r="B2093" s="1" t="s">
        <v>16</v>
      </c>
      <c r="C2093" s="1">
        <v>6</v>
      </c>
      <c r="D2093" s="1">
        <v>13.2</v>
      </c>
      <c r="E2093" s="11">
        <v>79.199999999999989</v>
      </c>
      <c r="F2093" s="3">
        <v>45734</v>
      </c>
      <c r="G2093" s="3">
        <v>45738</v>
      </c>
      <c r="H2093" s="1" t="s">
        <v>23</v>
      </c>
      <c r="I2093" s="1" t="s">
        <v>40</v>
      </c>
      <c r="J2093" s="1">
        <v>4</v>
      </c>
      <c r="K2093" s="1" t="s">
        <v>19</v>
      </c>
      <c r="L2093" s="1" t="s">
        <v>62</v>
      </c>
      <c r="M2093" s="1">
        <f>orders[[#This Row],[Ship Date]]-orders[[#This Row],[Order Date]]</f>
        <v>4</v>
      </c>
      <c r="N2093" s="1">
        <f>WEEKNUM(orders[[#This Row],[Order Date]])</f>
        <v>12</v>
      </c>
      <c r="O2093" s="1" t="str" cm="1">
        <f t="array" ref="O2093">_xlfn.IFS(orders[[#This Row],[Customer Gender]]="M","Male", orders[[#This Row],[Customer Gender]]="F","Female", orders[[#This Row],[Customer Gender]]="O","Other", TRUE,"Unknown")</f>
        <v>Male</v>
      </c>
    </row>
    <row r="2094" spans="1:15">
      <c r="A2094" s="1" t="s">
        <v>2194</v>
      </c>
      <c r="B2094" s="1" t="s">
        <v>39</v>
      </c>
      <c r="C2094" s="1">
        <v>3</v>
      </c>
      <c r="D2094" s="1">
        <v>52.3</v>
      </c>
      <c r="E2094" s="11">
        <v>156.89999999999998</v>
      </c>
      <c r="F2094" s="3">
        <v>45734</v>
      </c>
      <c r="G2094" s="3">
        <v>45735</v>
      </c>
      <c r="H2094" s="1" t="s">
        <v>23</v>
      </c>
      <c r="I2094" s="1" t="s">
        <v>35</v>
      </c>
      <c r="J2094" s="1">
        <v>4</v>
      </c>
      <c r="K2094" s="1" t="s">
        <v>19</v>
      </c>
      <c r="L2094" s="1" t="s">
        <v>62</v>
      </c>
      <c r="M2094" s="1">
        <f>orders[[#This Row],[Ship Date]]-orders[[#This Row],[Order Date]]</f>
        <v>1</v>
      </c>
      <c r="N2094" s="1">
        <f>WEEKNUM(orders[[#This Row],[Order Date]])</f>
        <v>12</v>
      </c>
      <c r="O2094" s="1" t="str" cm="1">
        <f t="array" ref="O2094">_xlfn.IFS(orders[[#This Row],[Customer Gender]]="M","Male", orders[[#This Row],[Customer Gender]]="F","Female", orders[[#This Row],[Customer Gender]]="O","Other", TRUE,"Unknown")</f>
        <v>Male</v>
      </c>
    </row>
    <row r="2095" spans="1:15">
      <c r="A2095" s="1" t="s">
        <v>2195</v>
      </c>
      <c r="B2095" s="1" t="s">
        <v>44</v>
      </c>
      <c r="C2095" s="1">
        <v>2</v>
      </c>
      <c r="D2095" s="1">
        <v>15.7</v>
      </c>
      <c r="E2095" s="11">
        <v>31.4</v>
      </c>
      <c r="F2095" s="3">
        <v>45734</v>
      </c>
      <c r="G2095" s="3">
        <v>45737</v>
      </c>
      <c r="H2095" s="1" t="s">
        <v>23</v>
      </c>
      <c r="I2095" s="1" t="s">
        <v>35</v>
      </c>
      <c r="J2095" s="1">
        <v>5</v>
      </c>
      <c r="K2095" s="1" t="s">
        <v>19</v>
      </c>
      <c r="L2095" s="1" t="s">
        <v>62</v>
      </c>
      <c r="M2095" s="1">
        <f>orders[[#This Row],[Ship Date]]-orders[[#This Row],[Order Date]]</f>
        <v>3</v>
      </c>
      <c r="N2095" s="1">
        <f>WEEKNUM(orders[[#This Row],[Order Date]])</f>
        <v>12</v>
      </c>
      <c r="O2095" s="1" t="str" cm="1">
        <f t="array" ref="O2095">_xlfn.IFS(orders[[#This Row],[Customer Gender]]="M","Male", orders[[#This Row],[Customer Gender]]="F","Female", orders[[#This Row],[Customer Gender]]="O","Other", TRUE,"Unknown")</f>
        <v>Male</v>
      </c>
    </row>
    <row r="2096" spans="1:15">
      <c r="A2096" s="1" t="s">
        <v>2196</v>
      </c>
      <c r="B2096" s="1" t="s">
        <v>42</v>
      </c>
      <c r="C2096" s="1">
        <v>3</v>
      </c>
      <c r="D2096" s="1">
        <v>35</v>
      </c>
      <c r="E2096" s="11">
        <v>105</v>
      </c>
      <c r="F2096" s="3">
        <v>45734</v>
      </c>
      <c r="G2096" s="3">
        <v>45737</v>
      </c>
      <c r="H2096" s="1" t="s">
        <v>27</v>
      </c>
      <c r="I2096" s="1" t="s">
        <v>35</v>
      </c>
      <c r="J2096" s="1">
        <v>5</v>
      </c>
      <c r="K2096" s="1" t="s">
        <v>19</v>
      </c>
      <c r="L2096" s="1" t="s">
        <v>72</v>
      </c>
      <c r="M2096" s="1">
        <f>orders[[#This Row],[Ship Date]]-orders[[#This Row],[Order Date]]</f>
        <v>3</v>
      </c>
      <c r="N2096" s="1">
        <f>WEEKNUM(orders[[#This Row],[Order Date]])</f>
        <v>12</v>
      </c>
      <c r="O2096" s="1" t="str" cm="1">
        <f t="array" ref="O2096">_xlfn.IFS(orders[[#This Row],[Customer Gender]]="M","Male", orders[[#This Row],[Customer Gender]]="F","Female", orders[[#This Row],[Customer Gender]]="O","Other", TRUE,"Unknown")</f>
        <v>Female</v>
      </c>
    </row>
    <row r="2097" spans="1:15">
      <c r="A2097" s="1" t="s">
        <v>2197</v>
      </c>
      <c r="B2097" s="1" t="s">
        <v>32</v>
      </c>
      <c r="C2097" s="1">
        <v>3</v>
      </c>
      <c r="D2097" s="1">
        <v>26.6</v>
      </c>
      <c r="E2097" s="11">
        <v>79.800000000000011</v>
      </c>
      <c r="F2097" s="3">
        <v>45734</v>
      </c>
      <c r="G2097" s="3">
        <v>45734</v>
      </c>
      <c r="H2097" s="1" t="s">
        <v>23</v>
      </c>
      <c r="I2097" s="1" t="s">
        <v>35</v>
      </c>
      <c r="J2097" s="1">
        <v>5</v>
      </c>
      <c r="K2097" s="1" t="s">
        <v>19</v>
      </c>
      <c r="L2097" s="1" t="s">
        <v>77</v>
      </c>
      <c r="M2097" s="1">
        <f>orders[[#This Row],[Ship Date]]-orders[[#This Row],[Order Date]]</f>
        <v>0</v>
      </c>
      <c r="N2097" s="1">
        <f>WEEKNUM(orders[[#This Row],[Order Date]])</f>
        <v>12</v>
      </c>
      <c r="O2097" s="1" t="str" cm="1">
        <f t="array" ref="O2097">_xlfn.IFS(orders[[#This Row],[Customer Gender]]="M","Male", orders[[#This Row],[Customer Gender]]="F","Female", orders[[#This Row],[Customer Gender]]="O","Other", TRUE,"Unknown")</f>
        <v>Male</v>
      </c>
    </row>
    <row r="2098" spans="1:15">
      <c r="A2098" s="1" t="s">
        <v>2198</v>
      </c>
      <c r="B2098" s="1" t="s">
        <v>32</v>
      </c>
      <c r="C2098" s="1">
        <v>8</v>
      </c>
      <c r="D2098" s="1">
        <v>47.9</v>
      </c>
      <c r="E2098" s="11">
        <v>383.2</v>
      </c>
      <c r="F2098" s="3">
        <v>45735</v>
      </c>
      <c r="G2098" s="3">
        <v>45736</v>
      </c>
      <c r="H2098" s="1" t="s">
        <v>27</v>
      </c>
      <c r="I2098" s="1" t="s">
        <v>51</v>
      </c>
      <c r="J2098" s="1">
        <v>5</v>
      </c>
      <c r="K2098" s="1" t="s">
        <v>19</v>
      </c>
      <c r="L2098" s="1" t="s">
        <v>113</v>
      </c>
      <c r="M2098" s="1">
        <f>orders[[#This Row],[Ship Date]]-orders[[#This Row],[Order Date]]</f>
        <v>1</v>
      </c>
      <c r="N2098" s="1">
        <f>WEEKNUM(orders[[#This Row],[Order Date]])</f>
        <v>12</v>
      </c>
      <c r="O2098" s="1" t="str" cm="1">
        <f t="array" ref="O2098">_xlfn.IFS(orders[[#This Row],[Customer Gender]]="M","Male", orders[[#This Row],[Customer Gender]]="F","Female", orders[[#This Row],[Customer Gender]]="O","Other", TRUE,"Unknown")</f>
        <v>Female</v>
      </c>
    </row>
    <row r="2099" spans="1:15">
      <c r="A2099" s="1" t="s">
        <v>2199</v>
      </c>
      <c r="B2099" s="1" t="s">
        <v>37</v>
      </c>
      <c r="C2099" s="1">
        <v>1</v>
      </c>
      <c r="D2099" s="1">
        <v>80.099999999999994</v>
      </c>
      <c r="E2099" s="11">
        <v>80.099999999999994</v>
      </c>
      <c r="F2099" s="3">
        <v>45735</v>
      </c>
      <c r="G2099" s="3">
        <v>45736</v>
      </c>
      <c r="H2099" s="1" t="s">
        <v>23</v>
      </c>
      <c r="I2099" s="1" t="s">
        <v>40</v>
      </c>
      <c r="J2099" s="1">
        <v>4</v>
      </c>
      <c r="K2099" s="1" t="s">
        <v>19</v>
      </c>
      <c r="L2099" s="1" t="s">
        <v>115</v>
      </c>
      <c r="M2099" s="1">
        <f>orders[[#This Row],[Ship Date]]-orders[[#This Row],[Order Date]]</f>
        <v>1</v>
      </c>
      <c r="N2099" s="1">
        <f>WEEKNUM(orders[[#This Row],[Order Date]])</f>
        <v>12</v>
      </c>
      <c r="O2099" s="1" t="str" cm="1">
        <f t="array" ref="O2099">_xlfn.IFS(orders[[#This Row],[Customer Gender]]="M","Male", orders[[#This Row],[Customer Gender]]="F","Female", orders[[#This Row],[Customer Gender]]="O","Other", TRUE,"Unknown")</f>
        <v>Male</v>
      </c>
    </row>
    <row r="2100" spans="1:15">
      <c r="A2100" s="1" t="s">
        <v>2200</v>
      </c>
      <c r="B2100" s="1" t="s">
        <v>39</v>
      </c>
      <c r="C2100" s="1">
        <v>5</v>
      </c>
      <c r="D2100" s="1">
        <v>50.4</v>
      </c>
      <c r="E2100" s="11">
        <v>252</v>
      </c>
      <c r="F2100" s="3">
        <v>45735</v>
      </c>
      <c r="G2100" s="3">
        <v>45736</v>
      </c>
      <c r="H2100" s="1" t="s">
        <v>23</v>
      </c>
      <c r="I2100" s="1" t="s">
        <v>35</v>
      </c>
      <c r="J2100" s="1">
        <v>5</v>
      </c>
      <c r="K2100" s="1" t="s">
        <v>19</v>
      </c>
      <c r="L2100" s="1" t="s">
        <v>115</v>
      </c>
      <c r="M2100" s="1">
        <f>orders[[#This Row],[Ship Date]]-orders[[#This Row],[Order Date]]</f>
        <v>1</v>
      </c>
      <c r="N2100" s="1">
        <f>WEEKNUM(orders[[#This Row],[Order Date]])</f>
        <v>12</v>
      </c>
      <c r="O2100" s="1" t="str" cm="1">
        <f t="array" ref="O2100">_xlfn.IFS(orders[[#This Row],[Customer Gender]]="M","Male", orders[[#This Row],[Customer Gender]]="F","Female", orders[[#This Row],[Customer Gender]]="O","Other", TRUE,"Unknown")</f>
        <v>Male</v>
      </c>
    </row>
    <row r="2101" spans="1:15">
      <c r="A2101" s="1" t="s">
        <v>2201</v>
      </c>
      <c r="B2101" s="1" t="s">
        <v>54</v>
      </c>
      <c r="C2101" s="1">
        <v>7</v>
      </c>
      <c r="D2101" s="1">
        <v>43.3</v>
      </c>
      <c r="E2101" s="11">
        <v>303.09999999999997</v>
      </c>
      <c r="F2101" s="3">
        <v>45735</v>
      </c>
      <c r="G2101" s="3">
        <v>45736</v>
      </c>
      <c r="H2101" s="1" t="s">
        <v>23</v>
      </c>
      <c r="I2101" s="1" t="s">
        <v>40</v>
      </c>
      <c r="J2101" s="1">
        <v>4</v>
      </c>
      <c r="K2101" s="1" t="s">
        <v>19</v>
      </c>
      <c r="L2101" s="1" t="s">
        <v>115</v>
      </c>
      <c r="M2101" s="1">
        <f>orders[[#This Row],[Ship Date]]-orders[[#This Row],[Order Date]]</f>
        <v>1</v>
      </c>
      <c r="N2101" s="1">
        <f>WEEKNUM(orders[[#This Row],[Order Date]])</f>
        <v>12</v>
      </c>
      <c r="O2101" s="1" t="str" cm="1">
        <f t="array" ref="O2101">_xlfn.IFS(orders[[#This Row],[Customer Gender]]="M","Male", orders[[#This Row],[Customer Gender]]="F","Female", orders[[#This Row],[Customer Gender]]="O","Other", TRUE,"Unknown")</f>
        <v>Male</v>
      </c>
    </row>
    <row r="2102" spans="1:15">
      <c r="A2102" s="1" t="s">
        <v>2202</v>
      </c>
      <c r="B2102" s="1" t="s">
        <v>54</v>
      </c>
      <c r="C2102" s="1">
        <v>4</v>
      </c>
      <c r="D2102" s="1">
        <v>57.5</v>
      </c>
      <c r="E2102" s="11">
        <v>230</v>
      </c>
      <c r="F2102" s="3">
        <v>45735</v>
      </c>
      <c r="G2102" s="3">
        <v>45736</v>
      </c>
      <c r="H2102" s="1" t="s">
        <v>27</v>
      </c>
      <c r="I2102" s="1" t="s">
        <v>35</v>
      </c>
      <c r="J2102" s="1">
        <v>5</v>
      </c>
      <c r="K2102" s="1" t="s">
        <v>19</v>
      </c>
      <c r="L2102" s="1" t="s">
        <v>24</v>
      </c>
      <c r="M2102" s="1">
        <f>orders[[#This Row],[Ship Date]]-orders[[#This Row],[Order Date]]</f>
        <v>1</v>
      </c>
      <c r="N2102" s="1">
        <f>WEEKNUM(orders[[#This Row],[Order Date]])</f>
        <v>12</v>
      </c>
      <c r="O2102" s="1" t="str" cm="1">
        <f t="array" ref="O2102">_xlfn.IFS(orders[[#This Row],[Customer Gender]]="M","Male", orders[[#This Row],[Customer Gender]]="F","Female", orders[[#This Row],[Customer Gender]]="O","Other", TRUE,"Unknown")</f>
        <v>Female</v>
      </c>
    </row>
    <row r="2103" spans="1:15">
      <c r="A2103" s="1" t="s">
        <v>2203</v>
      </c>
      <c r="B2103" s="1" t="s">
        <v>46</v>
      </c>
      <c r="C2103" s="1">
        <v>13</v>
      </c>
      <c r="D2103" s="1">
        <v>24.8</v>
      </c>
      <c r="E2103" s="11">
        <v>322.40000000000003</v>
      </c>
      <c r="F2103" s="3">
        <v>45735</v>
      </c>
      <c r="G2103" s="3">
        <v>45736</v>
      </c>
      <c r="H2103" s="1" t="s">
        <v>23</v>
      </c>
      <c r="I2103" s="1" t="s">
        <v>18</v>
      </c>
      <c r="J2103" s="1">
        <v>4</v>
      </c>
      <c r="K2103" s="1" t="s">
        <v>19</v>
      </c>
      <c r="L2103" s="1" t="s">
        <v>2204</v>
      </c>
      <c r="M2103" s="1">
        <f>orders[[#This Row],[Ship Date]]-orders[[#This Row],[Order Date]]</f>
        <v>1</v>
      </c>
      <c r="N2103" s="1">
        <f>WEEKNUM(orders[[#This Row],[Order Date]])</f>
        <v>12</v>
      </c>
      <c r="O2103" s="1" t="str" cm="1">
        <f t="array" ref="O2103">_xlfn.IFS(orders[[#This Row],[Customer Gender]]="M","Male", orders[[#This Row],[Customer Gender]]="F","Female", orders[[#This Row],[Customer Gender]]="O","Other", TRUE,"Unknown")</f>
        <v>Male</v>
      </c>
    </row>
    <row r="2104" spans="1:15">
      <c r="A2104" s="1" t="s">
        <v>2205</v>
      </c>
      <c r="B2104" s="1" t="s">
        <v>26</v>
      </c>
      <c r="C2104" s="1">
        <v>9</v>
      </c>
      <c r="D2104" s="1">
        <v>85.7</v>
      </c>
      <c r="E2104" s="11">
        <v>771.30000000000007</v>
      </c>
      <c r="F2104" s="3">
        <v>45735</v>
      </c>
      <c r="G2104" s="3">
        <v>45736</v>
      </c>
      <c r="H2104" s="1" t="s">
        <v>27</v>
      </c>
      <c r="I2104" s="1" t="s">
        <v>18</v>
      </c>
      <c r="J2104" s="1">
        <v>4</v>
      </c>
      <c r="K2104" s="1" t="s">
        <v>19</v>
      </c>
      <c r="L2104" s="1" t="s">
        <v>437</v>
      </c>
      <c r="M2104" s="1">
        <f>orders[[#This Row],[Ship Date]]-orders[[#This Row],[Order Date]]</f>
        <v>1</v>
      </c>
      <c r="N2104" s="1">
        <f>WEEKNUM(orders[[#This Row],[Order Date]])</f>
        <v>12</v>
      </c>
      <c r="O2104" s="1" t="str" cm="1">
        <f t="array" ref="O2104">_xlfn.IFS(orders[[#This Row],[Customer Gender]]="M","Male", orders[[#This Row],[Customer Gender]]="F","Female", orders[[#This Row],[Customer Gender]]="O","Other", TRUE,"Unknown")</f>
        <v>Female</v>
      </c>
    </row>
    <row r="2105" spans="1:15">
      <c r="A2105" s="1" t="s">
        <v>2206</v>
      </c>
      <c r="B2105" s="1" t="s">
        <v>42</v>
      </c>
      <c r="C2105" s="1">
        <v>1</v>
      </c>
      <c r="D2105" s="1">
        <v>47.1</v>
      </c>
      <c r="E2105" s="11">
        <v>47.1</v>
      </c>
      <c r="F2105" s="3">
        <v>45735</v>
      </c>
      <c r="G2105" s="3">
        <v>45737</v>
      </c>
      <c r="H2105" s="1" t="s">
        <v>27</v>
      </c>
      <c r="I2105" s="1" t="s">
        <v>18</v>
      </c>
      <c r="J2105" s="1">
        <v>4</v>
      </c>
      <c r="K2105" s="1" t="s">
        <v>19</v>
      </c>
      <c r="L2105" s="1" t="s">
        <v>28</v>
      </c>
      <c r="M2105" s="1">
        <f>orders[[#This Row],[Ship Date]]-orders[[#This Row],[Order Date]]</f>
        <v>2</v>
      </c>
      <c r="N2105" s="1">
        <f>WEEKNUM(orders[[#This Row],[Order Date]])</f>
        <v>12</v>
      </c>
      <c r="O2105" s="1" t="str" cm="1">
        <f t="array" ref="O2105">_xlfn.IFS(orders[[#This Row],[Customer Gender]]="M","Male", orders[[#This Row],[Customer Gender]]="F","Female", orders[[#This Row],[Customer Gender]]="O","Other", TRUE,"Unknown")</f>
        <v>Female</v>
      </c>
    </row>
    <row r="2106" spans="1:15">
      <c r="A2106" s="1" t="s">
        <v>2207</v>
      </c>
      <c r="B2106" s="1" t="s">
        <v>37</v>
      </c>
      <c r="C2106" s="1">
        <v>10</v>
      </c>
      <c r="D2106" s="1">
        <v>83.2</v>
      </c>
      <c r="E2106" s="11">
        <v>832</v>
      </c>
      <c r="F2106" s="3">
        <v>45735</v>
      </c>
      <c r="G2106" s="3">
        <v>45739</v>
      </c>
      <c r="H2106" s="1" t="s">
        <v>27</v>
      </c>
      <c r="I2106" s="1" t="s">
        <v>18</v>
      </c>
      <c r="J2106" s="1">
        <v>4</v>
      </c>
      <c r="K2106" s="1" t="s">
        <v>19</v>
      </c>
      <c r="L2106" s="1" t="s">
        <v>331</v>
      </c>
      <c r="M2106" s="1">
        <f>orders[[#This Row],[Ship Date]]-orders[[#This Row],[Order Date]]</f>
        <v>4</v>
      </c>
      <c r="N2106" s="1">
        <f>WEEKNUM(orders[[#This Row],[Order Date]])</f>
        <v>12</v>
      </c>
      <c r="O2106" s="1" t="str" cm="1">
        <f t="array" ref="O2106">_xlfn.IFS(orders[[#This Row],[Customer Gender]]="M","Male", orders[[#This Row],[Customer Gender]]="F","Female", orders[[#This Row],[Customer Gender]]="O","Other", TRUE,"Unknown")</f>
        <v>Female</v>
      </c>
    </row>
    <row r="2107" spans="1:15">
      <c r="A2107" s="1" t="s">
        <v>2208</v>
      </c>
      <c r="B2107" s="1" t="s">
        <v>26</v>
      </c>
      <c r="C2107" s="1">
        <v>3</v>
      </c>
      <c r="D2107" s="1">
        <v>157</v>
      </c>
      <c r="E2107" s="11">
        <v>471</v>
      </c>
      <c r="F2107" s="3">
        <v>45735</v>
      </c>
      <c r="G2107" s="3">
        <v>45737</v>
      </c>
      <c r="H2107" s="1" t="s">
        <v>27</v>
      </c>
      <c r="I2107" s="1" t="s">
        <v>18</v>
      </c>
      <c r="J2107" s="1">
        <v>5</v>
      </c>
      <c r="K2107" s="1" t="s">
        <v>19</v>
      </c>
      <c r="L2107" s="1" t="s">
        <v>147</v>
      </c>
      <c r="M2107" s="1">
        <f>orders[[#This Row],[Ship Date]]-orders[[#This Row],[Order Date]]</f>
        <v>2</v>
      </c>
      <c r="N2107" s="1">
        <f>WEEKNUM(orders[[#This Row],[Order Date]])</f>
        <v>12</v>
      </c>
      <c r="O2107" s="1" t="str" cm="1">
        <f t="array" ref="O2107">_xlfn.IFS(orders[[#This Row],[Customer Gender]]="M","Male", orders[[#This Row],[Customer Gender]]="F","Female", orders[[#This Row],[Customer Gender]]="O","Other", TRUE,"Unknown")</f>
        <v>Female</v>
      </c>
    </row>
    <row r="2108" spans="1:15">
      <c r="A2108" s="1" t="s">
        <v>2209</v>
      </c>
      <c r="B2108" s="1" t="s">
        <v>128</v>
      </c>
      <c r="C2108" s="1">
        <v>4</v>
      </c>
      <c r="D2108" s="1">
        <v>33.700000000000003</v>
      </c>
      <c r="E2108" s="11">
        <v>134.80000000000001</v>
      </c>
      <c r="F2108" s="3">
        <v>45735</v>
      </c>
      <c r="G2108" s="3">
        <v>45736</v>
      </c>
      <c r="H2108" s="1" t="s">
        <v>23</v>
      </c>
      <c r="I2108" s="1" t="s">
        <v>40</v>
      </c>
      <c r="J2108" s="1">
        <v>5</v>
      </c>
      <c r="K2108" s="1" t="s">
        <v>19</v>
      </c>
      <c r="L2108" s="1" t="s">
        <v>147</v>
      </c>
      <c r="M2108" s="1">
        <f>orders[[#This Row],[Ship Date]]-orders[[#This Row],[Order Date]]</f>
        <v>1</v>
      </c>
      <c r="N2108" s="1">
        <f>WEEKNUM(orders[[#This Row],[Order Date]])</f>
        <v>12</v>
      </c>
      <c r="O2108" s="1" t="str" cm="1">
        <f t="array" ref="O2108">_xlfn.IFS(orders[[#This Row],[Customer Gender]]="M","Male", orders[[#This Row],[Customer Gender]]="F","Female", orders[[#This Row],[Customer Gender]]="O","Other", TRUE,"Unknown")</f>
        <v>Male</v>
      </c>
    </row>
    <row r="2109" spans="1:15">
      <c r="A2109" s="1" t="s">
        <v>2210</v>
      </c>
      <c r="B2109" s="1" t="s">
        <v>26</v>
      </c>
      <c r="C2109" s="1">
        <v>3</v>
      </c>
      <c r="D2109" s="1">
        <v>60.8</v>
      </c>
      <c r="E2109" s="11">
        <v>182.39999999999998</v>
      </c>
      <c r="F2109" s="3">
        <v>45735</v>
      </c>
      <c r="G2109" s="3">
        <v>45739</v>
      </c>
      <c r="H2109" s="1" t="s">
        <v>27</v>
      </c>
      <c r="I2109" s="1" t="s">
        <v>35</v>
      </c>
      <c r="J2109" s="1">
        <v>3</v>
      </c>
      <c r="K2109" s="1" t="s">
        <v>19</v>
      </c>
      <c r="L2109" s="1" t="s">
        <v>33</v>
      </c>
      <c r="M2109" s="1">
        <f>orders[[#This Row],[Ship Date]]-orders[[#This Row],[Order Date]]</f>
        <v>4</v>
      </c>
      <c r="N2109" s="1">
        <f>WEEKNUM(orders[[#This Row],[Order Date]])</f>
        <v>12</v>
      </c>
      <c r="O2109" s="1" t="str" cm="1">
        <f t="array" ref="O2109">_xlfn.IFS(orders[[#This Row],[Customer Gender]]="M","Male", orders[[#This Row],[Customer Gender]]="F","Female", orders[[#This Row],[Customer Gender]]="O","Other", TRUE,"Unknown")</f>
        <v>Female</v>
      </c>
    </row>
    <row r="2110" spans="1:15">
      <c r="A2110" s="1" t="s">
        <v>2211</v>
      </c>
      <c r="B2110" s="1" t="s">
        <v>42</v>
      </c>
      <c r="C2110" s="1">
        <v>1</v>
      </c>
      <c r="D2110" s="1">
        <v>57.6</v>
      </c>
      <c r="E2110" s="11">
        <v>57.6</v>
      </c>
      <c r="F2110" s="3">
        <v>45735</v>
      </c>
      <c r="G2110" s="3">
        <v>45736</v>
      </c>
      <c r="H2110" s="1" t="s">
        <v>23</v>
      </c>
      <c r="I2110" s="1" t="s">
        <v>35</v>
      </c>
      <c r="J2110" s="1">
        <v>2</v>
      </c>
      <c r="K2110" s="1" t="s">
        <v>19</v>
      </c>
      <c r="L2110" s="1" t="s">
        <v>33</v>
      </c>
      <c r="M2110" s="1">
        <f>orders[[#This Row],[Ship Date]]-orders[[#This Row],[Order Date]]</f>
        <v>1</v>
      </c>
      <c r="N2110" s="1">
        <f>WEEKNUM(orders[[#This Row],[Order Date]])</f>
        <v>12</v>
      </c>
      <c r="O2110" s="1" t="str" cm="1">
        <f t="array" ref="O2110">_xlfn.IFS(orders[[#This Row],[Customer Gender]]="M","Male", orders[[#This Row],[Customer Gender]]="F","Female", orders[[#This Row],[Customer Gender]]="O","Other", TRUE,"Unknown")</f>
        <v>Male</v>
      </c>
    </row>
    <row r="2111" spans="1:15">
      <c r="A2111" s="1" t="s">
        <v>2212</v>
      </c>
      <c r="B2111" s="1" t="s">
        <v>54</v>
      </c>
      <c r="C2111" s="1">
        <v>1</v>
      </c>
      <c r="D2111" s="1">
        <v>32</v>
      </c>
      <c r="E2111" s="11">
        <v>32</v>
      </c>
      <c r="F2111" s="3">
        <v>45735</v>
      </c>
      <c r="G2111" s="3">
        <v>45737</v>
      </c>
      <c r="H2111" s="1" t="s">
        <v>23</v>
      </c>
      <c r="I2111" s="1" t="s">
        <v>18</v>
      </c>
      <c r="J2111" s="1">
        <v>4</v>
      </c>
      <c r="K2111" s="1" t="s">
        <v>19</v>
      </c>
      <c r="L2111" s="1" t="s">
        <v>33</v>
      </c>
      <c r="M2111" s="1">
        <f>orders[[#This Row],[Ship Date]]-orders[[#This Row],[Order Date]]</f>
        <v>2</v>
      </c>
      <c r="N2111" s="1">
        <f>WEEKNUM(orders[[#This Row],[Order Date]])</f>
        <v>12</v>
      </c>
      <c r="O2111" s="1" t="str" cm="1">
        <f t="array" ref="O2111">_xlfn.IFS(orders[[#This Row],[Customer Gender]]="M","Male", orders[[#This Row],[Customer Gender]]="F","Female", orders[[#This Row],[Customer Gender]]="O","Other", TRUE,"Unknown")</f>
        <v>Male</v>
      </c>
    </row>
    <row r="2112" spans="1:15">
      <c r="A2112" s="1" t="s">
        <v>2213</v>
      </c>
      <c r="B2112" s="1" t="s">
        <v>54</v>
      </c>
      <c r="C2112" s="1">
        <v>4</v>
      </c>
      <c r="D2112" s="1">
        <v>23.5</v>
      </c>
      <c r="E2112" s="11">
        <v>94</v>
      </c>
      <c r="F2112" s="3">
        <v>45735</v>
      </c>
      <c r="G2112" s="3">
        <v>45736</v>
      </c>
      <c r="H2112" s="1" t="s">
        <v>27</v>
      </c>
      <c r="I2112" s="1" t="s">
        <v>18</v>
      </c>
      <c r="J2112" s="1">
        <v>5</v>
      </c>
      <c r="K2112" s="1" t="s">
        <v>19</v>
      </c>
      <c r="L2112" s="1" t="s">
        <v>33</v>
      </c>
      <c r="M2112" s="1">
        <f>orders[[#This Row],[Ship Date]]-orders[[#This Row],[Order Date]]</f>
        <v>1</v>
      </c>
      <c r="N2112" s="1">
        <f>WEEKNUM(orders[[#This Row],[Order Date]])</f>
        <v>12</v>
      </c>
      <c r="O2112" s="1" t="str" cm="1">
        <f t="array" ref="O2112">_xlfn.IFS(orders[[#This Row],[Customer Gender]]="M","Male", orders[[#This Row],[Customer Gender]]="F","Female", orders[[#This Row],[Customer Gender]]="O","Other", TRUE,"Unknown")</f>
        <v>Female</v>
      </c>
    </row>
    <row r="2113" spans="1:15">
      <c r="A2113" s="1" t="s">
        <v>2214</v>
      </c>
      <c r="B2113" s="1" t="s">
        <v>69</v>
      </c>
      <c r="C2113" s="1">
        <v>3</v>
      </c>
      <c r="D2113" s="1">
        <v>44.8</v>
      </c>
      <c r="E2113" s="11">
        <v>134.39999999999998</v>
      </c>
      <c r="F2113" s="3">
        <v>45735</v>
      </c>
      <c r="G2113" s="3">
        <v>45736</v>
      </c>
      <c r="H2113" s="1" t="s">
        <v>89</v>
      </c>
      <c r="I2113" s="1" t="s">
        <v>70</v>
      </c>
      <c r="J2113" s="1">
        <v>4</v>
      </c>
      <c r="K2113" s="1" t="s">
        <v>19</v>
      </c>
      <c r="L2113" s="1" t="s">
        <v>33</v>
      </c>
      <c r="M2113" s="1">
        <f>orders[[#This Row],[Ship Date]]-orders[[#This Row],[Order Date]]</f>
        <v>1</v>
      </c>
      <c r="N2113" s="1">
        <f>WEEKNUM(orders[[#This Row],[Order Date]])</f>
        <v>12</v>
      </c>
      <c r="O2113" s="1" t="str" cm="1">
        <f t="array" ref="O2113">_xlfn.IFS(orders[[#This Row],[Customer Gender]]="M","Male", orders[[#This Row],[Customer Gender]]="F","Female", orders[[#This Row],[Customer Gender]]="O","Other", TRUE,"Unknown")</f>
        <v>Other</v>
      </c>
    </row>
    <row r="2114" spans="1:15">
      <c r="A2114" s="1" t="s">
        <v>2215</v>
      </c>
      <c r="B2114" s="1" t="s">
        <v>16</v>
      </c>
      <c r="C2114" s="1">
        <v>8</v>
      </c>
      <c r="D2114" s="1">
        <v>11.7</v>
      </c>
      <c r="E2114" s="11">
        <v>93.6</v>
      </c>
      <c r="F2114" s="3">
        <v>45735</v>
      </c>
      <c r="G2114" s="3">
        <v>45736</v>
      </c>
      <c r="H2114" s="1" t="s">
        <v>23</v>
      </c>
      <c r="I2114" s="1" t="s">
        <v>40</v>
      </c>
      <c r="J2114" s="1">
        <v>5</v>
      </c>
      <c r="K2114" s="1" t="s">
        <v>19</v>
      </c>
      <c r="L2114" s="1" t="s">
        <v>33</v>
      </c>
      <c r="M2114" s="1">
        <f>orders[[#This Row],[Ship Date]]-orders[[#This Row],[Order Date]]</f>
        <v>1</v>
      </c>
      <c r="N2114" s="1">
        <f>WEEKNUM(orders[[#This Row],[Order Date]])</f>
        <v>12</v>
      </c>
      <c r="O2114" s="1" t="str" cm="1">
        <f t="array" ref="O2114">_xlfn.IFS(orders[[#This Row],[Customer Gender]]="M","Male", orders[[#This Row],[Customer Gender]]="F","Female", orders[[#This Row],[Customer Gender]]="O","Other", TRUE,"Unknown")</f>
        <v>Male</v>
      </c>
    </row>
    <row r="2115" spans="1:15">
      <c r="A2115" s="1" t="s">
        <v>2216</v>
      </c>
      <c r="B2115" s="1" t="s">
        <v>42</v>
      </c>
      <c r="C2115" s="1">
        <v>2</v>
      </c>
      <c r="D2115" s="1">
        <v>38.799999999999997</v>
      </c>
      <c r="E2115" s="11">
        <v>77.599999999999994</v>
      </c>
      <c r="F2115" s="3">
        <v>45735</v>
      </c>
      <c r="G2115" s="3">
        <v>45738</v>
      </c>
      <c r="H2115" s="1" t="s">
        <v>27</v>
      </c>
      <c r="I2115" s="1" t="s">
        <v>40</v>
      </c>
      <c r="J2115" s="1">
        <v>4</v>
      </c>
      <c r="K2115" s="1" t="s">
        <v>19</v>
      </c>
      <c r="L2115" s="1" t="s">
        <v>33</v>
      </c>
      <c r="M2115" s="1">
        <f>orders[[#This Row],[Ship Date]]-orders[[#This Row],[Order Date]]</f>
        <v>3</v>
      </c>
      <c r="N2115" s="1">
        <f>WEEKNUM(orders[[#This Row],[Order Date]])</f>
        <v>12</v>
      </c>
      <c r="O2115" s="1" t="str" cm="1">
        <f t="array" ref="O2115">_xlfn.IFS(orders[[#This Row],[Customer Gender]]="M","Male", orders[[#This Row],[Customer Gender]]="F","Female", orders[[#This Row],[Customer Gender]]="O","Other", TRUE,"Unknown")</f>
        <v>Female</v>
      </c>
    </row>
    <row r="2116" spans="1:15">
      <c r="A2116" s="1" t="s">
        <v>2217</v>
      </c>
      <c r="B2116" s="1" t="s">
        <v>37</v>
      </c>
      <c r="C2116" s="1">
        <v>14</v>
      </c>
      <c r="D2116" s="1">
        <v>86.9</v>
      </c>
      <c r="E2116" s="11">
        <v>1216.6000000000001</v>
      </c>
      <c r="F2116" s="3">
        <v>45735</v>
      </c>
      <c r="G2116" s="3">
        <v>45740</v>
      </c>
      <c r="H2116" s="1" t="s">
        <v>27</v>
      </c>
      <c r="I2116" s="1" t="s">
        <v>35</v>
      </c>
      <c r="J2116" s="1">
        <v>4</v>
      </c>
      <c r="K2116" s="1" t="s">
        <v>19</v>
      </c>
      <c r="L2116" s="1" t="s">
        <v>33</v>
      </c>
      <c r="M2116" s="1">
        <f>orders[[#This Row],[Ship Date]]-orders[[#This Row],[Order Date]]</f>
        <v>5</v>
      </c>
      <c r="N2116" s="1">
        <f>WEEKNUM(orders[[#This Row],[Order Date]])</f>
        <v>12</v>
      </c>
      <c r="O2116" s="1" t="str" cm="1">
        <f t="array" ref="O2116">_xlfn.IFS(orders[[#This Row],[Customer Gender]]="M","Male", orders[[#This Row],[Customer Gender]]="F","Female", orders[[#This Row],[Customer Gender]]="O","Other", TRUE,"Unknown")</f>
        <v>Female</v>
      </c>
    </row>
    <row r="2117" spans="1:15">
      <c r="A2117" s="1" t="s">
        <v>2218</v>
      </c>
      <c r="B2117" s="1" t="s">
        <v>44</v>
      </c>
      <c r="C2117" s="1">
        <v>1</v>
      </c>
      <c r="D2117" s="1">
        <v>18.3</v>
      </c>
      <c r="E2117" s="11">
        <v>18.3</v>
      </c>
      <c r="F2117" s="3">
        <v>45735</v>
      </c>
      <c r="G2117" s="3">
        <v>45736</v>
      </c>
      <c r="H2117" s="1" t="s">
        <v>27</v>
      </c>
      <c r="I2117" s="1" t="s">
        <v>18</v>
      </c>
      <c r="J2117" s="1">
        <v>4</v>
      </c>
      <c r="K2117" s="1" t="s">
        <v>19</v>
      </c>
      <c r="L2117" s="1" t="s">
        <v>33</v>
      </c>
      <c r="M2117" s="1">
        <f>orders[[#This Row],[Ship Date]]-orders[[#This Row],[Order Date]]</f>
        <v>1</v>
      </c>
      <c r="N2117" s="1">
        <f>WEEKNUM(orders[[#This Row],[Order Date]])</f>
        <v>12</v>
      </c>
      <c r="O2117" s="1" t="str" cm="1">
        <f t="array" ref="O2117">_xlfn.IFS(orders[[#This Row],[Customer Gender]]="M","Male", orders[[#This Row],[Customer Gender]]="F","Female", orders[[#This Row],[Customer Gender]]="O","Other", TRUE,"Unknown")</f>
        <v>Female</v>
      </c>
    </row>
    <row r="2118" spans="1:15">
      <c r="A2118" s="1" t="s">
        <v>2219</v>
      </c>
      <c r="B2118" s="1" t="s">
        <v>37</v>
      </c>
      <c r="C2118" s="1">
        <v>1</v>
      </c>
      <c r="D2118" s="1">
        <v>47.5</v>
      </c>
      <c r="E2118" s="11">
        <v>47.5</v>
      </c>
      <c r="F2118" s="3">
        <v>45735</v>
      </c>
      <c r="G2118" s="3">
        <v>45739</v>
      </c>
      <c r="H2118" s="1" t="s">
        <v>23</v>
      </c>
      <c r="I2118" s="1" t="s">
        <v>70</v>
      </c>
      <c r="J2118" s="1">
        <v>5</v>
      </c>
      <c r="K2118" s="1" t="s">
        <v>19</v>
      </c>
      <c r="L2118" s="1" t="s">
        <v>33</v>
      </c>
      <c r="M2118" s="1">
        <f>orders[[#This Row],[Ship Date]]-orders[[#This Row],[Order Date]]</f>
        <v>4</v>
      </c>
      <c r="N2118" s="1">
        <f>WEEKNUM(orders[[#This Row],[Order Date]])</f>
        <v>12</v>
      </c>
      <c r="O2118" s="1" t="str" cm="1">
        <f t="array" ref="O2118">_xlfn.IFS(orders[[#This Row],[Customer Gender]]="M","Male", orders[[#This Row],[Customer Gender]]="F","Female", orders[[#This Row],[Customer Gender]]="O","Other", TRUE,"Unknown")</f>
        <v>Male</v>
      </c>
    </row>
    <row r="2119" spans="1:15">
      <c r="A2119" s="1" t="s">
        <v>2220</v>
      </c>
      <c r="B2119" s="1" t="s">
        <v>22</v>
      </c>
      <c r="C2119" s="1">
        <v>2</v>
      </c>
      <c r="D2119" s="1">
        <v>78.599999999999994</v>
      </c>
      <c r="E2119" s="11">
        <v>157.19999999999999</v>
      </c>
      <c r="F2119" s="3">
        <v>45735</v>
      </c>
      <c r="G2119" s="3">
        <v>45736</v>
      </c>
      <c r="H2119" s="1" t="s">
        <v>23</v>
      </c>
      <c r="I2119" s="1" t="s">
        <v>40</v>
      </c>
      <c r="J2119" s="1">
        <v>5</v>
      </c>
      <c r="K2119" s="1" t="s">
        <v>19</v>
      </c>
      <c r="L2119" s="1" t="s">
        <v>33</v>
      </c>
      <c r="M2119" s="1">
        <f>orders[[#This Row],[Ship Date]]-orders[[#This Row],[Order Date]]</f>
        <v>1</v>
      </c>
      <c r="N2119" s="1">
        <f>WEEKNUM(orders[[#This Row],[Order Date]])</f>
        <v>12</v>
      </c>
      <c r="O2119" s="1" t="str" cm="1">
        <f t="array" ref="O2119">_xlfn.IFS(orders[[#This Row],[Customer Gender]]="M","Male", orders[[#This Row],[Customer Gender]]="F","Female", orders[[#This Row],[Customer Gender]]="O","Other", TRUE,"Unknown")</f>
        <v>Male</v>
      </c>
    </row>
    <row r="2120" spans="1:15">
      <c r="A2120" s="1" t="s">
        <v>2221</v>
      </c>
      <c r="B2120" s="1" t="s">
        <v>39</v>
      </c>
      <c r="C2120" s="1">
        <v>4</v>
      </c>
      <c r="D2120" s="1">
        <v>87.3</v>
      </c>
      <c r="E2120" s="11">
        <v>349.2</v>
      </c>
      <c r="F2120" s="3">
        <v>45735</v>
      </c>
      <c r="G2120" s="3">
        <v>45736</v>
      </c>
      <c r="H2120" s="1" t="s">
        <v>23</v>
      </c>
      <c r="I2120" s="1" t="s">
        <v>18</v>
      </c>
      <c r="J2120" s="1">
        <v>4</v>
      </c>
      <c r="K2120" s="1" t="s">
        <v>19</v>
      </c>
      <c r="L2120" s="1" t="s">
        <v>33</v>
      </c>
      <c r="M2120" s="1">
        <f>orders[[#This Row],[Ship Date]]-orders[[#This Row],[Order Date]]</f>
        <v>1</v>
      </c>
      <c r="N2120" s="1">
        <f>WEEKNUM(orders[[#This Row],[Order Date]])</f>
        <v>12</v>
      </c>
      <c r="O2120" s="1" t="str" cm="1">
        <f t="array" ref="O2120">_xlfn.IFS(orders[[#This Row],[Customer Gender]]="M","Male", orders[[#This Row],[Customer Gender]]="F","Female", orders[[#This Row],[Customer Gender]]="O","Other", TRUE,"Unknown")</f>
        <v>Male</v>
      </c>
    </row>
    <row r="2121" spans="1:15">
      <c r="A2121" s="1" t="s">
        <v>2222</v>
      </c>
      <c r="B2121" s="1" t="s">
        <v>46</v>
      </c>
      <c r="C2121" s="1">
        <v>2</v>
      </c>
      <c r="D2121" s="1">
        <v>63.2</v>
      </c>
      <c r="E2121" s="11">
        <v>126.4</v>
      </c>
      <c r="F2121" s="3">
        <v>45735</v>
      </c>
      <c r="G2121" s="3">
        <v>45735</v>
      </c>
      <c r="H2121" s="1" t="s">
        <v>23</v>
      </c>
      <c r="I2121" s="1" t="s">
        <v>70</v>
      </c>
      <c r="J2121" s="1">
        <v>3</v>
      </c>
      <c r="K2121" s="1" t="s">
        <v>19</v>
      </c>
      <c r="L2121" s="1" t="s">
        <v>33</v>
      </c>
      <c r="M2121" s="1">
        <f>orders[[#This Row],[Ship Date]]-orders[[#This Row],[Order Date]]</f>
        <v>0</v>
      </c>
      <c r="N2121" s="1">
        <f>WEEKNUM(orders[[#This Row],[Order Date]])</f>
        <v>12</v>
      </c>
      <c r="O2121" s="1" t="str" cm="1">
        <f t="array" ref="O2121">_xlfn.IFS(orders[[#This Row],[Customer Gender]]="M","Male", orders[[#This Row],[Customer Gender]]="F","Female", orders[[#This Row],[Customer Gender]]="O","Other", TRUE,"Unknown")</f>
        <v>Male</v>
      </c>
    </row>
    <row r="2122" spans="1:15">
      <c r="A2122" s="1" t="s">
        <v>2223</v>
      </c>
      <c r="B2122" s="1" t="s">
        <v>37</v>
      </c>
      <c r="C2122" s="1">
        <v>5</v>
      </c>
      <c r="D2122" s="1">
        <v>33.700000000000003</v>
      </c>
      <c r="E2122" s="11">
        <v>168.5</v>
      </c>
      <c r="F2122" s="3">
        <v>45735</v>
      </c>
      <c r="G2122" s="3">
        <v>45736</v>
      </c>
      <c r="H2122" s="1" t="s">
        <v>27</v>
      </c>
      <c r="I2122" s="1" t="s">
        <v>18</v>
      </c>
      <c r="J2122" s="1">
        <v>4</v>
      </c>
      <c r="K2122" s="1" t="s">
        <v>19</v>
      </c>
      <c r="L2122" s="1" t="s">
        <v>33</v>
      </c>
      <c r="M2122" s="1">
        <f>orders[[#This Row],[Ship Date]]-orders[[#This Row],[Order Date]]</f>
        <v>1</v>
      </c>
      <c r="N2122" s="1">
        <f>WEEKNUM(orders[[#This Row],[Order Date]])</f>
        <v>12</v>
      </c>
      <c r="O2122" s="1" t="str" cm="1">
        <f t="array" ref="O2122">_xlfn.IFS(orders[[#This Row],[Customer Gender]]="M","Male", orders[[#This Row],[Customer Gender]]="F","Female", orders[[#This Row],[Customer Gender]]="O","Other", TRUE,"Unknown")</f>
        <v>Female</v>
      </c>
    </row>
    <row r="2123" spans="1:15">
      <c r="A2123" s="1" t="s">
        <v>2224</v>
      </c>
      <c r="B2123" s="1" t="s">
        <v>26</v>
      </c>
      <c r="C2123" s="1">
        <v>3</v>
      </c>
      <c r="D2123" s="1">
        <v>107.4</v>
      </c>
      <c r="E2123" s="11">
        <v>322.20000000000005</v>
      </c>
      <c r="F2123" s="3">
        <v>45735</v>
      </c>
      <c r="G2123" s="3">
        <v>45748</v>
      </c>
      <c r="H2123" s="1" t="s">
        <v>27</v>
      </c>
      <c r="I2123" s="1" t="s">
        <v>35</v>
      </c>
      <c r="J2123" s="1">
        <v>5</v>
      </c>
      <c r="K2123" s="1" t="s">
        <v>19</v>
      </c>
      <c r="L2123" s="1" t="s">
        <v>33</v>
      </c>
      <c r="M2123" s="1">
        <f>orders[[#This Row],[Ship Date]]-orders[[#This Row],[Order Date]]</f>
        <v>13</v>
      </c>
      <c r="N2123" s="1">
        <f>WEEKNUM(orders[[#This Row],[Order Date]])</f>
        <v>12</v>
      </c>
      <c r="O2123" s="1" t="str" cm="1">
        <f t="array" ref="O2123">_xlfn.IFS(orders[[#This Row],[Customer Gender]]="M","Male", orders[[#This Row],[Customer Gender]]="F","Female", orders[[#This Row],[Customer Gender]]="O","Other", TRUE,"Unknown")</f>
        <v>Female</v>
      </c>
    </row>
    <row r="2124" spans="1:15">
      <c r="A2124" s="1" t="s">
        <v>2225</v>
      </c>
      <c r="B2124" s="1" t="s">
        <v>32</v>
      </c>
      <c r="C2124" s="1">
        <v>4</v>
      </c>
      <c r="D2124" s="1">
        <v>22.2</v>
      </c>
      <c r="E2124" s="11">
        <v>88.8</v>
      </c>
      <c r="F2124" s="3">
        <v>45735</v>
      </c>
      <c r="G2124" s="3">
        <v>45736</v>
      </c>
      <c r="H2124" s="1" t="s">
        <v>17</v>
      </c>
      <c r="I2124" s="1" t="s">
        <v>35</v>
      </c>
      <c r="J2124" s="1">
        <v>5</v>
      </c>
      <c r="K2124" s="1" t="s">
        <v>19</v>
      </c>
      <c r="L2124" s="1" t="s">
        <v>186</v>
      </c>
      <c r="M2124" s="1">
        <f>orders[[#This Row],[Ship Date]]-orders[[#This Row],[Order Date]]</f>
        <v>1</v>
      </c>
      <c r="N2124" s="1">
        <f>WEEKNUM(orders[[#This Row],[Order Date]])</f>
        <v>12</v>
      </c>
      <c r="O2124" s="1" t="str" cm="1">
        <f t="array" ref="O2124">_xlfn.IFS(orders[[#This Row],[Customer Gender]]="M","Male", orders[[#This Row],[Customer Gender]]="F","Female", orders[[#This Row],[Customer Gender]]="O","Other", TRUE,"Unknown")</f>
        <v>Unknown</v>
      </c>
    </row>
    <row r="2125" spans="1:15">
      <c r="A2125" s="1" t="s">
        <v>2226</v>
      </c>
      <c r="B2125" s="1" t="s">
        <v>146</v>
      </c>
      <c r="C2125" s="1">
        <v>3</v>
      </c>
      <c r="D2125" s="1">
        <v>52.8</v>
      </c>
      <c r="E2125" s="11">
        <v>158.39999999999998</v>
      </c>
      <c r="F2125" s="3">
        <v>45735</v>
      </c>
      <c r="G2125" s="3">
        <v>45736</v>
      </c>
      <c r="H2125" s="1" t="s">
        <v>23</v>
      </c>
      <c r="I2125" s="1" t="s">
        <v>51</v>
      </c>
      <c r="J2125" s="1">
        <v>5</v>
      </c>
      <c r="K2125" s="1" t="s">
        <v>19</v>
      </c>
      <c r="L2125" s="1" t="s">
        <v>186</v>
      </c>
      <c r="M2125" s="1">
        <f>orders[[#This Row],[Ship Date]]-orders[[#This Row],[Order Date]]</f>
        <v>1</v>
      </c>
      <c r="N2125" s="1">
        <f>WEEKNUM(orders[[#This Row],[Order Date]])</f>
        <v>12</v>
      </c>
      <c r="O2125" s="1" t="str" cm="1">
        <f t="array" ref="O2125">_xlfn.IFS(orders[[#This Row],[Customer Gender]]="M","Male", orders[[#This Row],[Customer Gender]]="F","Female", orders[[#This Row],[Customer Gender]]="O","Other", TRUE,"Unknown")</f>
        <v>Male</v>
      </c>
    </row>
    <row r="2126" spans="1:15">
      <c r="A2126" s="1" t="s">
        <v>2227</v>
      </c>
      <c r="B2126" s="1" t="s">
        <v>44</v>
      </c>
      <c r="C2126" s="1">
        <v>3</v>
      </c>
      <c r="D2126" s="1">
        <v>41.5</v>
      </c>
      <c r="E2126" s="11">
        <v>124.5</v>
      </c>
      <c r="F2126" s="3">
        <v>45735</v>
      </c>
      <c r="G2126" s="3">
        <v>45738</v>
      </c>
      <c r="H2126" s="1" t="s">
        <v>27</v>
      </c>
      <c r="I2126" s="1" t="s">
        <v>18</v>
      </c>
      <c r="J2126" s="1">
        <v>4</v>
      </c>
      <c r="K2126" s="1" t="s">
        <v>19</v>
      </c>
      <c r="L2126" s="1" t="s">
        <v>188</v>
      </c>
      <c r="M2126" s="1">
        <f>orders[[#This Row],[Ship Date]]-orders[[#This Row],[Order Date]]</f>
        <v>3</v>
      </c>
      <c r="N2126" s="1">
        <f>WEEKNUM(orders[[#This Row],[Order Date]])</f>
        <v>12</v>
      </c>
      <c r="O2126" s="1" t="str" cm="1">
        <f t="array" ref="O2126">_xlfn.IFS(orders[[#This Row],[Customer Gender]]="M","Male", orders[[#This Row],[Customer Gender]]="F","Female", orders[[#This Row],[Customer Gender]]="O","Other", TRUE,"Unknown")</f>
        <v>Female</v>
      </c>
    </row>
    <row r="2127" spans="1:15">
      <c r="A2127" s="1" t="s">
        <v>2228</v>
      </c>
      <c r="B2127" s="1" t="s">
        <v>69</v>
      </c>
      <c r="C2127" s="1">
        <v>8</v>
      </c>
      <c r="D2127" s="1">
        <v>103.5</v>
      </c>
      <c r="E2127" s="11">
        <v>828</v>
      </c>
      <c r="F2127" s="3">
        <v>45735</v>
      </c>
      <c r="G2127" s="3">
        <v>45738</v>
      </c>
      <c r="H2127" s="1" t="s">
        <v>27</v>
      </c>
      <c r="I2127" s="1" t="s">
        <v>18</v>
      </c>
      <c r="J2127" s="1">
        <v>5</v>
      </c>
      <c r="K2127" s="1" t="s">
        <v>19</v>
      </c>
      <c r="L2127" s="1" t="s">
        <v>158</v>
      </c>
      <c r="M2127" s="1">
        <f>orders[[#This Row],[Ship Date]]-orders[[#This Row],[Order Date]]</f>
        <v>3</v>
      </c>
      <c r="N2127" s="1">
        <f>WEEKNUM(orders[[#This Row],[Order Date]])</f>
        <v>12</v>
      </c>
      <c r="O2127" s="1" t="str" cm="1">
        <f t="array" ref="O2127">_xlfn.IFS(orders[[#This Row],[Customer Gender]]="M","Male", orders[[#This Row],[Customer Gender]]="F","Female", orders[[#This Row],[Customer Gender]]="O","Other", TRUE,"Unknown")</f>
        <v>Female</v>
      </c>
    </row>
    <row r="2128" spans="1:15">
      <c r="A2128" s="1" t="s">
        <v>2229</v>
      </c>
      <c r="B2128" s="1" t="s">
        <v>32</v>
      </c>
      <c r="C2128" s="1">
        <v>14</v>
      </c>
      <c r="D2128" s="1">
        <v>37.5</v>
      </c>
      <c r="E2128" s="11">
        <v>525</v>
      </c>
      <c r="F2128" s="3">
        <v>45735</v>
      </c>
      <c r="G2128" s="3">
        <v>45735</v>
      </c>
      <c r="H2128" s="1" t="s">
        <v>27</v>
      </c>
      <c r="I2128" s="1" t="s">
        <v>35</v>
      </c>
      <c r="J2128" s="1">
        <v>5</v>
      </c>
      <c r="K2128" s="1" t="s">
        <v>19</v>
      </c>
      <c r="L2128" s="1" t="s">
        <v>55</v>
      </c>
      <c r="M2128" s="1">
        <f>orders[[#This Row],[Ship Date]]-orders[[#This Row],[Order Date]]</f>
        <v>0</v>
      </c>
      <c r="N2128" s="1">
        <f>WEEKNUM(orders[[#This Row],[Order Date]])</f>
        <v>12</v>
      </c>
      <c r="O2128" s="1" t="str" cm="1">
        <f t="array" ref="O2128">_xlfn.IFS(orders[[#This Row],[Customer Gender]]="M","Male", orders[[#This Row],[Customer Gender]]="F","Female", orders[[#This Row],[Customer Gender]]="O","Other", TRUE,"Unknown")</f>
        <v>Female</v>
      </c>
    </row>
    <row r="2129" spans="1:15">
      <c r="A2129" s="1" t="s">
        <v>2230</v>
      </c>
      <c r="B2129" s="1" t="s">
        <v>123</v>
      </c>
      <c r="C2129" s="1">
        <v>8</v>
      </c>
      <c r="D2129" s="1">
        <v>44.4</v>
      </c>
      <c r="E2129" s="11">
        <v>355.2</v>
      </c>
      <c r="F2129" s="3">
        <v>45735</v>
      </c>
      <c r="G2129" s="3">
        <v>45741</v>
      </c>
      <c r="H2129" s="1" t="s">
        <v>27</v>
      </c>
      <c r="I2129" s="1" t="s">
        <v>51</v>
      </c>
      <c r="J2129" s="1">
        <v>5</v>
      </c>
      <c r="K2129" s="1" t="s">
        <v>19</v>
      </c>
      <c r="L2129" s="1" t="s">
        <v>59</v>
      </c>
      <c r="M2129" s="1">
        <f>orders[[#This Row],[Ship Date]]-orders[[#This Row],[Order Date]]</f>
        <v>6</v>
      </c>
      <c r="N2129" s="1">
        <f>WEEKNUM(orders[[#This Row],[Order Date]])</f>
        <v>12</v>
      </c>
      <c r="O2129" s="1" t="str" cm="1">
        <f t="array" ref="O2129">_xlfn.IFS(orders[[#This Row],[Customer Gender]]="M","Male", orders[[#This Row],[Customer Gender]]="F","Female", orders[[#This Row],[Customer Gender]]="O","Other", TRUE,"Unknown")</f>
        <v>Female</v>
      </c>
    </row>
    <row r="2130" spans="1:15">
      <c r="A2130" s="1" t="s">
        <v>2231</v>
      </c>
      <c r="B2130" s="1" t="s">
        <v>44</v>
      </c>
      <c r="C2130" s="1">
        <v>3</v>
      </c>
      <c r="D2130" s="1">
        <v>26.2</v>
      </c>
      <c r="E2130" s="11">
        <v>78.599999999999994</v>
      </c>
      <c r="F2130" s="3">
        <v>45735</v>
      </c>
      <c r="G2130" s="3">
        <v>45736</v>
      </c>
      <c r="H2130" s="1" t="s">
        <v>23</v>
      </c>
      <c r="I2130" s="1" t="s">
        <v>18</v>
      </c>
      <c r="J2130" s="1">
        <v>4</v>
      </c>
      <c r="K2130" s="1" t="s">
        <v>19</v>
      </c>
      <c r="L2130" s="1" t="s">
        <v>62</v>
      </c>
      <c r="M2130" s="1">
        <f>orders[[#This Row],[Ship Date]]-orders[[#This Row],[Order Date]]</f>
        <v>1</v>
      </c>
      <c r="N2130" s="1">
        <f>WEEKNUM(orders[[#This Row],[Order Date]])</f>
        <v>12</v>
      </c>
      <c r="O2130" s="1" t="str" cm="1">
        <f t="array" ref="O2130">_xlfn.IFS(orders[[#This Row],[Customer Gender]]="M","Male", orders[[#This Row],[Customer Gender]]="F","Female", orders[[#This Row],[Customer Gender]]="O","Other", TRUE,"Unknown")</f>
        <v>Male</v>
      </c>
    </row>
    <row r="2131" spans="1:15">
      <c r="A2131" s="1" t="s">
        <v>2232</v>
      </c>
      <c r="B2131" s="1" t="s">
        <v>22</v>
      </c>
      <c r="C2131" s="1">
        <v>7</v>
      </c>
      <c r="D2131" s="1">
        <v>32.200000000000003</v>
      </c>
      <c r="E2131" s="11">
        <v>225.40000000000003</v>
      </c>
      <c r="F2131" s="3">
        <v>45735</v>
      </c>
      <c r="G2131" s="3">
        <v>45736</v>
      </c>
      <c r="H2131" s="1" t="s">
        <v>27</v>
      </c>
      <c r="I2131" s="1" t="s">
        <v>35</v>
      </c>
      <c r="J2131" s="1">
        <v>5</v>
      </c>
      <c r="K2131" s="1" t="s">
        <v>19</v>
      </c>
      <c r="L2131" s="1" t="s">
        <v>62</v>
      </c>
      <c r="M2131" s="1">
        <f>orders[[#This Row],[Ship Date]]-orders[[#This Row],[Order Date]]</f>
        <v>1</v>
      </c>
      <c r="N2131" s="1">
        <f>WEEKNUM(orders[[#This Row],[Order Date]])</f>
        <v>12</v>
      </c>
      <c r="O2131" s="1" t="str" cm="1">
        <f t="array" ref="O2131">_xlfn.IFS(orders[[#This Row],[Customer Gender]]="M","Male", orders[[#This Row],[Customer Gender]]="F","Female", orders[[#This Row],[Customer Gender]]="O","Other", TRUE,"Unknown")</f>
        <v>Female</v>
      </c>
    </row>
    <row r="2132" spans="1:15">
      <c r="A2132" s="1" t="s">
        <v>2233</v>
      </c>
      <c r="B2132" s="1" t="s">
        <v>44</v>
      </c>
      <c r="C2132" s="1">
        <v>1</v>
      </c>
      <c r="D2132" s="1">
        <v>17.399999999999999</v>
      </c>
      <c r="E2132" s="11">
        <v>17.399999999999999</v>
      </c>
      <c r="F2132" s="3">
        <v>45735</v>
      </c>
      <c r="G2132" s="3">
        <v>45739</v>
      </c>
      <c r="H2132" s="1" t="s">
        <v>17</v>
      </c>
      <c r="I2132" s="1" t="s">
        <v>40</v>
      </c>
      <c r="J2132" s="1">
        <v>3</v>
      </c>
      <c r="K2132" s="1" t="s">
        <v>19</v>
      </c>
      <c r="L2132" s="1" t="s">
        <v>62</v>
      </c>
      <c r="M2132" s="1">
        <f>orders[[#This Row],[Ship Date]]-orders[[#This Row],[Order Date]]</f>
        <v>4</v>
      </c>
      <c r="N2132" s="1">
        <f>WEEKNUM(orders[[#This Row],[Order Date]])</f>
        <v>12</v>
      </c>
      <c r="O2132" s="1" t="str" cm="1">
        <f t="array" ref="O2132">_xlfn.IFS(orders[[#This Row],[Customer Gender]]="M","Male", orders[[#This Row],[Customer Gender]]="F","Female", orders[[#This Row],[Customer Gender]]="O","Other", TRUE,"Unknown")</f>
        <v>Unknown</v>
      </c>
    </row>
    <row r="2133" spans="1:15">
      <c r="A2133" s="1" t="s">
        <v>2234</v>
      </c>
      <c r="B2133" s="1" t="s">
        <v>44</v>
      </c>
      <c r="C2133" s="1">
        <v>6</v>
      </c>
      <c r="D2133" s="1">
        <v>72.3</v>
      </c>
      <c r="E2133" s="11">
        <v>433.79999999999995</v>
      </c>
      <c r="F2133" s="3">
        <v>45735</v>
      </c>
      <c r="G2133" s="3">
        <v>45738</v>
      </c>
      <c r="H2133" s="1" t="s">
        <v>27</v>
      </c>
      <c r="I2133" s="1" t="s">
        <v>18</v>
      </c>
      <c r="J2133" s="1">
        <v>4</v>
      </c>
      <c r="K2133" s="1" t="s">
        <v>19</v>
      </c>
      <c r="L2133" s="1" t="s">
        <v>62</v>
      </c>
      <c r="M2133" s="1">
        <f>orders[[#This Row],[Ship Date]]-orders[[#This Row],[Order Date]]</f>
        <v>3</v>
      </c>
      <c r="N2133" s="1">
        <f>WEEKNUM(orders[[#This Row],[Order Date]])</f>
        <v>12</v>
      </c>
      <c r="O2133" s="1" t="str" cm="1">
        <f t="array" ref="O2133">_xlfn.IFS(orders[[#This Row],[Customer Gender]]="M","Male", orders[[#This Row],[Customer Gender]]="F","Female", orders[[#This Row],[Customer Gender]]="O","Other", TRUE,"Unknown")</f>
        <v>Female</v>
      </c>
    </row>
    <row r="2134" spans="1:15">
      <c r="A2134" s="1" t="s">
        <v>2235</v>
      </c>
      <c r="B2134" s="1" t="s">
        <v>44</v>
      </c>
      <c r="C2134" s="1">
        <v>11</v>
      </c>
      <c r="D2134" s="1">
        <v>24.3</v>
      </c>
      <c r="E2134" s="11">
        <v>267.3</v>
      </c>
      <c r="F2134" s="3">
        <v>45735</v>
      </c>
      <c r="G2134" s="3">
        <v>45736</v>
      </c>
      <c r="H2134" s="1" t="s">
        <v>23</v>
      </c>
      <c r="I2134" s="1" t="s">
        <v>18</v>
      </c>
      <c r="J2134" s="1">
        <v>4</v>
      </c>
      <c r="K2134" s="1" t="s">
        <v>19</v>
      </c>
      <c r="L2134" s="1" t="s">
        <v>62</v>
      </c>
      <c r="M2134" s="1">
        <f>orders[[#This Row],[Ship Date]]-orders[[#This Row],[Order Date]]</f>
        <v>1</v>
      </c>
      <c r="N2134" s="1">
        <f>WEEKNUM(orders[[#This Row],[Order Date]])</f>
        <v>12</v>
      </c>
      <c r="O2134" s="1" t="str" cm="1">
        <f t="array" ref="O2134">_xlfn.IFS(orders[[#This Row],[Customer Gender]]="M","Male", orders[[#This Row],[Customer Gender]]="F","Female", orders[[#This Row],[Customer Gender]]="O","Other", TRUE,"Unknown")</f>
        <v>Male</v>
      </c>
    </row>
    <row r="2135" spans="1:15">
      <c r="A2135" s="1" t="s">
        <v>2236</v>
      </c>
      <c r="B2135" s="1" t="s">
        <v>76</v>
      </c>
      <c r="C2135" s="1">
        <v>3</v>
      </c>
      <c r="D2135" s="1">
        <v>49.1</v>
      </c>
      <c r="E2135" s="11">
        <v>147.30000000000001</v>
      </c>
      <c r="F2135" s="3">
        <v>45735</v>
      </c>
      <c r="G2135" s="3">
        <v>45741</v>
      </c>
      <c r="H2135" s="1" t="s">
        <v>23</v>
      </c>
      <c r="I2135" s="1" t="s">
        <v>40</v>
      </c>
      <c r="J2135" s="1">
        <v>2</v>
      </c>
      <c r="K2135" s="1" t="s">
        <v>19</v>
      </c>
      <c r="L2135" s="1" t="s">
        <v>62</v>
      </c>
      <c r="M2135" s="1">
        <f>orders[[#This Row],[Ship Date]]-orders[[#This Row],[Order Date]]</f>
        <v>6</v>
      </c>
      <c r="N2135" s="1">
        <f>WEEKNUM(orders[[#This Row],[Order Date]])</f>
        <v>12</v>
      </c>
      <c r="O2135" s="1" t="str" cm="1">
        <f t="array" ref="O2135">_xlfn.IFS(orders[[#This Row],[Customer Gender]]="M","Male", orders[[#This Row],[Customer Gender]]="F","Female", orders[[#This Row],[Customer Gender]]="O","Other", TRUE,"Unknown")</f>
        <v>Male</v>
      </c>
    </row>
    <row r="2136" spans="1:15">
      <c r="A2136" s="1" t="s">
        <v>2237</v>
      </c>
      <c r="B2136" s="1" t="s">
        <v>26</v>
      </c>
      <c r="C2136" s="1">
        <v>10</v>
      </c>
      <c r="D2136" s="1">
        <v>234.7</v>
      </c>
      <c r="E2136" s="11">
        <v>2347</v>
      </c>
      <c r="F2136" s="3">
        <v>45735</v>
      </c>
      <c r="G2136" s="3">
        <v>45736</v>
      </c>
      <c r="H2136" s="1" t="s">
        <v>23</v>
      </c>
      <c r="I2136" s="1" t="s">
        <v>51</v>
      </c>
      <c r="J2136" s="1">
        <v>3</v>
      </c>
      <c r="K2136" s="1" t="s">
        <v>19</v>
      </c>
      <c r="L2136" s="1" t="s">
        <v>62</v>
      </c>
      <c r="M2136" s="1">
        <f>orders[[#This Row],[Ship Date]]-orders[[#This Row],[Order Date]]</f>
        <v>1</v>
      </c>
      <c r="N2136" s="1">
        <f>WEEKNUM(orders[[#This Row],[Order Date]])</f>
        <v>12</v>
      </c>
      <c r="O2136" s="1" t="str" cm="1">
        <f t="array" ref="O2136">_xlfn.IFS(orders[[#This Row],[Customer Gender]]="M","Male", orders[[#This Row],[Customer Gender]]="F","Female", orders[[#This Row],[Customer Gender]]="O","Other", TRUE,"Unknown")</f>
        <v>Male</v>
      </c>
    </row>
    <row r="2137" spans="1:15">
      <c r="A2137" s="1" t="s">
        <v>2238</v>
      </c>
      <c r="B2137" s="1" t="s">
        <v>30</v>
      </c>
      <c r="C2137" s="1">
        <v>5</v>
      </c>
      <c r="D2137" s="1">
        <v>76.099999999999994</v>
      </c>
      <c r="E2137" s="11">
        <v>380.5</v>
      </c>
      <c r="F2137" s="3">
        <v>45735</v>
      </c>
      <c r="G2137" s="3">
        <v>45737</v>
      </c>
      <c r="H2137" s="1" t="s">
        <v>23</v>
      </c>
      <c r="I2137" s="1" t="s">
        <v>35</v>
      </c>
      <c r="J2137" s="1">
        <v>3</v>
      </c>
      <c r="K2137" s="1" t="s">
        <v>19</v>
      </c>
      <c r="L2137" s="1" t="s">
        <v>103</v>
      </c>
      <c r="M2137" s="1">
        <f>orders[[#This Row],[Ship Date]]-orders[[#This Row],[Order Date]]</f>
        <v>2</v>
      </c>
      <c r="N2137" s="1">
        <f>WEEKNUM(orders[[#This Row],[Order Date]])</f>
        <v>12</v>
      </c>
      <c r="O2137" s="1" t="str" cm="1">
        <f t="array" ref="O2137">_xlfn.IFS(orders[[#This Row],[Customer Gender]]="M","Male", orders[[#This Row],[Customer Gender]]="F","Female", orders[[#This Row],[Customer Gender]]="O","Other", TRUE,"Unknown")</f>
        <v>Male</v>
      </c>
    </row>
    <row r="2138" spans="1:15">
      <c r="A2138" s="1" t="s">
        <v>2239</v>
      </c>
      <c r="B2138" s="1" t="s">
        <v>22</v>
      </c>
      <c r="C2138" s="1">
        <v>3</v>
      </c>
      <c r="D2138" s="1">
        <v>93.9</v>
      </c>
      <c r="E2138" s="11">
        <v>281.70000000000005</v>
      </c>
      <c r="F2138" s="3">
        <v>45735</v>
      </c>
      <c r="G2138" s="3">
        <v>45736</v>
      </c>
      <c r="H2138" s="1" t="s">
        <v>23</v>
      </c>
      <c r="I2138" s="1" t="s">
        <v>35</v>
      </c>
      <c r="J2138" s="1">
        <v>2</v>
      </c>
      <c r="K2138" s="1" t="s">
        <v>19</v>
      </c>
      <c r="L2138" s="1" t="s">
        <v>77</v>
      </c>
      <c r="M2138" s="1">
        <f>orders[[#This Row],[Ship Date]]-orders[[#This Row],[Order Date]]</f>
        <v>1</v>
      </c>
      <c r="N2138" s="1">
        <f>WEEKNUM(orders[[#This Row],[Order Date]])</f>
        <v>12</v>
      </c>
      <c r="O2138" s="1" t="str" cm="1">
        <f t="array" ref="O2138">_xlfn.IFS(orders[[#This Row],[Customer Gender]]="M","Male", orders[[#This Row],[Customer Gender]]="F","Female", orders[[#This Row],[Customer Gender]]="O","Other", TRUE,"Unknown")</f>
        <v>Male</v>
      </c>
    </row>
    <row r="2139" spans="1:15">
      <c r="A2139" s="1" t="s">
        <v>2240</v>
      </c>
      <c r="B2139" s="1" t="s">
        <v>26</v>
      </c>
      <c r="C2139" s="1">
        <v>4</v>
      </c>
      <c r="D2139" s="1">
        <v>187</v>
      </c>
      <c r="E2139" s="11">
        <v>748</v>
      </c>
      <c r="F2139" s="3">
        <v>45736</v>
      </c>
      <c r="G2139" s="3">
        <v>45739</v>
      </c>
      <c r="H2139" s="1" t="s">
        <v>23</v>
      </c>
      <c r="I2139" s="1" t="s">
        <v>18</v>
      </c>
      <c r="J2139" s="1">
        <v>4</v>
      </c>
      <c r="K2139" s="1" t="s">
        <v>19</v>
      </c>
      <c r="L2139" s="1" t="s">
        <v>77</v>
      </c>
      <c r="M2139" s="1">
        <f>orders[[#This Row],[Ship Date]]-orders[[#This Row],[Order Date]]</f>
        <v>3</v>
      </c>
      <c r="N2139" s="1">
        <f>WEEKNUM(orders[[#This Row],[Order Date]])</f>
        <v>12</v>
      </c>
      <c r="O2139" s="1" t="str" cm="1">
        <f t="array" ref="O2139">_xlfn.IFS(orders[[#This Row],[Customer Gender]]="M","Male", orders[[#This Row],[Customer Gender]]="F","Female", orders[[#This Row],[Customer Gender]]="O","Other", TRUE,"Unknown")</f>
        <v>Male</v>
      </c>
    </row>
    <row r="2140" spans="1:15">
      <c r="A2140" s="1" t="s">
        <v>2241</v>
      </c>
      <c r="B2140" s="1" t="s">
        <v>44</v>
      </c>
      <c r="C2140" s="1">
        <v>2</v>
      </c>
      <c r="D2140" s="1">
        <v>18</v>
      </c>
      <c r="E2140" s="11">
        <v>36</v>
      </c>
      <c r="F2140" s="3">
        <v>45736</v>
      </c>
      <c r="G2140" s="3">
        <v>45737</v>
      </c>
      <c r="H2140" s="1" t="s">
        <v>27</v>
      </c>
      <c r="I2140" s="1" t="s">
        <v>35</v>
      </c>
      <c r="J2140" s="1">
        <v>5</v>
      </c>
      <c r="K2140" s="1" t="s">
        <v>19</v>
      </c>
      <c r="L2140" s="1" t="s">
        <v>1116</v>
      </c>
      <c r="M2140" s="1">
        <f>orders[[#This Row],[Ship Date]]-orders[[#This Row],[Order Date]]</f>
        <v>1</v>
      </c>
      <c r="N2140" s="1">
        <f>WEEKNUM(orders[[#This Row],[Order Date]])</f>
        <v>12</v>
      </c>
      <c r="O2140" s="1" t="str" cm="1">
        <f t="array" ref="O2140">_xlfn.IFS(orders[[#This Row],[Customer Gender]]="M","Male", orders[[#This Row],[Customer Gender]]="F","Female", orders[[#This Row],[Customer Gender]]="O","Other", TRUE,"Unknown")</f>
        <v>Female</v>
      </c>
    </row>
    <row r="2141" spans="1:15">
      <c r="A2141" s="1" t="s">
        <v>2242</v>
      </c>
      <c r="B2141" s="1" t="s">
        <v>32</v>
      </c>
      <c r="C2141" s="1">
        <v>1</v>
      </c>
      <c r="D2141" s="1">
        <v>24.4</v>
      </c>
      <c r="E2141" s="11">
        <v>24.4</v>
      </c>
      <c r="F2141" s="3">
        <v>45736</v>
      </c>
      <c r="G2141" s="3">
        <v>45737</v>
      </c>
      <c r="H2141" s="1" t="s">
        <v>27</v>
      </c>
      <c r="I2141" s="1" t="s">
        <v>70</v>
      </c>
      <c r="J2141" s="1">
        <v>5</v>
      </c>
      <c r="K2141" s="1" t="s">
        <v>19</v>
      </c>
      <c r="L2141" s="1" t="s">
        <v>115</v>
      </c>
      <c r="M2141" s="1">
        <f>orders[[#This Row],[Ship Date]]-orders[[#This Row],[Order Date]]</f>
        <v>1</v>
      </c>
      <c r="N2141" s="1">
        <f>WEEKNUM(orders[[#This Row],[Order Date]])</f>
        <v>12</v>
      </c>
      <c r="O2141" s="1" t="str" cm="1">
        <f t="array" ref="O2141">_xlfn.IFS(orders[[#This Row],[Customer Gender]]="M","Male", orders[[#This Row],[Customer Gender]]="F","Female", orders[[#This Row],[Customer Gender]]="O","Other", TRUE,"Unknown")</f>
        <v>Female</v>
      </c>
    </row>
    <row r="2142" spans="1:15">
      <c r="A2142" s="1" t="s">
        <v>2243</v>
      </c>
      <c r="B2142" s="1" t="s">
        <v>54</v>
      </c>
      <c r="C2142" s="1">
        <v>2</v>
      </c>
      <c r="D2142" s="1">
        <v>38.799999999999997</v>
      </c>
      <c r="E2142" s="11">
        <v>77.599999999999994</v>
      </c>
      <c r="F2142" s="3">
        <v>45736</v>
      </c>
      <c r="G2142" s="3">
        <v>45737</v>
      </c>
      <c r="H2142" s="1" t="s">
        <v>23</v>
      </c>
      <c r="I2142" s="1" t="s">
        <v>70</v>
      </c>
      <c r="J2142" s="1">
        <v>3</v>
      </c>
      <c r="K2142" s="1" t="s">
        <v>19</v>
      </c>
      <c r="L2142" s="1" t="s">
        <v>33</v>
      </c>
      <c r="M2142" s="1">
        <f>orders[[#This Row],[Ship Date]]-orders[[#This Row],[Order Date]]</f>
        <v>1</v>
      </c>
      <c r="N2142" s="1">
        <f>WEEKNUM(orders[[#This Row],[Order Date]])</f>
        <v>12</v>
      </c>
      <c r="O2142" s="1" t="str" cm="1">
        <f t="array" ref="O2142">_xlfn.IFS(orders[[#This Row],[Customer Gender]]="M","Male", orders[[#This Row],[Customer Gender]]="F","Female", orders[[#This Row],[Customer Gender]]="O","Other", TRUE,"Unknown")</f>
        <v>Male</v>
      </c>
    </row>
    <row r="2143" spans="1:15">
      <c r="A2143" s="1" t="s">
        <v>2244</v>
      </c>
      <c r="B2143" s="1" t="s">
        <v>30</v>
      </c>
      <c r="C2143" s="1">
        <v>1</v>
      </c>
      <c r="D2143" s="1">
        <v>59.7</v>
      </c>
      <c r="E2143" s="11">
        <v>59.7</v>
      </c>
      <c r="F2143" s="3">
        <v>45736</v>
      </c>
      <c r="G2143" s="3">
        <v>45739</v>
      </c>
      <c r="H2143" s="1" t="s">
        <v>23</v>
      </c>
      <c r="I2143" s="1" t="s">
        <v>51</v>
      </c>
      <c r="J2143" s="1">
        <v>4</v>
      </c>
      <c r="K2143" s="1" t="s">
        <v>19</v>
      </c>
      <c r="L2143" s="1" t="s">
        <v>33</v>
      </c>
      <c r="M2143" s="1">
        <f>orders[[#This Row],[Ship Date]]-orders[[#This Row],[Order Date]]</f>
        <v>3</v>
      </c>
      <c r="N2143" s="1">
        <f>WEEKNUM(orders[[#This Row],[Order Date]])</f>
        <v>12</v>
      </c>
      <c r="O2143" s="1" t="str" cm="1">
        <f t="array" ref="O2143">_xlfn.IFS(orders[[#This Row],[Customer Gender]]="M","Male", orders[[#This Row],[Customer Gender]]="F","Female", orders[[#This Row],[Customer Gender]]="O","Other", TRUE,"Unknown")</f>
        <v>Male</v>
      </c>
    </row>
    <row r="2144" spans="1:15">
      <c r="A2144" s="1" t="s">
        <v>2245</v>
      </c>
      <c r="B2144" s="1" t="s">
        <v>42</v>
      </c>
      <c r="C2144" s="1">
        <v>1</v>
      </c>
      <c r="D2144" s="1">
        <v>31.2</v>
      </c>
      <c r="E2144" s="11">
        <v>31.2</v>
      </c>
      <c r="F2144" s="3">
        <v>45736</v>
      </c>
      <c r="G2144" s="3">
        <v>45737</v>
      </c>
      <c r="H2144" s="1" t="s">
        <v>23</v>
      </c>
      <c r="I2144" s="1" t="s">
        <v>35</v>
      </c>
      <c r="J2144" s="1">
        <v>5</v>
      </c>
      <c r="K2144" s="1" t="s">
        <v>19</v>
      </c>
      <c r="L2144" s="1" t="s">
        <v>33</v>
      </c>
      <c r="M2144" s="1">
        <f>orders[[#This Row],[Ship Date]]-orders[[#This Row],[Order Date]]</f>
        <v>1</v>
      </c>
      <c r="N2144" s="1">
        <f>WEEKNUM(orders[[#This Row],[Order Date]])</f>
        <v>12</v>
      </c>
      <c r="O2144" s="1" t="str" cm="1">
        <f t="array" ref="O2144">_xlfn.IFS(orders[[#This Row],[Customer Gender]]="M","Male", orders[[#This Row],[Customer Gender]]="F","Female", orders[[#This Row],[Customer Gender]]="O","Other", TRUE,"Unknown")</f>
        <v>Male</v>
      </c>
    </row>
    <row r="2145" spans="1:15">
      <c r="A2145" s="1" t="s">
        <v>2246</v>
      </c>
      <c r="B2145" s="1" t="s">
        <v>16</v>
      </c>
      <c r="C2145" s="1">
        <v>1</v>
      </c>
      <c r="D2145" s="1">
        <v>16.8</v>
      </c>
      <c r="E2145" s="11">
        <v>16.8</v>
      </c>
      <c r="F2145" s="3">
        <v>45736</v>
      </c>
      <c r="G2145" s="3">
        <v>45737</v>
      </c>
      <c r="H2145" s="1" t="s">
        <v>27</v>
      </c>
      <c r="I2145" s="1" t="s">
        <v>40</v>
      </c>
      <c r="J2145" s="1">
        <v>3</v>
      </c>
      <c r="K2145" s="1" t="s">
        <v>19</v>
      </c>
      <c r="L2145" s="1" t="s">
        <v>33</v>
      </c>
      <c r="M2145" s="1">
        <f>orders[[#This Row],[Ship Date]]-orders[[#This Row],[Order Date]]</f>
        <v>1</v>
      </c>
      <c r="N2145" s="1">
        <f>WEEKNUM(orders[[#This Row],[Order Date]])</f>
        <v>12</v>
      </c>
      <c r="O2145" s="1" t="str" cm="1">
        <f t="array" ref="O2145">_xlfn.IFS(orders[[#This Row],[Customer Gender]]="M","Male", orders[[#This Row],[Customer Gender]]="F","Female", orders[[#This Row],[Customer Gender]]="O","Other", TRUE,"Unknown")</f>
        <v>Female</v>
      </c>
    </row>
    <row r="2146" spans="1:15">
      <c r="A2146" s="1" t="s">
        <v>2247</v>
      </c>
      <c r="B2146" s="1" t="s">
        <v>44</v>
      </c>
      <c r="C2146" s="1">
        <v>1</v>
      </c>
      <c r="D2146" s="1">
        <v>46</v>
      </c>
      <c r="E2146" s="11">
        <v>46</v>
      </c>
      <c r="F2146" s="3">
        <v>45736</v>
      </c>
      <c r="G2146" s="3">
        <v>45737</v>
      </c>
      <c r="H2146" s="1" t="s">
        <v>23</v>
      </c>
      <c r="I2146" s="1" t="s">
        <v>18</v>
      </c>
      <c r="J2146" s="1">
        <v>4</v>
      </c>
      <c r="K2146" s="1" t="s">
        <v>19</v>
      </c>
      <c r="L2146" s="1" t="s">
        <v>33</v>
      </c>
      <c r="M2146" s="1">
        <f>orders[[#This Row],[Ship Date]]-orders[[#This Row],[Order Date]]</f>
        <v>1</v>
      </c>
      <c r="N2146" s="1">
        <f>WEEKNUM(orders[[#This Row],[Order Date]])</f>
        <v>12</v>
      </c>
      <c r="O2146" s="1" t="str" cm="1">
        <f t="array" ref="O2146">_xlfn.IFS(orders[[#This Row],[Customer Gender]]="M","Male", orders[[#This Row],[Customer Gender]]="F","Female", orders[[#This Row],[Customer Gender]]="O","Other", TRUE,"Unknown")</f>
        <v>Male</v>
      </c>
    </row>
    <row r="2147" spans="1:15">
      <c r="A2147" s="1" t="s">
        <v>2248</v>
      </c>
      <c r="B2147" s="1" t="s">
        <v>46</v>
      </c>
      <c r="C2147" s="1">
        <v>8</v>
      </c>
      <c r="D2147" s="1">
        <v>42.2</v>
      </c>
      <c r="E2147" s="11">
        <v>337.6</v>
      </c>
      <c r="F2147" s="3">
        <v>45736</v>
      </c>
      <c r="G2147" s="3">
        <v>45739</v>
      </c>
      <c r="H2147" s="1" t="s">
        <v>27</v>
      </c>
      <c r="I2147" s="1" t="s">
        <v>51</v>
      </c>
      <c r="J2147" s="1">
        <v>5</v>
      </c>
      <c r="K2147" s="1" t="s">
        <v>19</v>
      </c>
      <c r="L2147" s="1" t="s">
        <v>33</v>
      </c>
      <c r="M2147" s="1">
        <f>orders[[#This Row],[Ship Date]]-orders[[#This Row],[Order Date]]</f>
        <v>3</v>
      </c>
      <c r="N2147" s="1">
        <f>WEEKNUM(orders[[#This Row],[Order Date]])</f>
        <v>12</v>
      </c>
      <c r="O2147" s="1" t="str" cm="1">
        <f t="array" ref="O2147">_xlfn.IFS(orders[[#This Row],[Customer Gender]]="M","Male", orders[[#This Row],[Customer Gender]]="F","Female", orders[[#This Row],[Customer Gender]]="O","Other", TRUE,"Unknown")</f>
        <v>Female</v>
      </c>
    </row>
    <row r="2148" spans="1:15">
      <c r="A2148" s="1" t="s">
        <v>2249</v>
      </c>
      <c r="B2148" s="1" t="s">
        <v>22</v>
      </c>
      <c r="C2148" s="1">
        <v>3</v>
      </c>
      <c r="D2148" s="1">
        <v>71.5</v>
      </c>
      <c r="E2148" s="11">
        <v>214.5</v>
      </c>
      <c r="F2148" s="3">
        <v>45736</v>
      </c>
      <c r="G2148" s="3">
        <v>45750</v>
      </c>
      <c r="H2148" s="1" t="s">
        <v>27</v>
      </c>
      <c r="I2148" s="1" t="s">
        <v>18</v>
      </c>
      <c r="J2148" s="1">
        <v>4</v>
      </c>
      <c r="K2148" s="1" t="s">
        <v>19</v>
      </c>
      <c r="L2148" s="1" t="s">
        <v>33</v>
      </c>
      <c r="M2148" s="1">
        <f>orders[[#This Row],[Ship Date]]-orders[[#This Row],[Order Date]]</f>
        <v>14</v>
      </c>
      <c r="N2148" s="1">
        <f>WEEKNUM(orders[[#This Row],[Order Date]])</f>
        <v>12</v>
      </c>
      <c r="O2148" s="1" t="str" cm="1">
        <f t="array" ref="O2148">_xlfn.IFS(orders[[#This Row],[Customer Gender]]="M","Male", orders[[#This Row],[Customer Gender]]="F","Female", orders[[#This Row],[Customer Gender]]="O","Other", TRUE,"Unknown")</f>
        <v>Female</v>
      </c>
    </row>
    <row r="2149" spans="1:15">
      <c r="A2149" s="1" t="s">
        <v>2250</v>
      </c>
      <c r="B2149" s="1" t="s">
        <v>22</v>
      </c>
      <c r="C2149" s="1">
        <v>2</v>
      </c>
      <c r="D2149" s="1">
        <v>76.599999999999994</v>
      </c>
      <c r="E2149" s="11">
        <v>153.19999999999999</v>
      </c>
      <c r="F2149" s="3">
        <v>45736</v>
      </c>
      <c r="G2149" s="3">
        <v>45736</v>
      </c>
      <c r="H2149" s="1" t="s">
        <v>23</v>
      </c>
      <c r="I2149" s="1" t="s">
        <v>18</v>
      </c>
      <c r="J2149" s="1">
        <v>5</v>
      </c>
      <c r="K2149" s="1" t="s">
        <v>19</v>
      </c>
      <c r="L2149" s="1" t="s">
        <v>33</v>
      </c>
      <c r="M2149" s="1">
        <f>orders[[#This Row],[Ship Date]]-orders[[#This Row],[Order Date]]</f>
        <v>0</v>
      </c>
      <c r="N2149" s="1">
        <f>WEEKNUM(orders[[#This Row],[Order Date]])</f>
        <v>12</v>
      </c>
      <c r="O2149" s="1" t="str" cm="1">
        <f t="array" ref="O2149">_xlfn.IFS(orders[[#This Row],[Customer Gender]]="M","Male", orders[[#This Row],[Customer Gender]]="F","Female", orders[[#This Row],[Customer Gender]]="O","Other", TRUE,"Unknown")</f>
        <v>Male</v>
      </c>
    </row>
    <row r="2150" spans="1:15">
      <c r="A2150" s="1" t="s">
        <v>2251</v>
      </c>
      <c r="B2150" s="1" t="s">
        <v>69</v>
      </c>
      <c r="C2150" s="1">
        <v>2</v>
      </c>
      <c r="D2150" s="1">
        <v>87.3</v>
      </c>
      <c r="E2150" s="11">
        <v>174.6</v>
      </c>
      <c r="F2150" s="3">
        <v>45736</v>
      </c>
      <c r="G2150" s="3">
        <v>45744</v>
      </c>
      <c r="H2150" s="1" t="s">
        <v>27</v>
      </c>
      <c r="I2150" s="1" t="s">
        <v>51</v>
      </c>
      <c r="J2150" s="1">
        <v>5</v>
      </c>
      <c r="K2150" s="1" t="s">
        <v>19</v>
      </c>
      <c r="L2150" s="1" t="s">
        <v>33</v>
      </c>
      <c r="M2150" s="1">
        <f>orders[[#This Row],[Ship Date]]-orders[[#This Row],[Order Date]]</f>
        <v>8</v>
      </c>
      <c r="N2150" s="1">
        <f>WEEKNUM(orders[[#This Row],[Order Date]])</f>
        <v>12</v>
      </c>
      <c r="O2150" s="1" t="str" cm="1">
        <f t="array" ref="O2150">_xlfn.IFS(orders[[#This Row],[Customer Gender]]="M","Male", orders[[#This Row],[Customer Gender]]="F","Female", orders[[#This Row],[Customer Gender]]="O","Other", TRUE,"Unknown")</f>
        <v>Female</v>
      </c>
    </row>
    <row r="2151" spans="1:15">
      <c r="A2151" s="1" t="s">
        <v>2252</v>
      </c>
      <c r="B2151" s="1" t="s">
        <v>22</v>
      </c>
      <c r="C2151" s="1">
        <v>1</v>
      </c>
      <c r="D2151" s="1">
        <v>63</v>
      </c>
      <c r="E2151" s="11">
        <v>63</v>
      </c>
      <c r="F2151" s="3">
        <v>45736</v>
      </c>
      <c r="G2151" s="3">
        <v>45739</v>
      </c>
      <c r="H2151" s="1" t="s">
        <v>23</v>
      </c>
      <c r="I2151" s="1" t="s">
        <v>51</v>
      </c>
      <c r="J2151" s="1">
        <v>4</v>
      </c>
      <c r="K2151" s="1" t="s">
        <v>19</v>
      </c>
      <c r="L2151" s="1" t="s">
        <v>33</v>
      </c>
      <c r="M2151" s="1">
        <f>orders[[#This Row],[Ship Date]]-orders[[#This Row],[Order Date]]</f>
        <v>3</v>
      </c>
      <c r="N2151" s="1">
        <f>WEEKNUM(orders[[#This Row],[Order Date]])</f>
        <v>12</v>
      </c>
      <c r="O2151" s="1" t="str" cm="1">
        <f t="array" ref="O2151">_xlfn.IFS(orders[[#This Row],[Customer Gender]]="M","Male", orders[[#This Row],[Customer Gender]]="F","Female", orders[[#This Row],[Customer Gender]]="O","Other", TRUE,"Unknown")</f>
        <v>Male</v>
      </c>
    </row>
    <row r="2152" spans="1:15">
      <c r="A2152" s="1" t="s">
        <v>2253</v>
      </c>
      <c r="B2152" s="1" t="s">
        <v>44</v>
      </c>
      <c r="C2152" s="1">
        <v>2</v>
      </c>
      <c r="D2152" s="1">
        <v>41.7</v>
      </c>
      <c r="E2152" s="11">
        <v>83.4</v>
      </c>
      <c r="F2152" s="3">
        <v>45736</v>
      </c>
      <c r="G2152" s="3">
        <v>45737</v>
      </c>
      <c r="H2152" s="1" t="s">
        <v>27</v>
      </c>
      <c r="I2152" s="1" t="s">
        <v>70</v>
      </c>
      <c r="J2152" s="1">
        <v>3</v>
      </c>
      <c r="K2152" s="1" t="s">
        <v>19</v>
      </c>
      <c r="L2152" s="1" t="s">
        <v>545</v>
      </c>
      <c r="M2152" s="1">
        <f>orders[[#This Row],[Ship Date]]-orders[[#This Row],[Order Date]]</f>
        <v>1</v>
      </c>
      <c r="N2152" s="1">
        <f>WEEKNUM(orders[[#This Row],[Order Date]])</f>
        <v>12</v>
      </c>
      <c r="O2152" s="1" t="str" cm="1">
        <f t="array" ref="O2152">_xlfn.IFS(orders[[#This Row],[Customer Gender]]="M","Male", orders[[#This Row],[Customer Gender]]="F","Female", orders[[#This Row],[Customer Gender]]="O","Other", TRUE,"Unknown")</f>
        <v>Female</v>
      </c>
    </row>
    <row r="2153" spans="1:15">
      <c r="A2153" s="1" t="s">
        <v>2254</v>
      </c>
      <c r="B2153" s="1" t="s">
        <v>39</v>
      </c>
      <c r="C2153" s="1">
        <v>2</v>
      </c>
      <c r="D2153" s="1">
        <v>76.099999999999994</v>
      </c>
      <c r="E2153" s="11">
        <v>152.19999999999999</v>
      </c>
      <c r="F2153" s="3">
        <v>45736</v>
      </c>
      <c r="G2153" s="3">
        <v>45736</v>
      </c>
      <c r="H2153" s="1" t="s">
        <v>27</v>
      </c>
      <c r="I2153" s="1" t="s">
        <v>70</v>
      </c>
      <c r="J2153" s="1">
        <v>5</v>
      </c>
      <c r="K2153" s="1" t="s">
        <v>19</v>
      </c>
      <c r="L2153" s="1" t="s">
        <v>98</v>
      </c>
      <c r="M2153" s="1">
        <f>orders[[#This Row],[Ship Date]]-orders[[#This Row],[Order Date]]</f>
        <v>0</v>
      </c>
      <c r="N2153" s="1">
        <f>WEEKNUM(orders[[#This Row],[Order Date]])</f>
        <v>12</v>
      </c>
      <c r="O2153" s="1" t="str" cm="1">
        <f t="array" ref="O2153">_xlfn.IFS(orders[[#This Row],[Customer Gender]]="M","Male", orders[[#This Row],[Customer Gender]]="F","Female", orders[[#This Row],[Customer Gender]]="O","Other", TRUE,"Unknown")</f>
        <v>Female</v>
      </c>
    </row>
    <row r="2154" spans="1:15">
      <c r="A2154" s="1" t="s">
        <v>2255</v>
      </c>
      <c r="B2154" s="1" t="s">
        <v>76</v>
      </c>
      <c r="C2154" s="1">
        <v>2</v>
      </c>
      <c r="D2154" s="1">
        <v>28.5</v>
      </c>
      <c r="E2154" s="11">
        <v>57</v>
      </c>
      <c r="F2154" s="3">
        <v>45736</v>
      </c>
      <c r="G2154" s="3">
        <v>45737</v>
      </c>
      <c r="H2154" s="1" t="s">
        <v>27</v>
      </c>
      <c r="I2154" s="1" t="s">
        <v>18</v>
      </c>
      <c r="J2154" s="1">
        <v>5</v>
      </c>
      <c r="K2154" s="1" t="s">
        <v>19</v>
      </c>
      <c r="L2154" s="1" t="s">
        <v>49</v>
      </c>
      <c r="M2154" s="1">
        <f>orders[[#This Row],[Ship Date]]-orders[[#This Row],[Order Date]]</f>
        <v>1</v>
      </c>
      <c r="N2154" s="1">
        <f>WEEKNUM(orders[[#This Row],[Order Date]])</f>
        <v>12</v>
      </c>
      <c r="O2154" s="1" t="str" cm="1">
        <f t="array" ref="O2154">_xlfn.IFS(orders[[#This Row],[Customer Gender]]="M","Male", orders[[#This Row],[Customer Gender]]="F","Female", orders[[#This Row],[Customer Gender]]="O","Other", TRUE,"Unknown")</f>
        <v>Female</v>
      </c>
    </row>
    <row r="2155" spans="1:15">
      <c r="A2155" s="1" t="s">
        <v>2256</v>
      </c>
      <c r="B2155" s="1" t="s">
        <v>16</v>
      </c>
      <c r="C2155" s="1">
        <v>4</v>
      </c>
      <c r="D2155" s="1">
        <v>32.1</v>
      </c>
      <c r="E2155" s="11">
        <v>128.4</v>
      </c>
      <c r="F2155" s="3">
        <v>45736</v>
      </c>
      <c r="G2155" s="3">
        <v>45737</v>
      </c>
      <c r="H2155" s="1" t="s">
        <v>27</v>
      </c>
      <c r="I2155" s="1" t="s">
        <v>35</v>
      </c>
      <c r="J2155" s="1">
        <v>5</v>
      </c>
      <c r="K2155" s="1" t="s">
        <v>19</v>
      </c>
      <c r="L2155" s="1" t="s">
        <v>188</v>
      </c>
      <c r="M2155" s="1">
        <f>orders[[#This Row],[Ship Date]]-orders[[#This Row],[Order Date]]</f>
        <v>1</v>
      </c>
      <c r="N2155" s="1">
        <f>WEEKNUM(orders[[#This Row],[Order Date]])</f>
        <v>12</v>
      </c>
      <c r="O2155" s="1" t="str" cm="1">
        <f t="array" ref="O2155">_xlfn.IFS(orders[[#This Row],[Customer Gender]]="M","Male", orders[[#This Row],[Customer Gender]]="F","Female", orders[[#This Row],[Customer Gender]]="O","Other", TRUE,"Unknown")</f>
        <v>Female</v>
      </c>
    </row>
    <row r="2156" spans="1:15">
      <c r="A2156" s="1" t="s">
        <v>2257</v>
      </c>
      <c r="B2156" s="1" t="s">
        <v>32</v>
      </c>
      <c r="C2156" s="1">
        <v>3</v>
      </c>
      <c r="D2156" s="1">
        <v>39</v>
      </c>
      <c r="E2156" s="11">
        <v>117</v>
      </c>
      <c r="F2156" s="3">
        <v>45736</v>
      </c>
      <c r="G2156" s="3">
        <v>45739</v>
      </c>
      <c r="H2156" s="1" t="s">
        <v>23</v>
      </c>
      <c r="I2156" s="1" t="s">
        <v>35</v>
      </c>
      <c r="J2156" s="1">
        <v>5</v>
      </c>
      <c r="K2156" s="1" t="s">
        <v>19</v>
      </c>
      <c r="L2156" s="1" t="s">
        <v>188</v>
      </c>
      <c r="M2156" s="1">
        <f>orders[[#This Row],[Ship Date]]-orders[[#This Row],[Order Date]]</f>
        <v>3</v>
      </c>
      <c r="N2156" s="1">
        <f>WEEKNUM(orders[[#This Row],[Order Date]])</f>
        <v>12</v>
      </c>
      <c r="O2156" s="1" t="str" cm="1">
        <f t="array" ref="O2156">_xlfn.IFS(orders[[#This Row],[Customer Gender]]="M","Male", orders[[#This Row],[Customer Gender]]="F","Female", orders[[#This Row],[Customer Gender]]="O","Other", TRUE,"Unknown")</f>
        <v>Male</v>
      </c>
    </row>
    <row r="2157" spans="1:15">
      <c r="A2157" s="1" t="s">
        <v>2258</v>
      </c>
      <c r="B2157" s="1" t="s">
        <v>39</v>
      </c>
      <c r="C2157" s="1">
        <v>1</v>
      </c>
      <c r="D2157" s="1">
        <v>78.5</v>
      </c>
      <c r="E2157" s="11">
        <v>78.5</v>
      </c>
      <c r="F2157" s="3">
        <v>45736</v>
      </c>
      <c r="G2157" s="3">
        <v>45737</v>
      </c>
      <c r="H2157" s="1" t="s">
        <v>23</v>
      </c>
      <c r="I2157" s="1" t="s">
        <v>35</v>
      </c>
      <c r="J2157" s="1">
        <v>4</v>
      </c>
      <c r="K2157" s="1" t="s">
        <v>19</v>
      </c>
      <c r="L2157" s="1" t="s">
        <v>55</v>
      </c>
      <c r="M2157" s="1">
        <f>orders[[#This Row],[Ship Date]]-orders[[#This Row],[Order Date]]</f>
        <v>1</v>
      </c>
      <c r="N2157" s="1">
        <f>WEEKNUM(orders[[#This Row],[Order Date]])</f>
        <v>12</v>
      </c>
      <c r="O2157" s="1" t="str" cm="1">
        <f t="array" ref="O2157">_xlfn.IFS(orders[[#This Row],[Customer Gender]]="M","Male", orders[[#This Row],[Customer Gender]]="F","Female", orders[[#This Row],[Customer Gender]]="O","Other", TRUE,"Unknown")</f>
        <v>Male</v>
      </c>
    </row>
    <row r="2158" spans="1:15">
      <c r="A2158" s="1" t="s">
        <v>2259</v>
      </c>
      <c r="B2158" s="1" t="s">
        <v>32</v>
      </c>
      <c r="C2158" s="1">
        <v>5</v>
      </c>
      <c r="D2158" s="1">
        <v>49.7</v>
      </c>
      <c r="E2158" s="11">
        <v>248.5</v>
      </c>
      <c r="F2158" s="3">
        <v>45736</v>
      </c>
      <c r="G2158" s="3">
        <v>45738</v>
      </c>
      <c r="H2158" s="1" t="s">
        <v>27</v>
      </c>
      <c r="I2158" s="1" t="s">
        <v>18</v>
      </c>
      <c r="J2158" s="1">
        <v>4</v>
      </c>
      <c r="K2158" s="1" t="s">
        <v>19</v>
      </c>
      <c r="L2158" s="1" t="s">
        <v>55</v>
      </c>
      <c r="M2158" s="1">
        <f>orders[[#This Row],[Ship Date]]-orders[[#This Row],[Order Date]]</f>
        <v>2</v>
      </c>
      <c r="N2158" s="1">
        <f>WEEKNUM(orders[[#This Row],[Order Date]])</f>
        <v>12</v>
      </c>
      <c r="O2158" s="1" t="str" cm="1">
        <f t="array" ref="O2158">_xlfn.IFS(orders[[#This Row],[Customer Gender]]="M","Male", orders[[#This Row],[Customer Gender]]="F","Female", orders[[#This Row],[Customer Gender]]="O","Other", TRUE,"Unknown")</f>
        <v>Female</v>
      </c>
    </row>
    <row r="2159" spans="1:15">
      <c r="A2159" s="1" t="s">
        <v>2260</v>
      </c>
      <c r="B2159" s="1" t="s">
        <v>22</v>
      </c>
      <c r="C2159" s="1">
        <v>4</v>
      </c>
      <c r="D2159" s="1">
        <v>68.400000000000006</v>
      </c>
      <c r="E2159" s="11">
        <v>273.60000000000002</v>
      </c>
      <c r="F2159" s="3">
        <v>45736</v>
      </c>
      <c r="G2159" s="3">
        <v>45737</v>
      </c>
      <c r="H2159" s="1" t="s">
        <v>27</v>
      </c>
      <c r="I2159" s="1" t="s">
        <v>40</v>
      </c>
      <c r="J2159" s="1">
        <v>5</v>
      </c>
      <c r="K2159" s="1" t="s">
        <v>19</v>
      </c>
      <c r="L2159" s="1" t="s">
        <v>59</v>
      </c>
      <c r="M2159" s="1">
        <f>orders[[#This Row],[Ship Date]]-orders[[#This Row],[Order Date]]</f>
        <v>1</v>
      </c>
      <c r="N2159" s="1">
        <f>WEEKNUM(orders[[#This Row],[Order Date]])</f>
        <v>12</v>
      </c>
      <c r="O2159" s="1" t="str" cm="1">
        <f t="array" ref="O2159">_xlfn.IFS(orders[[#This Row],[Customer Gender]]="M","Male", orders[[#This Row],[Customer Gender]]="F","Female", orders[[#This Row],[Customer Gender]]="O","Other", TRUE,"Unknown")</f>
        <v>Female</v>
      </c>
    </row>
    <row r="2160" spans="1:15">
      <c r="A2160" s="1" t="s">
        <v>2261</v>
      </c>
      <c r="B2160" s="1" t="s">
        <v>30</v>
      </c>
      <c r="C2160" s="1">
        <v>2</v>
      </c>
      <c r="D2160" s="1">
        <v>72.900000000000006</v>
      </c>
      <c r="E2160" s="11">
        <v>145.80000000000001</v>
      </c>
      <c r="F2160" s="3">
        <v>45736</v>
      </c>
      <c r="G2160" s="3">
        <v>45739</v>
      </c>
      <c r="H2160" s="1" t="s">
        <v>17</v>
      </c>
      <c r="I2160" s="1" t="s">
        <v>18</v>
      </c>
      <c r="J2160" s="1">
        <v>5</v>
      </c>
      <c r="K2160" s="1" t="s">
        <v>19</v>
      </c>
      <c r="L2160" s="1" t="s">
        <v>59</v>
      </c>
      <c r="M2160" s="1">
        <f>orders[[#This Row],[Ship Date]]-orders[[#This Row],[Order Date]]</f>
        <v>3</v>
      </c>
      <c r="N2160" s="1">
        <f>WEEKNUM(orders[[#This Row],[Order Date]])</f>
        <v>12</v>
      </c>
      <c r="O2160" s="1" t="str" cm="1">
        <f t="array" ref="O2160">_xlfn.IFS(orders[[#This Row],[Customer Gender]]="M","Male", orders[[#This Row],[Customer Gender]]="F","Female", orders[[#This Row],[Customer Gender]]="O","Other", TRUE,"Unknown")</f>
        <v>Unknown</v>
      </c>
    </row>
    <row r="2161" spans="1:15">
      <c r="A2161" s="1" t="s">
        <v>2262</v>
      </c>
      <c r="B2161" s="1" t="s">
        <v>37</v>
      </c>
      <c r="C2161" s="1">
        <v>13</v>
      </c>
      <c r="D2161" s="1">
        <v>30.3</v>
      </c>
      <c r="E2161" s="11">
        <v>393.90000000000003</v>
      </c>
      <c r="F2161" s="3">
        <v>45736</v>
      </c>
      <c r="G2161" s="3">
        <v>45737</v>
      </c>
      <c r="H2161" s="1" t="s">
        <v>23</v>
      </c>
      <c r="I2161" s="1" t="s">
        <v>70</v>
      </c>
      <c r="J2161" s="1">
        <v>4</v>
      </c>
      <c r="K2161" s="1" t="s">
        <v>19</v>
      </c>
      <c r="L2161" s="1" t="s">
        <v>59</v>
      </c>
      <c r="M2161" s="1">
        <f>orders[[#This Row],[Ship Date]]-orders[[#This Row],[Order Date]]</f>
        <v>1</v>
      </c>
      <c r="N2161" s="1">
        <f>WEEKNUM(orders[[#This Row],[Order Date]])</f>
        <v>12</v>
      </c>
      <c r="O2161" s="1" t="str" cm="1">
        <f t="array" ref="O2161">_xlfn.IFS(orders[[#This Row],[Customer Gender]]="M","Male", orders[[#This Row],[Customer Gender]]="F","Female", orders[[#This Row],[Customer Gender]]="O","Other", TRUE,"Unknown")</f>
        <v>Male</v>
      </c>
    </row>
    <row r="2162" spans="1:15">
      <c r="A2162" s="1" t="s">
        <v>2263</v>
      </c>
      <c r="B2162" s="1" t="s">
        <v>39</v>
      </c>
      <c r="C2162" s="1">
        <v>11</v>
      </c>
      <c r="D2162" s="1">
        <v>57.9</v>
      </c>
      <c r="E2162" s="11">
        <v>636.9</v>
      </c>
      <c r="F2162" s="3">
        <v>45736</v>
      </c>
      <c r="G2162" s="3">
        <v>45737</v>
      </c>
      <c r="H2162" s="1" t="s">
        <v>27</v>
      </c>
      <c r="I2162" s="1" t="s">
        <v>18</v>
      </c>
      <c r="J2162" s="1">
        <v>4</v>
      </c>
      <c r="K2162" s="1" t="s">
        <v>19</v>
      </c>
      <c r="L2162" s="1" t="s">
        <v>62</v>
      </c>
      <c r="M2162" s="1">
        <f>orders[[#This Row],[Ship Date]]-orders[[#This Row],[Order Date]]</f>
        <v>1</v>
      </c>
      <c r="N2162" s="1">
        <f>WEEKNUM(orders[[#This Row],[Order Date]])</f>
        <v>12</v>
      </c>
      <c r="O2162" s="1" t="str" cm="1">
        <f t="array" ref="O2162">_xlfn.IFS(orders[[#This Row],[Customer Gender]]="M","Male", orders[[#This Row],[Customer Gender]]="F","Female", orders[[#This Row],[Customer Gender]]="O","Other", TRUE,"Unknown")</f>
        <v>Female</v>
      </c>
    </row>
    <row r="2163" spans="1:15">
      <c r="A2163" s="1" t="s">
        <v>2264</v>
      </c>
      <c r="B2163" s="1" t="s">
        <v>22</v>
      </c>
      <c r="C2163" s="1">
        <v>1</v>
      </c>
      <c r="D2163" s="1">
        <v>96.7</v>
      </c>
      <c r="E2163" s="11">
        <v>96.7</v>
      </c>
      <c r="F2163" s="3">
        <v>45736</v>
      </c>
      <c r="G2163" s="3">
        <v>45737</v>
      </c>
      <c r="H2163" s="1" t="s">
        <v>23</v>
      </c>
      <c r="I2163" s="1" t="s">
        <v>18</v>
      </c>
      <c r="J2163" s="1">
        <v>4</v>
      </c>
      <c r="K2163" s="1" t="s">
        <v>19</v>
      </c>
      <c r="L2163" s="1" t="s">
        <v>62</v>
      </c>
      <c r="M2163" s="1">
        <f>orders[[#This Row],[Ship Date]]-orders[[#This Row],[Order Date]]</f>
        <v>1</v>
      </c>
      <c r="N2163" s="1">
        <f>WEEKNUM(orders[[#This Row],[Order Date]])</f>
        <v>12</v>
      </c>
      <c r="O2163" s="1" t="str" cm="1">
        <f t="array" ref="O2163">_xlfn.IFS(orders[[#This Row],[Customer Gender]]="M","Male", orders[[#This Row],[Customer Gender]]="F","Female", orders[[#This Row],[Customer Gender]]="O","Other", TRUE,"Unknown")</f>
        <v>Male</v>
      </c>
    </row>
    <row r="2164" spans="1:15">
      <c r="A2164" s="1" t="s">
        <v>2265</v>
      </c>
      <c r="B2164" s="1" t="s">
        <v>44</v>
      </c>
      <c r="C2164" s="1">
        <v>12</v>
      </c>
      <c r="D2164" s="1">
        <v>27.6</v>
      </c>
      <c r="E2164" s="11">
        <v>331.20000000000005</v>
      </c>
      <c r="F2164" s="3">
        <v>45736</v>
      </c>
      <c r="G2164" s="3">
        <v>45738</v>
      </c>
      <c r="H2164" s="1" t="s">
        <v>23</v>
      </c>
      <c r="I2164" s="1" t="s">
        <v>40</v>
      </c>
      <c r="J2164" s="1">
        <v>5</v>
      </c>
      <c r="K2164" s="1" t="s">
        <v>19</v>
      </c>
      <c r="L2164" s="1" t="s">
        <v>62</v>
      </c>
      <c r="M2164" s="1">
        <f>orders[[#This Row],[Ship Date]]-orders[[#This Row],[Order Date]]</f>
        <v>2</v>
      </c>
      <c r="N2164" s="1">
        <f>WEEKNUM(orders[[#This Row],[Order Date]])</f>
        <v>12</v>
      </c>
      <c r="O2164" s="1" t="str" cm="1">
        <f t="array" ref="O2164">_xlfn.IFS(orders[[#This Row],[Customer Gender]]="M","Male", orders[[#This Row],[Customer Gender]]="F","Female", orders[[#This Row],[Customer Gender]]="O","Other", TRUE,"Unknown")</f>
        <v>Male</v>
      </c>
    </row>
    <row r="2165" spans="1:15">
      <c r="A2165" s="1" t="s">
        <v>2266</v>
      </c>
      <c r="B2165" s="1" t="s">
        <v>39</v>
      </c>
      <c r="C2165" s="1">
        <v>4</v>
      </c>
      <c r="D2165" s="1">
        <v>64.7</v>
      </c>
      <c r="E2165" s="11">
        <v>258.8</v>
      </c>
      <c r="F2165" s="3">
        <v>45736</v>
      </c>
      <c r="G2165" s="3">
        <v>45736</v>
      </c>
      <c r="H2165" s="1" t="s">
        <v>23</v>
      </c>
      <c r="I2165" s="1" t="s">
        <v>51</v>
      </c>
      <c r="J2165" s="1">
        <v>5</v>
      </c>
      <c r="K2165" s="1" t="s">
        <v>19</v>
      </c>
      <c r="L2165" s="1" t="s">
        <v>62</v>
      </c>
      <c r="M2165" s="1">
        <f>orders[[#This Row],[Ship Date]]-orders[[#This Row],[Order Date]]</f>
        <v>0</v>
      </c>
      <c r="N2165" s="1">
        <f>WEEKNUM(orders[[#This Row],[Order Date]])</f>
        <v>12</v>
      </c>
      <c r="O2165" s="1" t="str" cm="1">
        <f t="array" ref="O2165">_xlfn.IFS(orders[[#This Row],[Customer Gender]]="M","Male", orders[[#This Row],[Customer Gender]]="F","Female", orders[[#This Row],[Customer Gender]]="O","Other", TRUE,"Unknown")</f>
        <v>Male</v>
      </c>
    </row>
    <row r="2166" spans="1:15">
      <c r="A2166" s="1" t="s">
        <v>2267</v>
      </c>
      <c r="B2166" s="1" t="s">
        <v>54</v>
      </c>
      <c r="C2166" s="1">
        <v>6</v>
      </c>
      <c r="D2166" s="1">
        <v>30.5</v>
      </c>
      <c r="E2166" s="11">
        <v>183</v>
      </c>
      <c r="F2166" s="3">
        <v>45736</v>
      </c>
      <c r="G2166" s="3">
        <v>45737</v>
      </c>
      <c r="H2166" s="1" t="s">
        <v>23</v>
      </c>
      <c r="I2166" s="1" t="s">
        <v>70</v>
      </c>
      <c r="J2166" s="1">
        <v>4</v>
      </c>
      <c r="K2166" s="1" t="s">
        <v>19</v>
      </c>
      <c r="L2166" s="1" t="s">
        <v>62</v>
      </c>
      <c r="M2166" s="1">
        <f>orders[[#This Row],[Ship Date]]-orders[[#This Row],[Order Date]]</f>
        <v>1</v>
      </c>
      <c r="N2166" s="1">
        <f>WEEKNUM(orders[[#This Row],[Order Date]])</f>
        <v>12</v>
      </c>
      <c r="O2166" s="1" t="str" cm="1">
        <f t="array" ref="O2166">_xlfn.IFS(orders[[#This Row],[Customer Gender]]="M","Male", orders[[#This Row],[Customer Gender]]="F","Female", orders[[#This Row],[Customer Gender]]="O","Other", TRUE,"Unknown")</f>
        <v>Male</v>
      </c>
    </row>
    <row r="2167" spans="1:15">
      <c r="A2167" s="1" t="s">
        <v>2268</v>
      </c>
      <c r="B2167" s="1" t="s">
        <v>39</v>
      </c>
      <c r="C2167" s="1">
        <v>70</v>
      </c>
      <c r="D2167" s="1">
        <v>106</v>
      </c>
      <c r="E2167" s="11">
        <v>7420</v>
      </c>
      <c r="F2167" s="3">
        <v>45737</v>
      </c>
      <c r="G2167" s="3">
        <v>45739</v>
      </c>
      <c r="H2167" s="1" t="s">
        <v>23</v>
      </c>
      <c r="I2167" s="1" t="s">
        <v>70</v>
      </c>
      <c r="J2167" s="1">
        <v>5</v>
      </c>
      <c r="K2167" s="1" t="s">
        <v>19</v>
      </c>
      <c r="L2167" s="1" t="s">
        <v>62</v>
      </c>
      <c r="M2167" s="1">
        <f>orders[[#This Row],[Ship Date]]-orders[[#This Row],[Order Date]]</f>
        <v>2</v>
      </c>
      <c r="N2167" s="1">
        <f>WEEKNUM(orders[[#This Row],[Order Date]])</f>
        <v>12</v>
      </c>
      <c r="O2167" s="1" t="str" cm="1">
        <f t="array" ref="O2167">_xlfn.IFS(orders[[#This Row],[Customer Gender]]="M","Male", orders[[#This Row],[Customer Gender]]="F","Female", orders[[#This Row],[Customer Gender]]="O","Other", TRUE,"Unknown")</f>
        <v>Male</v>
      </c>
    </row>
    <row r="2168" spans="1:15">
      <c r="A2168" s="1" t="s">
        <v>2269</v>
      </c>
      <c r="B2168" s="1" t="s">
        <v>69</v>
      </c>
      <c r="C2168" s="1">
        <v>5</v>
      </c>
      <c r="D2168" s="1">
        <v>76.8</v>
      </c>
      <c r="E2168" s="11">
        <v>384</v>
      </c>
      <c r="F2168" s="3">
        <v>45737</v>
      </c>
      <c r="G2168" s="3">
        <v>45743</v>
      </c>
      <c r="H2168" s="1" t="s">
        <v>17</v>
      </c>
      <c r="I2168" s="1" t="s">
        <v>35</v>
      </c>
      <c r="J2168" s="1">
        <v>3</v>
      </c>
      <c r="K2168" s="1" t="s">
        <v>19</v>
      </c>
      <c r="L2168" s="1" t="s">
        <v>108</v>
      </c>
      <c r="M2168" s="1">
        <f>orders[[#This Row],[Ship Date]]-orders[[#This Row],[Order Date]]</f>
        <v>6</v>
      </c>
      <c r="N2168" s="1">
        <f>WEEKNUM(orders[[#This Row],[Order Date]])</f>
        <v>12</v>
      </c>
      <c r="O2168" s="1" t="str" cm="1">
        <f t="array" ref="O2168">_xlfn.IFS(orders[[#This Row],[Customer Gender]]="M","Male", orders[[#This Row],[Customer Gender]]="F","Female", orders[[#This Row],[Customer Gender]]="O","Other", TRUE,"Unknown")</f>
        <v>Unknown</v>
      </c>
    </row>
    <row r="2169" spans="1:15">
      <c r="A2169" s="1" t="s">
        <v>2270</v>
      </c>
      <c r="B2169" s="1" t="s">
        <v>39</v>
      </c>
      <c r="C2169" s="1">
        <v>2</v>
      </c>
      <c r="D2169" s="1">
        <v>80.400000000000006</v>
      </c>
      <c r="E2169" s="11">
        <v>160.80000000000001</v>
      </c>
      <c r="F2169" s="3">
        <v>45737</v>
      </c>
      <c r="G2169" s="3">
        <v>45738</v>
      </c>
      <c r="H2169" s="1" t="s">
        <v>27</v>
      </c>
      <c r="I2169" s="1" t="s">
        <v>40</v>
      </c>
      <c r="J2169" s="1">
        <v>4</v>
      </c>
      <c r="K2169" s="1" t="s">
        <v>19</v>
      </c>
      <c r="L2169" s="1" t="s">
        <v>82</v>
      </c>
      <c r="M2169" s="1">
        <f>orders[[#This Row],[Ship Date]]-orders[[#This Row],[Order Date]]</f>
        <v>1</v>
      </c>
      <c r="N2169" s="1">
        <f>WEEKNUM(orders[[#This Row],[Order Date]])</f>
        <v>12</v>
      </c>
      <c r="O2169" s="1" t="str" cm="1">
        <f t="array" ref="O2169">_xlfn.IFS(orders[[#This Row],[Customer Gender]]="M","Male", orders[[#This Row],[Customer Gender]]="F","Female", orders[[#This Row],[Customer Gender]]="O","Other", TRUE,"Unknown")</f>
        <v>Female</v>
      </c>
    </row>
    <row r="2170" spans="1:15">
      <c r="A2170" s="1" t="s">
        <v>2271</v>
      </c>
      <c r="B2170" s="1" t="s">
        <v>39</v>
      </c>
      <c r="C2170" s="1">
        <v>4</v>
      </c>
      <c r="D2170" s="1">
        <v>69.099999999999994</v>
      </c>
      <c r="E2170" s="11">
        <v>276.39999999999998</v>
      </c>
      <c r="F2170" s="3">
        <v>45737</v>
      </c>
      <c r="G2170" s="3">
        <v>45738</v>
      </c>
      <c r="H2170" s="1" t="s">
        <v>23</v>
      </c>
      <c r="I2170" s="1" t="s">
        <v>35</v>
      </c>
      <c r="J2170" s="1">
        <v>5</v>
      </c>
      <c r="K2170" s="1" t="s">
        <v>19</v>
      </c>
      <c r="L2170" s="1" t="s">
        <v>115</v>
      </c>
      <c r="M2170" s="1">
        <f>orders[[#This Row],[Ship Date]]-orders[[#This Row],[Order Date]]</f>
        <v>1</v>
      </c>
      <c r="N2170" s="1">
        <f>WEEKNUM(orders[[#This Row],[Order Date]])</f>
        <v>12</v>
      </c>
      <c r="O2170" s="1" t="str" cm="1">
        <f t="array" ref="O2170">_xlfn.IFS(orders[[#This Row],[Customer Gender]]="M","Male", orders[[#This Row],[Customer Gender]]="F","Female", orders[[#This Row],[Customer Gender]]="O","Other", TRUE,"Unknown")</f>
        <v>Male</v>
      </c>
    </row>
    <row r="2171" spans="1:15">
      <c r="A2171" s="1" t="s">
        <v>2272</v>
      </c>
      <c r="B2171" s="1" t="s">
        <v>146</v>
      </c>
      <c r="C2171" s="1">
        <v>2</v>
      </c>
      <c r="D2171" s="1">
        <v>76.400000000000006</v>
      </c>
      <c r="E2171" s="11">
        <v>152.80000000000001</v>
      </c>
      <c r="F2171" s="3">
        <v>45737</v>
      </c>
      <c r="G2171" s="3">
        <v>45737</v>
      </c>
      <c r="H2171" s="1" t="s">
        <v>23</v>
      </c>
      <c r="I2171" s="1" t="s">
        <v>51</v>
      </c>
      <c r="J2171" s="1">
        <v>4</v>
      </c>
      <c r="K2171" s="1" t="s">
        <v>19</v>
      </c>
      <c r="L2171" s="1" t="s">
        <v>115</v>
      </c>
      <c r="M2171" s="1">
        <f>orders[[#This Row],[Ship Date]]-orders[[#This Row],[Order Date]]</f>
        <v>0</v>
      </c>
      <c r="N2171" s="1">
        <f>WEEKNUM(orders[[#This Row],[Order Date]])</f>
        <v>12</v>
      </c>
      <c r="O2171" s="1" t="str" cm="1">
        <f t="array" ref="O2171">_xlfn.IFS(orders[[#This Row],[Customer Gender]]="M","Male", orders[[#This Row],[Customer Gender]]="F","Female", orders[[#This Row],[Customer Gender]]="O","Other", TRUE,"Unknown")</f>
        <v>Male</v>
      </c>
    </row>
    <row r="2172" spans="1:15">
      <c r="A2172" s="1" t="s">
        <v>2273</v>
      </c>
      <c r="B2172" s="1" t="s">
        <v>26</v>
      </c>
      <c r="C2172" s="1">
        <v>2</v>
      </c>
      <c r="D2172" s="1">
        <v>61.3</v>
      </c>
      <c r="E2172" s="11">
        <v>122.6</v>
      </c>
      <c r="F2172" s="3">
        <v>45737</v>
      </c>
      <c r="G2172" s="3">
        <v>45738</v>
      </c>
      <c r="H2172" s="1" t="s">
        <v>27</v>
      </c>
      <c r="I2172" s="1" t="s">
        <v>35</v>
      </c>
      <c r="J2172" s="1">
        <v>3</v>
      </c>
      <c r="K2172" s="1" t="s">
        <v>19</v>
      </c>
      <c r="L2172" s="1" t="s">
        <v>115</v>
      </c>
      <c r="M2172" s="1">
        <f>orders[[#This Row],[Ship Date]]-orders[[#This Row],[Order Date]]</f>
        <v>1</v>
      </c>
      <c r="N2172" s="1">
        <f>WEEKNUM(orders[[#This Row],[Order Date]])</f>
        <v>12</v>
      </c>
      <c r="O2172" s="1" t="str" cm="1">
        <f t="array" ref="O2172">_xlfn.IFS(orders[[#This Row],[Customer Gender]]="M","Male", orders[[#This Row],[Customer Gender]]="F","Female", orders[[#This Row],[Customer Gender]]="O","Other", TRUE,"Unknown")</f>
        <v>Female</v>
      </c>
    </row>
    <row r="2173" spans="1:15">
      <c r="A2173" s="1" t="s">
        <v>2274</v>
      </c>
      <c r="B2173" s="1" t="s">
        <v>42</v>
      </c>
      <c r="C2173" s="1">
        <v>1</v>
      </c>
      <c r="D2173" s="1">
        <v>58</v>
      </c>
      <c r="E2173" s="11">
        <v>58</v>
      </c>
      <c r="F2173" s="3">
        <v>45737</v>
      </c>
      <c r="G2173" s="3">
        <v>45738</v>
      </c>
      <c r="H2173" s="1" t="s">
        <v>23</v>
      </c>
      <c r="I2173" s="1" t="s">
        <v>51</v>
      </c>
      <c r="J2173" s="1">
        <v>3</v>
      </c>
      <c r="K2173" s="1" t="s">
        <v>19</v>
      </c>
      <c r="L2173" s="1" t="s">
        <v>24</v>
      </c>
      <c r="M2173" s="1">
        <f>orders[[#This Row],[Ship Date]]-orders[[#This Row],[Order Date]]</f>
        <v>1</v>
      </c>
      <c r="N2173" s="1">
        <f>WEEKNUM(orders[[#This Row],[Order Date]])</f>
        <v>12</v>
      </c>
      <c r="O2173" s="1" t="str" cm="1">
        <f t="array" ref="O2173">_xlfn.IFS(orders[[#This Row],[Customer Gender]]="M","Male", orders[[#This Row],[Customer Gender]]="F","Female", orders[[#This Row],[Customer Gender]]="O","Other", TRUE,"Unknown")</f>
        <v>Male</v>
      </c>
    </row>
    <row r="2174" spans="1:15">
      <c r="A2174" s="1" t="s">
        <v>2275</v>
      </c>
      <c r="B2174" s="1" t="s">
        <v>26</v>
      </c>
      <c r="C2174" s="1">
        <v>8</v>
      </c>
      <c r="D2174" s="1">
        <v>102.3</v>
      </c>
      <c r="E2174" s="11">
        <v>818.4</v>
      </c>
      <c r="F2174" s="3">
        <v>45737</v>
      </c>
      <c r="G2174" s="3">
        <v>45739</v>
      </c>
      <c r="H2174" s="1" t="s">
        <v>23</v>
      </c>
      <c r="I2174" s="1" t="s">
        <v>40</v>
      </c>
      <c r="J2174" s="1">
        <v>4</v>
      </c>
      <c r="K2174" s="1" t="s">
        <v>19</v>
      </c>
      <c r="L2174" s="1" t="s">
        <v>437</v>
      </c>
      <c r="M2174" s="1">
        <f>orders[[#This Row],[Ship Date]]-orders[[#This Row],[Order Date]]</f>
        <v>2</v>
      </c>
      <c r="N2174" s="1">
        <f>WEEKNUM(orders[[#This Row],[Order Date]])</f>
        <v>12</v>
      </c>
      <c r="O2174" s="1" t="str" cm="1">
        <f t="array" ref="O2174">_xlfn.IFS(orders[[#This Row],[Customer Gender]]="M","Male", orders[[#This Row],[Customer Gender]]="F","Female", orders[[#This Row],[Customer Gender]]="O","Other", TRUE,"Unknown")</f>
        <v>Male</v>
      </c>
    </row>
    <row r="2175" spans="1:15">
      <c r="A2175" s="1" t="s">
        <v>2276</v>
      </c>
      <c r="B2175" s="1" t="s">
        <v>171</v>
      </c>
      <c r="C2175" s="1">
        <v>2</v>
      </c>
      <c r="D2175" s="1">
        <v>13.8</v>
      </c>
      <c r="E2175" s="11">
        <v>27.6</v>
      </c>
      <c r="F2175" s="3">
        <v>45737</v>
      </c>
      <c r="G2175" s="3">
        <v>45738</v>
      </c>
      <c r="H2175" s="1" t="s">
        <v>27</v>
      </c>
      <c r="I2175" s="1" t="s">
        <v>70</v>
      </c>
      <c r="J2175" s="1">
        <v>5</v>
      </c>
      <c r="K2175" s="1" t="s">
        <v>19</v>
      </c>
      <c r="L2175" s="1" t="s">
        <v>28</v>
      </c>
      <c r="M2175" s="1">
        <f>orders[[#This Row],[Ship Date]]-orders[[#This Row],[Order Date]]</f>
        <v>1</v>
      </c>
      <c r="N2175" s="1">
        <f>WEEKNUM(orders[[#This Row],[Order Date]])</f>
        <v>12</v>
      </c>
      <c r="O2175" s="1" t="str" cm="1">
        <f t="array" ref="O2175">_xlfn.IFS(orders[[#This Row],[Customer Gender]]="M","Male", orders[[#This Row],[Customer Gender]]="F","Female", orders[[#This Row],[Customer Gender]]="O","Other", TRUE,"Unknown")</f>
        <v>Female</v>
      </c>
    </row>
    <row r="2176" spans="1:15">
      <c r="A2176" s="1" t="s">
        <v>2277</v>
      </c>
      <c r="B2176" s="1" t="s">
        <v>44</v>
      </c>
      <c r="C2176" s="1">
        <v>3</v>
      </c>
      <c r="D2176" s="1">
        <v>33.299999999999997</v>
      </c>
      <c r="E2176" s="11">
        <v>99.899999999999991</v>
      </c>
      <c r="F2176" s="3">
        <v>45737</v>
      </c>
      <c r="G2176" s="3">
        <v>45740</v>
      </c>
      <c r="H2176" s="1" t="s">
        <v>27</v>
      </c>
      <c r="I2176" s="1" t="s">
        <v>40</v>
      </c>
      <c r="J2176" s="1">
        <v>4</v>
      </c>
      <c r="K2176" s="1" t="s">
        <v>19</v>
      </c>
      <c r="L2176" s="1" t="s">
        <v>147</v>
      </c>
      <c r="M2176" s="1">
        <f>orders[[#This Row],[Ship Date]]-orders[[#This Row],[Order Date]]</f>
        <v>3</v>
      </c>
      <c r="N2176" s="1">
        <f>WEEKNUM(orders[[#This Row],[Order Date]])</f>
        <v>12</v>
      </c>
      <c r="O2176" s="1" t="str" cm="1">
        <f t="array" ref="O2176">_xlfn.IFS(orders[[#This Row],[Customer Gender]]="M","Male", orders[[#This Row],[Customer Gender]]="F","Female", orders[[#This Row],[Customer Gender]]="O","Other", TRUE,"Unknown")</f>
        <v>Female</v>
      </c>
    </row>
    <row r="2177" spans="1:15">
      <c r="A2177" s="1" t="s">
        <v>2278</v>
      </c>
      <c r="B2177" s="1" t="s">
        <v>54</v>
      </c>
      <c r="C2177" s="1">
        <v>1</v>
      </c>
      <c r="D2177" s="1">
        <v>27.4</v>
      </c>
      <c r="E2177" s="11">
        <v>27.4</v>
      </c>
      <c r="F2177" s="3">
        <v>45737</v>
      </c>
      <c r="G2177" s="3">
        <v>45740</v>
      </c>
      <c r="H2177" s="1" t="s">
        <v>23</v>
      </c>
      <c r="I2177" s="1" t="s">
        <v>18</v>
      </c>
      <c r="J2177" s="1">
        <v>5</v>
      </c>
      <c r="K2177" s="1" t="s">
        <v>19</v>
      </c>
      <c r="L2177" s="1" t="s">
        <v>147</v>
      </c>
      <c r="M2177" s="1">
        <f>orders[[#This Row],[Ship Date]]-orders[[#This Row],[Order Date]]</f>
        <v>3</v>
      </c>
      <c r="N2177" s="1">
        <f>WEEKNUM(orders[[#This Row],[Order Date]])</f>
        <v>12</v>
      </c>
      <c r="O2177" s="1" t="str" cm="1">
        <f t="array" ref="O2177">_xlfn.IFS(orders[[#This Row],[Customer Gender]]="M","Male", orders[[#This Row],[Customer Gender]]="F","Female", orders[[#This Row],[Customer Gender]]="O","Other", TRUE,"Unknown")</f>
        <v>Male</v>
      </c>
    </row>
    <row r="2178" spans="1:15">
      <c r="A2178" s="1" t="s">
        <v>2279</v>
      </c>
      <c r="B2178" s="1" t="s">
        <v>81</v>
      </c>
      <c r="C2178" s="1">
        <v>2</v>
      </c>
      <c r="D2178" s="1">
        <v>25.6</v>
      </c>
      <c r="E2178" s="11">
        <v>51.2</v>
      </c>
      <c r="F2178" s="3">
        <v>45737</v>
      </c>
      <c r="G2178" s="3">
        <v>45738</v>
      </c>
      <c r="H2178" s="1" t="s">
        <v>27</v>
      </c>
      <c r="I2178" s="1" t="s">
        <v>35</v>
      </c>
      <c r="J2178" s="1">
        <v>3</v>
      </c>
      <c r="K2178" s="1" t="s">
        <v>19</v>
      </c>
      <c r="L2178" s="1" t="s">
        <v>33</v>
      </c>
      <c r="M2178" s="1">
        <f>orders[[#This Row],[Ship Date]]-orders[[#This Row],[Order Date]]</f>
        <v>1</v>
      </c>
      <c r="N2178" s="1">
        <f>WEEKNUM(orders[[#This Row],[Order Date]])</f>
        <v>12</v>
      </c>
      <c r="O2178" s="1" t="str" cm="1">
        <f t="array" ref="O2178">_xlfn.IFS(orders[[#This Row],[Customer Gender]]="M","Male", orders[[#This Row],[Customer Gender]]="F","Female", orders[[#This Row],[Customer Gender]]="O","Other", TRUE,"Unknown")</f>
        <v>Female</v>
      </c>
    </row>
    <row r="2179" spans="1:15">
      <c r="A2179" s="1" t="s">
        <v>2280</v>
      </c>
      <c r="B2179" s="1" t="s">
        <v>76</v>
      </c>
      <c r="C2179" s="1">
        <v>1</v>
      </c>
      <c r="D2179" s="1">
        <v>58.4</v>
      </c>
      <c r="E2179" s="11">
        <v>58.4</v>
      </c>
      <c r="F2179" s="3">
        <v>45737</v>
      </c>
      <c r="G2179" s="3">
        <v>45738</v>
      </c>
      <c r="H2179" s="1" t="s">
        <v>27</v>
      </c>
      <c r="I2179" s="1" t="s">
        <v>40</v>
      </c>
      <c r="J2179" s="1">
        <v>5</v>
      </c>
      <c r="K2179" s="1" t="s">
        <v>19</v>
      </c>
      <c r="L2179" s="1" t="s">
        <v>33</v>
      </c>
      <c r="M2179" s="1">
        <f>orders[[#This Row],[Ship Date]]-orders[[#This Row],[Order Date]]</f>
        <v>1</v>
      </c>
      <c r="N2179" s="1">
        <f>WEEKNUM(orders[[#This Row],[Order Date]])</f>
        <v>12</v>
      </c>
      <c r="O2179" s="1" t="str" cm="1">
        <f t="array" ref="O2179">_xlfn.IFS(orders[[#This Row],[Customer Gender]]="M","Male", orders[[#This Row],[Customer Gender]]="F","Female", orders[[#This Row],[Customer Gender]]="O","Other", TRUE,"Unknown")</f>
        <v>Female</v>
      </c>
    </row>
    <row r="2180" spans="1:15">
      <c r="A2180" s="1" t="s">
        <v>2281</v>
      </c>
      <c r="B2180" s="1" t="s">
        <v>67</v>
      </c>
      <c r="C2180" s="1">
        <v>30</v>
      </c>
      <c r="D2180" s="1">
        <v>27</v>
      </c>
      <c r="E2180" s="11">
        <v>810</v>
      </c>
      <c r="F2180" s="3">
        <v>45737</v>
      </c>
      <c r="G2180" s="3">
        <v>45738</v>
      </c>
      <c r="H2180" s="1" t="s">
        <v>27</v>
      </c>
      <c r="I2180" s="1" t="s">
        <v>70</v>
      </c>
      <c r="J2180" s="1">
        <v>4</v>
      </c>
      <c r="K2180" s="1" t="s">
        <v>19</v>
      </c>
      <c r="L2180" s="1" t="s">
        <v>33</v>
      </c>
      <c r="M2180" s="1">
        <f>orders[[#This Row],[Ship Date]]-orders[[#This Row],[Order Date]]</f>
        <v>1</v>
      </c>
      <c r="N2180" s="1">
        <f>WEEKNUM(orders[[#This Row],[Order Date]])</f>
        <v>12</v>
      </c>
      <c r="O2180" s="1" t="str" cm="1">
        <f t="array" ref="O2180">_xlfn.IFS(orders[[#This Row],[Customer Gender]]="M","Male", orders[[#This Row],[Customer Gender]]="F","Female", orders[[#This Row],[Customer Gender]]="O","Other", TRUE,"Unknown")</f>
        <v>Female</v>
      </c>
    </row>
    <row r="2181" spans="1:15">
      <c r="A2181" s="1" t="s">
        <v>2282</v>
      </c>
      <c r="B2181" s="1" t="s">
        <v>16</v>
      </c>
      <c r="C2181" s="1">
        <v>4</v>
      </c>
      <c r="D2181" s="1">
        <v>14.2</v>
      </c>
      <c r="E2181" s="11">
        <v>56.8</v>
      </c>
      <c r="F2181" s="3">
        <v>45737</v>
      </c>
      <c r="G2181" s="3">
        <v>45738</v>
      </c>
      <c r="H2181" s="1" t="s">
        <v>23</v>
      </c>
      <c r="I2181" s="1" t="s">
        <v>18</v>
      </c>
      <c r="J2181" s="1">
        <v>5</v>
      </c>
      <c r="K2181" s="1" t="s">
        <v>19</v>
      </c>
      <c r="L2181" s="1" t="s">
        <v>33</v>
      </c>
      <c r="M2181" s="1">
        <f>orders[[#This Row],[Ship Date]]-orders[[#This Row],[Order Date]]</f>
        <v>1</v>
      </c>
      <c r="N2181" s="1">
        <f>WEEKNUM(orders[[#This Row],[Order Date]])</f>
        <v>12</v>
      </c>
      <c r="O2181" s="1" t="str" cm="1">
        <f t="array" ref="O2181">_xlfn.IFS(orders[[#This Row],[Customer Gender]]="M","Male", orders[[#This Row],[Customer Gender]]="F","Female", orders[[#This Row],[Customer Gender]]="O","Other", TRUE,"Unknown")</f>
        <v>Male</v>
      </c>
    </row>
    <row r="2182" spans="1:15">
      <c r="A2182" s="1" t="s">
        <v>2283</v>
      </c>
      <c r="B2182" s="1" t="s">
        <v>42</v>
      </c>
      <c r="C2182" s="1">
        <v>2</v>
      </c>
      <c r="D2182" s="1">
        <v>68</v>
      </c>
      <c r="E2182" s="11">
        <v>136</v>
      </c>
      <c r="F2182" s="3">
        <v>45737</v>
      </c>
      <c r="G2182" s="3">
        <v>45747</v>
      </c>
      <c r="H2182" s="1" t="s">
        <v>23</v>
      </c>
      <c r="I2182" s="1" t="s">
        <v>40</v>
      </c>
      <c r="J2182" s="1">
        <v>3</v>
      </c>
      <c r="K2182" s="1" t="s">
        <v>19</v>
      </c>
      <c r="L2182" s="1" t="s">
        <v>33</v>
      </c>
      <c r="M2182" s="1">
        <f>orders[[#This Row],[Ship Date]]-orders[[#This Row],[Order Date]]</f>
        <v>10</v>
      </c>
      <c r="N2182" s="1">
        <f>WEEKNUM(orders[[#This Row],[Order Date]])</f>
        <v>12</v>
      </c>
      <c r="O2182" s="1" t="str" cm="1">
        <f t="array" ref="O2182">_xlfn.IFS(orders[[#This Row],[Customer Gender]]="M","Male", orders[[#This Row],[Customer Gender]]="F","Female", orders[[#This Row],[Customer Gender]]="O","Other", TRUE,"Unknown")</f>
        <v>Male</v>
      </c>
    </row>
    <row r="2183" spans="1:15">
      <c r="A2183" s="1" t="s">
        <v>2284</v>
      </c>
      <c r="B2183" s="1" t="s">
        <v>44</v>
      </c>
      <c r="C2183" s="1">
        <v>1</v>
      </c>
      <c r="D2183" s="1">
        <v>30.7</v>
      </c>
      <c r="E2183" s="11">
        <v>30.7</v>
      </c>
      <c r="F2183" s="3">
        <v>45737</v>
      </c>
      <c r="G2183" s="3">
        <v>45738</v>
      </c>
      <c r="H2183" s="1" t="s">
        <v>23</v>
      </c>
      <c r="I2183" s="1" t="s">
        <v>18</v>
      </c>
      <c r="J2183" s="1">
        <v>4</v>
      </c>
      <c r="K2183" s="1" t="s">
        <v>19</v>
      </c>
      <c r="L2183" s="1" t="s">
        <v>33</v>
      </c>
      <c r="M2183" s="1">
        <f>orders[[#This Row],[Ship Date]]-orders[[#This Row],[Order Date]]</f>
        <v>1</v>
      </c>
      <c r="N2183" s="1">
        <f>WEEKNUM(orders[[#This Row],[Order Date]])</f>
        <v>12</v>
      </c>
      <c r="O2183" s="1" t="str" cm="1">
        <f t="array" ref="O2183">_xlfn.IFS(orders[[#This Row],[Customer Gender]]="M","Male", orders[[#This Row],[Customer Gender]]="F","Female", orders[[#This Row],[Customer Gender]]="O","Other", TRUE,"Unknown")</f>
        <v>Male</v>
      </c>
    </row>
    <row r="2184" spans="1:15">
      <c r="A2184" s="1" t="s">
        <v>2285</v>
      </c>
      <c r="B2184" s="1" t="s">
        <v>135</v>
      </c>
      <c r="C2184" s="1">
        <v>13</v>
      </c>
      <c r="D2184" s="1">
        <v>51.6</v>
      </c>
      <c r="E2184" s="11">
        <v>670.80000000000007</v>
      </c>
      <c r="F2184" s="3">
        <v>45737</v>
      </c>
      <c r="G2184" s="3">
        <v>45740</v>
      </c>
      <c r="H2184" s="1" t="s">
        <v>89</v>
      </c>
      <c r="I2184" s="1" t="s">
        <v>35</v>
      </c>
      <c r="J2184" s="1">
        <v>5</v>
      </c>
      <c r="K2184" s="1" t="s">
        <v>19</v>
      </c>
      <c r="L2184" s="1" t="s">
        <v>33</v>
      </c>
      <c r="M2184" s="1">
        <f>orders[[#This Row],[Ship Date]]-orders[[#This Row],[Order Date]]</f>
        <v>3</v>
      </c>
      <c r="N2184" s="1">
        <f>WEEKNUM(orders[[#This Row],[Order Date]])</f>
        <v>12</v>
      </c>
      <c r="O2184" s="1" t="str" cm="1">
        <f t="array" ref="O2184">_xlfn.IFS(orders[[#This Row],[Customer Gender]]="M","Male", orders[[#This Row],[Customer Gender]]="F","Female", orders[[#This Row],[Customer Gender]]="O","Other", TRUE,"Unknown")</f>
        <v>Other</v>
      </c>
    </row>
    <row r="2185" spans="1:15">
      <c r="A2185" s="1" t="s">
        <v>2286</v>
      </c>
      <c r="B2185" s="1" t="s">
        <v>44</v>
      </c>
      <c r="C2185" s="1">
        <v>3</v>
      </c>
      <c r="D2185" s="1">
        <v>20.6</v>
      </c>
      <c r="E2185" s="11">
        <v>61.800000000000004</v>
      </c>
      <c r="F2185" s="3">
        <v>45737</v>
      </c>
      <c r="G2185" s="3">
        <v>45741</v>
      </c>
      <c r="H2185" s="1" t="s">
        <v>27</v>
      </c>
      <c r="I2185" s="1" t="s">
        <v>70</v>
      </c>
      <c r="J2185" s="1">
        <v>5</v>
      </c>
      <c r="K2185" s="1" t="s">
        <v>19</v>
      </c>
      <c r="L2185" s="1" t="s">
        <v>33</v>
      </c>
      <c r="M2185" s="1">
        <f>orders[[#This Row],[Ship Date]]-orders[[#This Row],[Order Date]]</f>
        <v>4</v>
      </c>
      <c r="N2185" s="1">
        <f>WEEKNUM(orders[[#This Row],[Order Date]])</f>
        <v>12</v>
      </c>
      <c r="O2185" s="1" t="str" cm="1">
        <f t="array" ref="O2185">_xlfn.IFS(orders[[#This Row],[Customer Gender]]="M","Male", orders[[#This Row],[Customer Gender]]="F","Female", orders[[#This Row],[Customer Gender]]="O","Other", TRUE,"Unknown")</f>
        <v>Female</v>
      </c>
    </row>
    <row r="2186" spans="1:15">
      <c r="A2186" s="1" t="s">
        <v>2287</v>
      </c>
      <c r="B2186" s="1" t="s">
        <v>44</v>
      </c>
      <c r="C2186" s="1">
        <v>1</v>
      </c>
      <c r="D2186" s="1">
        <v>24.8</v>
      </c>
      <c r="E2186" s="11">
        <v>24.8</v>
      </c>
      <c r="F2186" s="3">
        <v>45737</v>
      </c>
      <c r="G2186" s="3">
        <v>45738</v>
      </c>
      <c r="H2186" s="1" t="s">
        <v>23</v>
      </c>
      <c r="I2186" s="1" t="s">
        <v>70</v>
      </c>
      <c r="J2186" s="1">
        <v>4</v>
      </c>
      <c r="K2186" s="1" t="s">
        <v>19</v>
      </c>
      <c r="L2186" s="1" t="s">
        <v>33</v>
      </c>
      <c r="M2186" s="1">
        <f>orders[[#This Row],[Ship Date]]-orders[[#This Row],[Order Date]]</f>
        <v>1</v>
      </c>
      <c r="N2186" s="1">
        <f>WEEKNUM(orders[[#This Row],[Order Date]])</f>
        <v>12</v>
      </c>
      <c r="O2186" s="1" t="str" cm="1">
        <f t="array" ref="O2186">_xlfn.IFS(orders[[#This Row],[Customer Gender]]="M","Male", orders[[#This Row],[Customer Gender]]="F","Female", orders[[#This Row],[Customer Gender]]="O","Other", TRUE,"Unknown")</f>
        <v>Male</v>
      </c>
    </row>
    <row r="2187" spans="1:15">
      <c r="A2187" s="1" t="s">
        <v>2288</v>
      </c>
      <c r="B2187" s="1" t="s">
        <v>16</v>
      </c>
      <c r="C2187" s="1">
        <v>7</v>
      </c>
      <c r="D2187" s="1">
        <v>11.2</v>
      </c>
      <c r="E2187" s="11">
        <v>78.399999999999991</v>
      </c>
      <c r="F2187" s="3">
        <v>45737</v>
      </c>
      <c r="G2187" s="3">
        <v>45740</v>
      </c>
      <c r="H2187" s="1" t="s">
        <v>23</v>
      </c>
      <c r="I2187" s="1" t="s">
        <v>35</v>
      </c>
      <c r="J2187" s="1">
        <v>4</v>
      </c>
      <c r="K2187" s="1" t="s">
        <v>19</v>
      </c>
      <c r="L2187" s="1" t="s">
        <v>33</v>
      </c>
      <c r="M2187" s="1">
        <f>orders[[#This Row],[Ship Date]]-orders[[#This Row],[Order Date]]</f>
        <v>3</v>
      </c>
      <c r="N2187" s="1">
        <f>WEEKNUM(orders[[#This Row],[Order Date]])</f>
        <v>12</v>
      </c>
      <c r="O2187" s="1" t="str" cm="1">
        <f t="array" ref="O2187">_xlfn.IFS(orders[[#This Row],[Customer Gender]]="M","Male", orders[[#This Row],[Customer Gender]]="F","Female", orders[[#This Row],[Customer Gender]]="O","Other", TRUE,"Unknown")</f>
        <v>Male</v>
      </c>
    </row>
    <row r="2188" spans="1:15">
      <c r="A2188" s="1" t="s">
        <v>2289</v>
      </c>
      <c r="B2188" s="1" t="s">
        <v>67</v>
      </c>
      <c r="C2188" s="1">
        <v>2</v>
      </c>
      <c r="D2188" s="1">
        <v>51.2</v>
      </c>
      <c r="E2188" s="11">
        <v>102.4</v>
      </c>
      <c r="F2188" s="3">
        <v>45737</v>
      </c>
      <c r="G2188" s="3">
        <v>45738</v>
      </c>
      <c r="H2188" s="1" t="s">
        <v>27</v>
      </c>
      <c r="I2188" s="1" t="s">
        <v>35</v>
      </c>
      <c r="J2188" s="1">
        <v>5</v>
      </c>
      <c r="K2188" s="1" t="s">
        <v>19</v>
      </c>
      <c r="L2188" s="1" t="s">
        <v>33</v>
      </c>
      <c r="M2188" s="1">
        <f>orders[[#This Row],[Ship Date]]-orders[[#This Row],[Order Date]]</f>
        <v>1</v>
      </c>
      <c r="N2188" s="1">
        <f>WEEKNUM(orders[[#This Row],[Order Date]])</f>
        <v>12</v>
      </c>
      <c r="O2188" s="1" t="str" cm="1">
        <f t="array" ref="O2188">_xlfn.IFS(orders[[#This Row],[Customer Gender]]="M","Male", orders[[#This Row],[Customer Gender]]="F","Female", orders[[#This Row],[Customer Gender]]="O","Other", TRUE,"Unknown")</f>
        <v>Female</v>
      </c>
    </row>
    <row r="2189" spans="1:15">
      <c r="A2189" s="1" t="s">
        <v>2290</v>
      </c>
      <c r="B2189" s="1" t="s">
        <v>42</v>
      </c>
      <c r="C2189" s="1">
        <v>6</v>
      </c>
      <c r="D2189" s="1">
        <v>90.5</v>
      </c>
      <c r="E2189" s="11">
        <v>543</v>
      </c>
      <c r="F2189" s="3">
        <v>45737</v>
      </c>
      <c r="G2189" s="3">
        <v>45738</v>
      </c>
      <c r="H2189" s="1" t="s">
        <v>27</v>
      </c>
      <c r="I2189" s="1" t="s">
        <v>35</v>
      </c>
      <c r="J2189" s="1">
        <v>2</v>
      </c>
      <c r="K2189" s="1" t="s">
        <v>19</v>
      </c>
      <c r="L2189" s="1" t="s">
        <v>33</v>
      </c>
      <c r="M2189" s="1">
        <f>orders[[#This Row],[Ship Date]]-orders[[#This Row],[Order Date]]</f>
        <v>1</v>
      </c>
      <c r="N2189" s="1">
        <f>WEEKNUM(orders[[#This Row],[Order Date]])</f>
        <v>12</v>
      </c>
      <c r="O2189" s="1" t="str" cm="1">
        <f t="array" ref="O2189">_xlfn.IFS(orders[[#This Row],[Customer Gender]]="M","Male", orders[[#This Row],[Customer Gender]]="F","Female", orders[[#This Row],[Customer Gender]]="O","Other", TRUE,"Unknown")</f>
        <v>Female</v>
      </c>
    </row>
    <row r="2190" spans="1:15">
      <c r="A2190" s="1" t="s">
        <v>2291</v>
      </c>
      <c r="B2190" s="1" t="s">
        <v>22</v>
      </c>
      <c r="C2190" s="1">
        <v>2</v>
      </c>
      <c r="D2190" s="1">
        <v>42.4</v>
      </c>
      <c r="E2190" s="11">
        <v>84.8</v>
      </c>
      <c r="F2190" s="3">
        <v>45737</v>
      </c>
      <c r="G2190" s="3">
        <v>45738</v>
      </c>
      <c r="H2190" s="1" t="s">
        <v>23</v>
      </c>
      <c r="I2190" s="1" t="s">
        <v>35</v>
      </c>
      <c r="J2190" s="1">
        <v>5</v>
      </c>
      <c r="K2190" s="1" t="s">
        <v>19</v>
      </c>
      <c r="L2190" s="1" t="s">
        <v>49</v>
      </c>
      <c r="M2190" s="1">
        <f>orders[[#This Row],[Ship Date]]-orders[[#This Row],[Order Date]]</f>
        <v>1</v>
      </c>
      <c r="N2190" s="1">
        <f>WEEKNUM(orders[[#This Row],[Order Date]])</f>
        <v>12</v>
      </c>
      <c r="O2190" s="1" t="str" cm="1">
        <f t="array" ref="O2190">_xlfn.IFS(orders[[#This Row],[Customer Gender]]="M","Male", orders[[#This Row],[Customer Gender]]="F","Female", orders[[#This Row],[Customer Gender]]="O","Other", TRUE,"Unknown")</f>
        <v>Male</v>
      </c>
    </row>
    <row r="2191" spans="1:15">
      <c r="A2191" s="1" t="s">
        <v>2292</v>
      </c>
      <c r="B2191" s="1" t="s">
        <v>22</v>
      </c>
      <c r="C2191" s="1">
        <v>2</v>
      </c>
      <c r="D2191" s="1">
        <v>38.200000000000003</v>
      </c>
      <c r="E2191" s="11">
        <v>76.400000000000006</v>
      </c>
      <c r="F2191" s="3">
        <v>45737</v>
      </c>
      <c r="G2191" s="3">
        <v>45738</v>
      </c>
      <c r="H2191" s="1" t="s">
        <v>23</v>
      </c>
      <c r="I2191" s="1" t="s">
        <v>18</v>
      </c>
      <c r="J2191" s="1">
        <v>4</v>
      </c>
      <c r="K2191" s="1" t="s">
        <v>19</v>
      </c>
      <c r="L2191" s="1" t="s">
        <v>52</v>
      </c>
      <c r="M2191" s="1">
        <f>orders[[#This Row],[Ship Date]]-orders[[#This Row],[Order Date]]</f>
        <v>1</v>
      </c>
      <c r="N2191" s="1">
        <f>WEEKNUM(orders[[#This Row],[Order Date]])</f>
        <v>12</v>
      </c>
      <c r="O2191" s="1" t="str" cm="1">
        <f t="array" ref="O2191">_xlfn.IFS(orders[[#This Row],[Customer Gender]]="M","Male", orders[[#This Row],[Customer Gender]]="F","Female", orders[[#This Row],[Customer Gender]]="O","Other", TRUE,"Unknown")</f>
        <v>Male</v>
      </c>
    </row>
    <row r="2192" spans="1:15">
      <c r="A2192" s="1" t="s">
        <v>2293</v>
      </c>
      <c r="B2192" s="1" t="s">
        <v>26</v>
      </c>
      <c r="C2192" s="1">
        <v>9</v>
      </c>
      <c r="D2192" s="1">
        <v>121.3</v>
      </c>
      <c r="E2192" s="11">
        <v>1091.7</v>
      </c>
      <c r="F2192" s="3">
        <v>45737</v>
      </c>
      <c r="G2192" s="3">
        <v>45742</v>
      </c>
      <c r="H2192" s="1" t="s">
        <v>23</v>
      </c>
      <c r="I2192" s="1" t="s">
        <v>18</v>
      </c>
      <c r="J2192" s="1">
        <v>4</v>
      </c>
      <c r="K2192" s="1" t="s">
        <v>19</v>
      </c>
      <c r="L2192" s="1" t="s">
        <v>55</v>
      </c>
      <c r="M2192" s="1">
        <f>orders[[#This Row],[Ship Date]]-orders[[#This Row],[Order Date]]</f>
        <v>5</v>
      </c>
      <c r="N2192" s="1">
        <f>WEEKNUM(orders[[#This Row],[Order Date]])</f>
        <v>12</v>
      </c>
      <c r="O2192" s="1" t="str" cm="1">
        <f t="array" ref="O2192">_xlfn.IFS(orders[[#This Row],[Customer Gender]]="M","Male", orders[[#This Row],[Customer Gender]]="F","Female", orders[[#This Row],[Customer Gender]]="O","Other", TRUE,"Unknown")</f>
        <v>Male</v>
      </c>
    </row>
    <row r="2193" spans="1:15">
      <c r="A2193" s="1" t="s">
        <v>2294</v>
      </c>
      <c r="B2193" s="1" t="s">
        <v>39</v>
      </c>
      <c r="C2193" s="1">
        <v>2</v>
      </c>
      <c r="D2193" s="1">
        <v>46.9</v>
      </c>
      <c r="E2193" s="11">
        <v>93.8</v>
      </c>
      <c r="F2193" s="3">
        <v>45737</v>
      </c>
      <c r="G2193" s="3">
        <v>45744</v>
      </c>
      <c r="H2193" s="1" t="s">
        <v>23</v>
      </c>
      <c r="I2193" s="1" t="s">
        <v>18</v>
      </c>
      <c r="J2193" s="1">
        <v>4</v>
      </c>
      <c r="K2193" s="1" t="s">
        <v>19</v>
      </c>
      <c r="L2193" s="1" t="s">
        <v>62</v>
      </c>
      <c r="M2193" s="1">
        <f>orders[[#This Row],[Ship Date]]-orders[[#This Row],[Order Date]]</f>
        <v>7</v>
      </c>
      <c r="N2193" s="1">
        <f>WEEKNUM(orders[[#This Row],[Order Date]])</f>
        <v>12</v>
      </c>
      <c r="O2193" s="1" t="str" cm="1">
        <f t="array" ref="O2193">_xlfn.IFS(orders[[#This Row],[Customer Gender]]="M","Male", orders[[#This Row],[Customer Gender]]="F","Female", orders[[#This Row],[Customer Gender]]="O","Other", TRUE,"Unknown")</f>
        <v>Male</v>
      </c>
    </row>
    <row r="2194" spans="1:15">
      <c r="A2194" s="1" t="s">
        <v>2295</v>
      </c>
      <c r="B2194" s="1" t="s">
        <v>54</v>
      </c>
      <c r="C2194" s="1">
        <v>1</v>
      </c>
      <c r="D2194" s="1">
        <v>55.3</v>
      </c>
      <c r="E2194" s="11">
        <v>55.3</v>
      </c>
      <c r="F2194" s="3">
        <v>45737</v>
      </c>
      <c r="G2194" s="3">
        <v>45739</v>
      </c>
      <c r="H2194" s="1" t="s">
        <v>23</v>
      </c>
      <c r="I2194" s="1" t="s">
        <v>18</v>
      </c>
      <c r="J2194" s="1">
        <v>4</v>
      </c>
      <c r="K2194" s="1" t="s">
        <v>19</v>
      </c>
      <c r="L2194" s="1" t="s">
        <v>62</v>
      </c>
      <c r="M2194" s="1">
        <f>orders[[#This Row],[Ship Date]]-orders[[#This Row],[Order Date]]</f>
        <v>2</v>
      </c>
      <c r="N2194" s="1">
        <f>WEEKNUM(orders[[#This Row],[Order Date]])</f>
        <v>12</v>
      </c>
      <c r="O2194" s="1" t="str" cm="1">
        <f t="array" ref="O2194">_xlfn.IFS(orders[[#This Row],[Customer Gender]]="M","Male", orders[[#This Row],[Customer Gender]]="F","Female", orders[[#This Row],[Customer Gender]]="O","Other", TRUE,"Unknown")</f>
        <v>Male</v>
      </c>
    </row>
    <row r="2195" spans="1:15">
      <c r="A2195" s="1" t="s">
        <v>2296</v>
      </c>
      <c r="B2195" s="1" t="s">
        <v>26</v>
      </c>
      <c r="C2195" s="1">
        <v>3</v>
      </c>
      <c r="D2195" s="1">
        <v>70.599999999999994</v>
      </c>
      <c r="E2195" s="11">
        <v>211.79999999999998</v>
      </c>
      <c r="F2195" s="3">
        <v>45738</v>
      </c>
      <c r="G2195" s="3">
        <v>45738</v>
      </c>
      <c r="H2195" s="1" t="s">
        <v>27</v>
      </c>
      <c r="I2195" s="1" t="s">
        <v>18</v>
      </c>
      <c r="J2195" s="1">
        <v>3</v>
      </c>
      <c r="K2195" s="1" t="s">
        <v>19</v>
      </c>
      <c r="L2195" s="1" t="s">
        <v>62</v>
      </c>
      <c r="M2195" s="1">
        <f>orders[[#This Row],[Ship Date]]-orders[[#This Row],[Order Date]]</f>
        <v>0</v>
      </c>
      <c r="N2195" s="1">
        <f>WEEKNUM(orders[[#This Row],[Order Date]])</f>
        <v>12</v>
      </c>
      <c r="O2195" s="1" t="str" cm="1">
        <f t="array" ref="O2195">_xlfn.IFS(orders[[#This Row],[Customer Gender]]="M","Male", orders[[#This Row],[Customer Gender]]="F","Female", orders[[#This Row],[Customer Gender]]="O","Other", TRUE,"Unknown")</f>
        <v>Female</v>
      </c>
    </row>
    <row r="2196" spans="1:15">
      <c r="A2196" s="1" t="s">
        <v>2297</v>
      </c>
      <c r="B2196" s="1" t="s">
        <v>81</v>
      </c>
      <c r="C2196" s="1">
        <v>4</v>
      </c>
      <c r="D2196" s="1">
        <v>26.1</v>
      </c>
      <c r="E2196" s="11">
        <v>104.4</v>
      </c>
      <c r="F2196" s="3">
        <v>45738</v>
      </c>
      <c r="G2196" s="3">
        <v>45740</v>
      </c>
      <c r="H2196" s="1" t="s">
        <v>23</v>
      </c>
      <c r="I2196" s="1" t="s">
        <v>18</v>
      </c>
      <c r="J2196" s="1">
        <v>4</v>
      </c>
      <c r="K2196" s="1" t="s">
        <v>19</v>
      </c>
      <c r="L2196" s="1" t="s">
        <v>62</v>
      </c>
      <c r="M2196" s="1">
        <f>orders[[#This Row],[Ship Date]]-orders[[#This Row],[Order Date]]</f>
        <v>2</v>
      </c>
      <c r="N2196" s="1">
        <f>WEEKNUM(orders[[#This Row],[Order Date]])</f>
        <v>12</v>
      </c>
      <c r="O2196" s="1" t="str" cm="1">
        <f t="array" ref="O2196">_xlfn.IFS(orders[[#This Row],[Customer Gender]]="M","Male", orders[[#This Row],[Customer Gender]]="F","Female", orders[[#This Row],[Customer Gender]]="O","Other", TRUE,"Unknown")</f>
        <v>Male</v>
      </c>
    </row>
    <row r="2197" spans="1:15">
      <c r="A2197" s="1" t="s">
        <v>2298</v>
      </c>
      <c r="B2197" s="1" t="s">
        <v>46</v>
      </c>
      <c r="C2197" s="1">
        <v>11</v>
      </c>
      <c r="D2197" s="1">
        <v>34.5</v>
      </c>
      <c r="E2197" s="11">
        <v>379.5</v>
      </c>
      <c r="F2197" s="3">
        <v>45738</v>
      </c>
      <c r="G2197" s="3">
        <v>45742</v>
      </c>
      <c r="H2197" s="1" t="s">
        <v>23</v>
      </c>
      <c r="I2197" s="1" t="s">
        <v>40</v>
      </c>
      <c r="J2197" s="1">
        <v>4</v>
      </c>
      <c r="K2197" s="1" t="s">
        <v>19</v>
      </c>
      <c r="L2197" s="1" t="s">
        <v>103</v>
      </c>
      <c r="M2197" s="1">
        <f>orders[[#This Row],[Ship Date]]-orders[[#This Row],[Order Date]]</f>
        <v>4</v>
      </c>
      <c r="N2197" s="1">
        <f>WEEKNUM(orders[[#This Row],[Order Date]])</f>
        <v>12</v>
      </c>
      <c r="O2197" s="1" t="str" cm="1">
        <f t="array" ref="O2197">_xlfn.IFS(orders[[#This Row],[Customer Gender]]="M","Male", orders[[#This Row],[Customer Gender]]="F","Female", orders[[#This Row],[Customer Gender]]="O","Other", TRUE,"Unknown")</f>
        <v>Male</v>
      </c>
    </row>
    <row r="2198" spans="1:15">
      <c r="A2198" s="1" t="s">
        <v>2299</v>
      </c>
      <c r="B2198" s="1" t="s">
        <v>22</v>
      </c>
      <c r="C2198" s="1">
        <v>2</v>
      </c>
      <c r="D2198" s="1">
        <v>64.2</v>
      </c>
      <c r="E2198" s="11">
        <v>128.4</v>
      </c>
      <c r="F2198" s="3">
        <v>45738</v>
      </c>
      <c r="G2198" s="3">
        <v>45739</v>
      </c>
      <c r="H2198" s="1" t="s">
        <v>27</v>
      </c>
      <c r="I2198" s="1" t="s">
        <v>18</v>
      </c>
      <c r="J2198" s="1">
        <v>3</v>
      </c>
      <c r="K2198" s="1" t="s">
        <v>19</v>
      </c>
      <c r="L2198" s="1" t="s">
        <v>103</v>
      </c>
      <c r="M2198" s="1">
        <f>orders[[#This Row],[Ship Date]]-orders[[#This Row],[Order Date]]</f>
        <v>1</v>
      </c>
      <c r="N2198" s="1">
        <f>WEEKNUM(orders[[#This Row],[Order Date]])</f>
        <v>12</v>
      </c>
      <c r="O2198" s="1" t="str" cm="1">
        <f t="array" ref="O2198">_xlfn.IFS(orders[[#This Row],[Customer Gender]]="M","Male", orders[[#This Row],[Customer Gender]]="F","Female", orders[[#This Row],[Customer Gender]]="O","Other", TRUE,"Unknown")</f>
        <v>Female</v>
      </c>
    </row>
    <row r="2199" spans="1:15">
      <c r="A2199" s="1" t="s">
        <v>2300</v>
      </c>
      <c r="B2199" s="1" t="s">
        <v>26</v>
      </c>
      <c r="C2199" s="1">
        <v>4</v>
      </c>
      <c r="D2199" s="1">
        <v>145.69999999999999</v>
      </c>
      <c r="E2199" s="11">
        <v>582.79999999999995</v>
      </c>
      <c r="F2199" s="3">
        <v>45738</v>
      </c>
      <c r="G2199" s="3">
        <v>45739</v>
      </c>
      <c r="H2199" s="1" t="s">
        <v>27</v>
      </c>
      <c r="I2199" s="1" t="s">
        <v>18</v>
      </c>
      <c r="J2199" s="1">
        <v>2</v>
      </c>
      <c r="K2199" s="1" t="s">
        <v>19</v>
      </c>
      <c r="L2199" s="1" t="s">
        <v>103</v>
      </c>
      <c r="M2199" s="1">
        <f>orders[[#This Row],[Ship Date]]-orders[[#This Row],[Order Date]]</f>
        <v>1</v>
      </c>
      <c r="N2199" s="1">
        <f>WEEKNUM(orders[[#This Row],[Order Date]])</f>
        <v>12</v>
      </c>
      <c r="O2199" s="1" t="str" cm="1">
        <f t="array" ref="O2199">_xlfn.IFS(orders[[#This Row],[Customer Gender]]="M","Male", orders[[#This Row],[Customer Gender]]="F","Female", orders[[#This Row],[Customer Gender]]="O","Other", TRUE,"Unknown")</f>
        <v>Female</v>
      </c>
    </row>
    <row r="2200" spans="1:15">
      <c r="A2200" s="1" t="s">
        <v>2301</v>
      </c>
      <c r="B2200" s="1" t="s">
        <v>69</v>
      </c>
      <c r="C2200" s="1">
        <v>2</v>
      </c>
      <c r="D2200" s="1">
        <v>78.5</v>
      </c>
      <c r="E2200" s="11">
        <v>157</v>
      </c>
      <c r="F2200" s="3">
        <v>45738</v>
      </c>
      <c r="G2200" s="3">
        <v>45739</v>
      </c>
      <c r="H2200" s="1" t="s">
        <v>23</v>
      </c>
      <c r="I2200" s="1" t="s">
        <v>40</v>
      </c>
      <c r="J2200" s="1">
        <v>4</v>
      </c>
      <c r="K2200" s="1" t="s">
        <v>19</v>
      </c>
      <c r="L2200" s="1" t="s">
        <v>201</v>
      </c>
      <c r="M2200" s="1">
        <f>orders[[#This Row],[Ship Date]]-orders[[#This Row],[Order Date]]</f>
        <v>1</v>
      </c>
      <c r="N2200" s="1">
        <f>WEEKNUM(orders[[#This Row],[Order Date]])</f>
        <v>12</v>
      </c>
      <c r="O2200" s="1" t="str" cm="1">
        <f t="array" ref="O2200">_xlfn.IFS(orders[[#This Row],[Customer Gender]]="M","Male", orders[[#This Row],[Customer Gender]]="F","Female", orders[[#This Row],[Customer Gender]]="O","Other", TRUE,"Unknown")</f>
        <v>Male</v>
      </c>
    </row>
    <row r="2201" spans="1:15">
      <c r="A2201" s="1" t="s">
        <v>2302</v>
      </c>
      <c r="B2201" s="1" t="s">
        <v>22</v>
      </c>
      <c r="C2201" s="1">
        <v>1</v>
      </c>
      <c r="D2201" s="1">
        <v>34.200000000000003</v>
      </c>
      <c r="E2201" s="11">
        <v>34.200000000000003</v>
      </c>
      <c r="F2201" s="3">
        <v>45738</v>
      </c>
      <c r="G2201" s="3">
        <v>45740</v>
      </c>
      <c r="H2201" s="1" t="s">
        <v>23</v>
      </c>
      <c r="I2201" s="1" t="s">
        <v>18</v>
      </c>
      <c r="J2201" s="1">
        <v>4</v>
      </c>
      <c r="K2201" s="1" t="s">
        <v>19</v>
      </c>
      <c r="L2201" s="1" t="s">
        <v>72</v>
      </c>
      <c r="M2201" s="1">
        <f>orders[[#This Row],[Ship Date]]-orders[[#This Row],[Order Date]]</f>
        <v>2</v>
      </c>
      <c r="N2201" s="1">
        <f>WEEKNUM(orders[[#This Row],[Order Date]])</f>
        <v>12</v>
      </c>
      <c r="O2201" s="1" t="str" cm="1">
        <f t="array" ref="O2201">_xlfn.IFS(orders[[#This Row],[Customer Gender]]="M","Male", orders[[#This Row],[Customer Gender]]="F","Female", orders[[#This Row],[Customer Gender]]="O","Other", TRUE,"Unknown")</f>
        <v>Male</v>
      </c>
    </row>
    <row r="2202" spans="1:15">
      <c r="A2202" s="1" t="s">
        <v>2303</v>
      </c>
      <c r="B2202" s="1" t="s">
        <v>171</v>
      </c>
      <c r="C2202" s="1">
        <v>1</v>
      </c>
      <c r="D2202" s="1">
        <v>26.2</v>
      </c>
      <c r="E2202" s="11">
        <v>26.2</v>
      </c>
      <c r="F2202" s="3">
        <v>45738</v>
      </c>
      <c r="G2202" s="3">
        <v>45739</v>
      </c>
      <c r="H2202" s="1" t="s">
        <v>23</v>
      </c>
      <c r="I2202" s="1" t="s">
        <v>40</v>
      </c>
      <c r="J2202" s="1">
        <v>4</v>
      </c>
      <c r="K2202" s="1" t="s">
        <v>19</v>
      </c>
      <c r="L2202" s="1" t="s">
        <v>72</v>
      </c>
      <c r="M2202" s="1">
        <f>orders[[#This Row],[Ship Date]]-orders[[#This Row],[Order Date]]</f>
        <v>1</v>
      </c>
      <c r="N2202" s="1">
        <f>WEEKNUM(orders[[#This Row],[Order Date]])</f>
        <v>12</v>
      </c>
      <c r="O2202" s="1" t="str" cm="1">
        <f t="array" ref="O2202">_xlfn.IFS(orders[[#This Row],[Customer Gender]]="M","Male", orders[[#This Row],[Customer Gender]]="F","Female", orders[[#This Row],[Customer Gender]]="O","Other", TRUE,"Unknown")</f>
        <v>Male</v>
      </c>
    </row>
    <row r="2203" spans="1:15">
      <c r="A2203" s="1" t="s">
        <v>2304</v>
      </c>
      <c r="B2203" s="1" t="s">
        <v>39</v>
      </c>
      <c r="C2203" s="1">
        <v>4</v>
      </c>
      <c r="D2203" s="1">
        <v>53.2</v>
      </c>
      <c r="E2203" s="11">
        <v>212.8</v>
      </c>
      <c r="F2203" s="3">
        <v>45738</v>
      </c>
      <c r="G2203" s="3">
        <v>45739</v>
      </c>
      <c r="H2203" s="1" t="s">
        <v>23</v>
      </c>
      <c r="I2203" s="1" t="s">
        <v>35</v>
      </c>
      <c r="J2203" s="1">
        <v>3</v>
      </c>
      <c r="K2203" s="1" t="s">
        <v>19</v>
      </c>
      <c r="L2203" s="1" t="s">
        <v>77</v>
      </c>
      <c r="M2203" s="1">
        <f>orders[[#This Row],[Ship Date]]-orders[[#This Row],[Order Date]]</f>
        <v>1</v>
      </c>
      <c r="N2203" s="1">
        <f>WEEKNUM(orders[[#This Row],[Order Date]])</f>
        <v>12</v>
      </c>
      <c r="O2203" s="1" t="str" cm="1">
        <f t="array" ref="O2203">_xlfn.IFS(orders[[#This Row],[Customer Gender]]="M","Male", orders[[#This Row],[Customer Gender]]="F","Female", orders[[#This Row],[Customer Gender]]="O","Other", TRUE,"Unknown")</f>
        <v>Male</v>
      </c>
    </row>
    <row r="2204" spans="1:15">
      <c r="A2204" s="1" t="s">
        <v>2305</v>
      </c>
      <c r="B2204" s="1" t="s">
        <v>22</v>
      </c>
      <c r="C2204" s="1">
        <v>1</v>
      </c>
      <c r="D2204" s="1">
        <v>35.4</v>
      </c>
      <c r="E2204" s="11">
        <v>35.4</v>
      </c>
      <c r="F2204" s="3">
        <v>45738</v>
      </c>
      <c r="G2204" s="3">
        <v>45742</v>
      </c>
      <c r="H2204" s="1" t="s">
        <v>23</v>
      </c>
      <c r="I2204" s="1" t="s">
        <v>35</v>
      </c>
      <c r="J2204" s="1">
        <v>2</v>
      </c>
      <c r="K2204" s="1" t="s">
        <v>19</v>
      </c>
      <c r="L2204" s="1" t="s">
        <v>108</v>
      </c>
      <c r="M2204" s="1">
        <f>orders[[#This Row],[Ship Date]]-orders[[#This Row],[Order Date]]</f>
        <v>4</v>
      </c>
      <c r="N2204" s="1">
        <f>WEEKNUM(orders[[#This Row],[Order Date]])</f>
        <v>12</v>
      </c>
      <c r="O2204" s="1" t="str" cm="1">
        <f t="array" ref="O2204">_xlfn.IFS(orders[[#This Row],[Customer Gender]]="M","Male", orders[[#This Row],[Customer Gender]]="F","Female", orders[[#This Row],[Customer Gender]]="O","Other", TRUE,"Unknown")</f>
        <v>Male</v>
      </c>
    </row>
    <row r="2205" spans="1:15">
      <c r="A2205" s="1" t="s">
        <v>2306</v>
      </c>
      <c r="B2205" s="1" t="s">
        <v>81</v>
      </c>
      <c r="C2205" s="1">
        <v>2</v>
      </c>
      <c r="D2205" s="1">
        <v>21.3</v>
      </c>
      <c r="E2205" s="11">
        <v>42.6</v>
      </c>
      <c r="F2205" s="3">
        <v>45738</v>
      </c>
      <c r="G2205" s="3">
        <v>45739</v>
      </c>
      <c r="H2205" s="1" t="s">
        <v>23</v>
      </c>
      <c r="I2205" s="1" t="s">
        <v>40</v>
      </c>
      <c r="J2205" s="1">
        <v>4</v>
      </c>
      <c r="K2205" s="1" t="s">
        <v>19</v>
      </c>
      <c r="L2205" s="1" t="s">
        <v>113</v>
      </c>
      <c r="M2205" s="1">
        <f>orders[[#This Row],[Ship Date]]-orders[[#This Row],[Order Date]]</f>
        <v>1</v>
      </c>
      <c r="N2205" s="1">
        <f>WEEKNUM(orders[[#This Row],[Order Date]])</f>
        <v>12</v>
      </c>
      <c r="O2205" s="1" t="str" cm="1">
        <f t="array" ref="O2205">_xlfn.IFS(orders[[#This Row],[Customer Gender]]="M","Male", orders[[#This Row],[Customer Gender]]="F","Female", orders[[#This Row],[Customer Gender]]="O","Other", TRUE,"Unknown")</f>
        <v>Male</v>
      </c>
    </row>
    <row r="2206" spans="1:15">
      <c r="A2206" s="1" t="s">
        <v>2307</v>
      </c>
      <c r="B2206" s="1" t="s">
        <v>44</v>
      </c>
      <c r="C2206" s="1">
        <v>4</v>
      </c>
      <c r="D2206" s="1">
        <v>32.9</v>
      </c>
      <c r="E2206" s="11">
        <v>131.6</v>
      </c>
      <c r="F2206" s="3">
        <v>45738</v>
      </c>
      <c r="G2206" s="3">
        <v>45741</v>
      </c>
      <c r="H2206" s="1" t="s">
        <v>27</v>
      </c>
      <c r="I2206" s="1" t="s">
        <v>70</v>
      </c>
      <c r="J2206" s="1">
        <v>5</v>
      </c>
      <c r="K2206" s="1" t="s">
        <v>19</v>
      </c>
      <c r="L2206" s="1" t="s">
        <v>115</v>
      </c>
      <c r="M2206" s="1">
        <f>orders[[#This Row],[Ship Date]]-orders[[#This Row],[Order Date]]</f>
        <v>3</v>
      </c>
      <c r="N2206" s="1">
        <f>WEEKNUM(orders[[#This Row],[Order Date]])</f>
        <v>12</v>
      </c>
      <c r="O2206" s="1" t="str" cm="1">
        <f t="array" ref="O2206">_xlfn.IFS(orders[[#This Row],[Customer Gender]]="M","Male", orders[[#This Row],[Customer Gender]]="F","Female", orders[[#This Row],[Customer Gender]]="O","Other", TRUE,"Unknown")</f>
        <v>Female</v>
      </c>
    </row>
    <row r="2207" spans="1:15">
      <c r="A2207" s="1" t="s">
        <v>2308</v>
      </c>
      <c r="B2207" s="1" t="s">
        <v>37</v>
      </c>
      <c r="C2207" s="1">
        <v>15</v>
      </c>
      <c r="D2207" s="1">
        <v>85.5</v>
      </c>
      <c r="E2207" s="11">
        <v>1282.5</v>
      </c>
      <c r="F2207" s="3">
        <v>45738</v>
      </c>
      <c r="G2207" s="3">
        <v>45740</v>
      </c>
      <c r="H2207" s="1" t="s">
        <v>27</v>
      </c>
      <c r="I2207" s="1" t="s">
        <v>51</v>
      </c>
      <c r="J2207" s="1">
        <v>3</v>
      </c>
      <c r="K2207" s="1" t="s">
        <v>19</v>
      </c>
      <c r="L2207" s="1" t="s">
        <v>115</v>
      </c>
      <c r="M2207" s="1">
        <f>orders[[#This Row],[Ship Date]]-orders[[#This Row],[Order Date]]</f>
        <v>2</v>
      </c>
      <c r="N2207" s="1">
        <f>WEEKNUM(orders[[#This Row],[Order Date]])</f>
        <v>12</v>
      </c>
      <c r="O2207" s="1" t="str" cm="1">
        <f t="array" ref="O2207">_xlfn.IFS(orders[[#This Row],[Customer Gender]]="M","Male", orders[[#This Row],[Customer Gender]]="F","Female", orders[[#This Row],[Customer Gender]]="O","Other", TRUE,"Unknown")</f>
        <v>Female</v>
      </c>
    </row>
    <row r="2208" spans="1:15">
      <c r="A2208" s="1" t="s">
        <v>2309</v>
      </c>
      <c r="B2208" s="1" t="s">
        <v>32</v>
      </c>
      <c r="C2208" s="1">
        <v>1</v>
      </c>
      <c r="D2208" s="1">
        <v>26.8</v>
      </c>
      <c r="E2208" s="11">
        <v>26.8</v>
      </c>
      <c r="F2208" s="3">
        <v>45738</v>
      </c>
      <c r="G2208" s="3">
        <v>45739</v>
      </c>
      <c r="H2208" s="1" t="s">
        <v>27</v>
      </c>
      <c r="I2208" s="1" t="s">
        <v>18</v>
      </c>
      <c r="J2208" s="1">
        <v>3</v>
      </c>
      <c r="K2208" s="1" t="s">
        <v>19</v>
      </c>
      <c r="L2208" s="1" t="s">
        <v>28</v>
      </c>
      <c r="M2208" s="1">
        <f>orders[[#This Row],[Ship Date]]-orders[[#This Row],[Order Date]]</f>
        <v>1</v>
      </c>
      <c r="N2208" s="1">
        <f>WEEKNUM(orders[[#This Row],[Order Date]])</f>
        <v>12</v>
      </c>
      <c r="O2208" s="1" t="str" cm="1">
        <f t="array" ref="O2208">_xlfn.IFS(orders[[#This Row],[Customer Gender]]="M","Male", orders[[#This Row],[Customer Gender]]="F","Female", orders[[#This Row],[Customer Gender]]="O","Other", TRUE,"Unknown")</f>
        <v>Female</v>
      </c>
    </row>
    <row r="2209" spans="1:15">
      <c r="A2209" s="1" t="s">
        <v>2310</v>
      </c>
      <c r="B2209" s="1" t="s">
        <v>46</v>
      </c>
      <c r="C2209" s="1">
        <v>26</v>
      </c>
      <c r="D2209" s="1">
        <v>31.7</v>
      </c>
      <c r="E2209" s="11">
        <v>824.19999999999993</v>
      </c>
      <c r="F2209" s="3">
        <v>45738</v>
      </c>
      <c r="G2209" s="3">
        <v>45738</v>
      </c>
      <c r="H2209" s="1" t="s">
        <v>27</v>
      </c>
      <c r="I2209" s="1" t="s">
        <v>51</v>
      </c>
      <c r="J2209" s="1">
        <v>4</v>
      </c>
      <c r="K2209" s="1" t="s">
        <v>19</v>
      </c>
      <c r="L2209" s="1" t="s">
        <v>28</v>
      </c>
      <c r="M2209" s="1">
        <f>orders[[#This Row],[Ship Date]]-orders[[#This Row],[Order Date]]</f>
        <v>0</v>
      </c>
      <c r="N2209" s="1">
        <f>WEEKNUM(orders[[#This Row],[Order Date]])</f>
        <v>12</v>
      </c>
      <c r="O2209" s="1" t="str" cm="1">
        <f t="array" ref="O2209">_xlfn.IFS(orders[[#This Row],[Customer Gender]]="M","Male", orders[[#This Row],[Customer Gender]]="F","Female", orders[[#This Row],[Customer Gender]]="O","Other", TRUE,"Unknown")</f>
        <v>Female</v>
      </c>
    </row>
    <row r="2210" spans="1:15">
      <c r="A2210" s="1" t="s">
        <v>2311</v>
      </c>
      <c r="B2210" s="1" t="s">
        <v>22</v>
      </c>
      <c r="C2210" s="1">
        <v>2</v>
      </c>
      <c r="D2210" s="1">
        <v>78.3</v>
      </c>
      <c r="E2210" s="11">
        <v>156.6</v>
      </c>
      <c r="F2210" s="3">
        <v>45738</v>
      </c>
      <c r="G2210" s="3">
        <v>45740</v>
      </c>
      <c r="H2210" s="1" t="s">
        <v>27</v>
      </c>
      <c r="I2210" s="1" t="s">
        <v>35</v>
      </c>
      <c r="J2210" s="1">
        <v>3</v>
      </c>
      <c r="K2210" s="1" t="s">
        <v>19</v>
      </c>
      <c r="L2210" s="1" t="s">
        <v>33</v>
      </c>
      <c r="M2210" s="1">
        <f>orders[[#This Row],[Ship Date]]-orders[[#This Row],[Order Date]]</f>
        <v>2</v>
      </c>
      <c r="N2210" s="1">
        <f>WEEKNUM(orders[[#This Row],[Order Date]])</f>
        <v>12</v>
      </c>
      <c r="O2210" s="1" t="str" cm="1">
        <f t="array" ref="O2210">_xlfn.IFS(orders[[#This Row],[Customer Gender]]="M","Male", orders[[#This Row],[Customer Gender]]="F","Female", orders[[#This Row],[Customer Gender]]="O","Other", TRUE,"Unknown")</f>
        <v>Female</v>
      </c>
    </row>
    <row r="2211" spans="1:15">
      <c r="A2211" s="1" t="s">
        <v>2312</v>
      </c>
      <c r="B2211" s="1" t="s">
        <v>39</v>
      </c>
      <c r="C2211" s="1">
        <v>1</v>
      </c>
      <c r="D2211" s="1">
        <v>43.9</v>
      </c>
      <c r="E2211" s="11">
        <v>43.9</v>
      </c>
      <c r="F2211" s="3">
        <v>45738</v>
      </c>
      <c r="G2211" s="3">
        <v>45739</v>
      </c>
      <c r="H2211" s="1" t="s">
        <v>23</v>
      </c>
      <c r="I2211" s="1" t="s">
        <v>18</v>
      </c>
      <c r="J2211" s="1">
        <v>4</v>
      </c>
      <c r="K2211" s="1" t="s">
        <v>19</v>
      </c>
      <c r="L2211" s="1" t="s">
        <v>33</v>
      </c>
      <c r="M2211" s="1">
        <f>orders[[#This Row],[Ship Date]]-orders[[#This Row],[Order Date]]</f>
        <v>1</v>
      </c>
      <c r="N2211" s="1">
        <f>WEEKNUM(orders[[#This Row],[Order Date]])</f>
        <v>12</v>
      </c>
      <c r="O2211" s="1" t="str" cm="1">
        <f t="array" ref="O2211">_xlfn.IFS(orders[[#This Row],[Customer Gender]]="M","Male", orders[[#This Row],[Customer Gender]]="F","Female", orders[[#This Row],[Customer Gender]]="O","Other", TRUE,"Unknown")</f>
        <v>Male</v>
      </c>
    </row>
    <row r="2212" spans="1:15">
      <c r="A2212" s="1" t="s">
        <v>2313</v>
      </c>
      <c r="B2212" s="1" t="s">
        <v>146</v>
      </c>
      <c r="C2212" s="1">
        <v>3</v>
      </c>
      <c r="D2212" s="1">
        <v>84</v>
      </c>
      <c r="E2212" s="11">
        <v>252</v>
      </c>
      <c r="F2212" s="3">
        <v>45738</v>
      </c>
      <c r="G2212" s="3">
        <v>45740</v>
      </c>
      <c r="H2212" s="1" t="s">
        <v>17</v>
      </c>
      <c r="I2212" s="1" t="s">
        <v>51</v>
      </c>
      <c r="J2212" s="1">
        <v>5</v>
      </c>
      <c r="K2212" s="1" t="s">
        <v>19</v>
      </c>
      <c r="L2212" s="1" t="s">
        <v>33</v>
      </c>
      <c r="M2212" s="1">
        <f>orders[[#This Row],[Ship Date]]-orders[[#This Row],[Order Date]]</f>
        <v>2</v>
      </c>
      <c r="N2212" s="1">
        <f>WEEKNUM(orders[[#This Row],[Order Date]])</f>
        <v>12</v>
      </c>
      <c r="O2212" s="1" t="str" cm="1">
        <f t="array" ref="O2212">_xlfn.IFS(orders[[#This Row],[Customer Gender]]="M","Male", orders[[#This Row],[Customer Gender]]="F","Female", orders[[#This Row],[Customer Gender]]="O","Other", TRUE,"Unknown")</f>
        <v>Unknown</v>
      </c>
    </row>
    <row r="2213" spans="1:15">
      <c r="A2213" s="1" t="s">
        <v>2314</v>
      </c>
      <c r="B2213" s="1" t="s">
        <v>16</v>
      </c>
      <c r="C2213" s="1">
        <v>3</v>
      </c>
      <c r="D2213" s="1">
        <v>11.4</v>
      </c>
      <c r="E2213" s="11">
        <v>34.200000000000003</v>
      </c>
      <c r="F2213" s="3">
        <v>45738</v>
      </c>
      <c r="G2213" s="3">
        <v>45739</v>
      </c>
      <c r="H2213" s="1" t="s">
        <v>23</v>
      </c>
      <c r="I2213" s="1" t="s">
        <v>70</v>
      </c>
      <c r="J2213" s="1">
        <v>4</v>
      </c>
      <c r="K2213" s="1" t="s">
        <v>19</v>
      </c>
      <c r="L2213" s="1" t="s">
        <v>33</v>
      </c>
      <c r="M2213" s="1">
        <f>orders[[#This Row],[Ship Date]]-orders[[#This Row],[Order Date]]</f>
        <v>1</v>
      </c>
      <c r="N2213" s="1">
        <f>WEEKNUM(orders[[#This Row],[Order Date]])</f>
        <v>12</v>
      </c>
      <c r="O2213" s="1" t="str" cm="1">
        <f t="array" ref="O2213">_xlfn.IFS(orders[[#This Row],[Customer Gender]]="M","Male", orders[[#This Row],[Customer Gender]]="F","Female", orders[[#This Row],[Customer Gender]]="O","Other", TRUE,"Unknown")</f>
        <v>Male</v>
      </c>
    </row>
    <row r="2214" spans="1:15">
      <c r="A2214" s="1" t="s">
        <v>2315</v>
      </c>
      <c r="B2214" s="1" t="s">
        <v>69</v>
      </c>
      <c r="C2214" s="1">
        <v>8</v>
      </c>
      <c r="D2214" s="1">
        <v>47.5</v>
      </c>
      <c r="E2214" s="11">
        <v>380</v>
      </c>
      <c r="F2214" s="3">
        <v>45738</v>
      </c>
      <c r="G2214" s="3">
        <v>45746</v>
      </c>
      <c r="H2214" s="1" t="s">
        <v>27</v>
      </c>
      <c r="I2214" s="1" t="s">
        <v>18</v>
      </c>
      <c r="J2214" s="1">
        <v>4</v>
      </c>
      <c r="K2214" s="1" t="s">
        <v>19</v>
      </c>
      <c r="L2214" s="1" t="s">
        <v>33</v>
      </c>
      <c r="M2214" s="1">
        <f>orders[[#This Row],[Ship Date]]-orders[[#This Row],[Order Date]]</f>
        <v>8</v>
      </c>
      <c r="N2214" s="1">
        <f>WEEKNUM(orders[[#This Row],[Order Date]])</f>
        <v>12</v>
      </c>
      <c r="O2214" s="1" t="str" cm="1">
        <f t="array" ref="O2214">_xlfn.IFS(orders[[#This Row],[Customer Gender]]="M","Male", orders[[#This Row],[Customer Gender]]="F","Female", orders[[#This Row],[Customer Gender]]="O","Other", TRUE,"Unknown")</f>
        <v>Female</v>
      </c>
    </row>
    <row r="2215" spans="1:15">
      <c r="A2215" s="1" t="s">
        <v>2316</v>
      </c>
      <c r="B2215" s="1" t="s">
        <v>46</v>
      </c>
      <c r="C2215" s="1">
        <v>11</v>
      </c>
      <c r="D2215" s="1">
        <v>50.5</v>
      </c>
      <c r="E2215" s="11">
        <v>555.5</v>
      </c>
      <c r="F2215" s="3">
        <v>45738</v>
      </c>
      <c r="G2215" s="3">
        <v>45740</v>
      </c>
      <c r="H2215" s="1" t="s">
        <v>23</v>
      </c>
      <c r="I2215" s="1" t="s">
        <v>40</v>
      </c>
      <c r="J2215" s="1">
        <v>4</v>
      </c>
      <c r="K2215" s="1" t="s">
        <v>19</v>
      </c>
      <c r="L2215" s="1" t="s">
        <v>33</v>
      </c>
      <c r="M2215" s="1">
        <f>orders[[#This Row],[Ship Date]]-orders[[#This Row],[Order Date]]</f>
        <v>2</v>
      </c>
      <c r="N2215" s="1">
        <f>WEEKNUM(orders[[#This Row],[Order Date]])</f>
        <v>12</v>
      </c>
      <c r="O2215" s="1" t="str" cm="1">
        <f t="array" ref="O2215">_xlfn.IFS(orders[[#This Row],[Customer Gender]]="M","Male", orders[[#This Row],[Customer Gender]]="F","Female", orders[[#This Row],[Customer Gender]]="O","Other", TRUE,"Unknown")</f>
        <v>Male</v>
      </c>
    </row>
    <row r="2216" spans="1:15">
      <c r="A2216" s="1" t="s">
        <v>2317</v>
      </c>
      <c r="B2216" s="1" t="s">
        <v>123</v>
      </c>
      <c r="C2216" s="1">
        <v>1</v>
      </c>
      <c r="D2216" s="1">
        <v>36.299999999999997</v>
      </c>
      <c r="E2216" s="11">
        <v>36.299999999999997</v>
      </c>
      <c r="F2216" s="3">
        <v>45738</v>
      </c>
      <c r="G2216" s="3">
        <v>45741</v>
      </c>
      <c r="H2216" s="1" t="s">
        <v>89</v>
      </c>
      <c r="I2216" s="1" t="s">
        <v>18</v>
      </c>
      <c r="J2216" s="1">
        <v>3</v>
      </c>
      <c r="K2216" s="1" t="s">
        <v>19</v>
      </c>
      <c r="L2216" s="1" t="s">
        <v>62</v>
      </c>
      <c r="M2216" s="1">
        <f>orders[[#This Row],[Ship Date]]-orders[[#This Row],[Order Date]]</f>
        <v>3</v>
      </c>
      <c r="N2216" s="1">
        <f>WEEKNUM(orders[[#This Row],[Order Date]])</f>
        <v>12</v>
      </c>
      <c r="O2216" s="1" t="str" cm="1">
        <f t="array" ref="O2216">_xlfn.IFS(orders[[#This Row],[Customer Gender]]="M","Male", orders[[#This Row],[Customer Gender]]="F","Female", orders[[#This Row],[Customer Gender]]="O","Other", TRUE,"Unknown")</f>
        <v>Other</v>
      </c>
    </row>
    <row r="2217" spans="1:15">
      <c r="A2217" s="1" t="s">
        <v>2318</v>
      </c>
      <c r="B2217" s="1" t="s">
        <v>44</v>
      </c>
      <c r="C2217" s="1">
        <v>2</v>
      </c>
      <c r="D2217" s="1">
        <v>35.4</v>
      </c>
      <c r="E2217" s="11">
        <v>70.8</v>
      </c>
      <c r="F2217" s="3">
        <v>45738</v>
      </c>
      <c r="G2217" s="3">
        <v>45739</v>
      </c>
      <c r="H2217" s="1" t="s">
        <v>27</v>
      </c>
      <c r="I2217" s="1" t="s">
        <v>18</v>
      </c>
      <c r="J2217" s="1">
        <v>4</v>
      </c>
      <c r="K2217" s="1" t="s">
        <v>19</v>
      </c>
      <c r="L2217" s="1" t="s">
        <v>103</v>
      </c>
      <c r="M2217" s="1">
        <f>orders[[#This Row],[Ship Date]]-orders[[#This Row],[Order Date]]</f>
        <v>1</v>
      </c>
      <c r="N2217" s="1">
        <f>WEEKNUM(orders[[#This Row],[Order Date]])</f>
        <v>12</v>
      </c>
      <c r="O2217" s="1" t="str" cm="1">
        <f t="array" ref="O2217">_xlfn.IFS(orders[[#This Row],[Customer Gender]]="M","Male", orders[[#This Row],[Customer Gender]]="F","Female", orders[[#This Row],[Customer Gender]]="O","Other", TRUE,"Unknown")</f>
        <v>Female</v>
      </c>
    </row>
    <row r="2218" spans="1:15">
      <c r="A2218" s="1" t="s">
        <v>2319</v>
      </c>
      <c r="B2218" s="1" t="s">
        <v>22</v>
      </c>
      <c r="C2218" s="1">
        <v>3</v>
      </c>
      <c r="D2218" s="1">
        <v>45.9</v>
      </c>
      <c r="E2218" s="11">
        <v>137.69999999999999</v>
      </c>
      <c r="F2218" s="3">
        <v>45739</v>
      </c>
      <c r="G2218" s="3">
        <v>45740</v>
      </c>
      <c r="H2218" s="1" t="s">
        <v>23</v>
      </c>
      <c r="I2218" s="1" t="s">
        <v>51</v>
      </c>
      <c r="J2218" s="1">
        <v>4</v>
      </c>
      <c r="K2218" s="1" t="s">
        <v>19</v>
      </c>
      <c r="L2218" s="1" t="s">
        <v>72</v>
      </c>
      <c r="M2218" s="1">
        <f>orders[[#This Row],[Ship Date]]-orders[[#This Row],[Order Date]]</f>
        <v>1</v>
      </c>
      <c r="N2218" s="1">
        <f>WEEKNUM(orders[[#This Row],[Order Date]])</f>
        <v>13</v>
      </c>
      <c r="O2218" s="1" t="str" cm="1">
        <f t="array" ref="O2218">_xlfn.IFS(orders[[#This Row],[Customer Gender]]="M","Male", orders[[#This Row],[Customer Gender]]="F","Female", orders[[#This Row],[Customer Gender]]="O","Other", TRUE,"Unknown")</f>
        <v>Male</v>
      </c>
    </row>
    <row r="2219" spans="1:15">
      <c r="A2219" s="1" t="s">
        <v>2320</v>
      </c>
      <c r="B2219" s="1" t="s">
        <v>39</v>
      </c>
      <c r="C2219" s="1">
        <v>10</v>
      </c>
      <c r="D2219" s="1">
        <v>41.2</v>
      </c>
      <c r="E2219" s="11">
        <v>412</v>
      </c>
      <c r="F2219" s="3">
        <v>45739</v>
      </c>
      <c r="G2219" s="3">
        <v>45743</v>
      </c>
      <c r="H2219" s="1" t="s">
        <v>23</v>
      </c>
      <c r="I2219" s="1" t="s">
        <v>18</v>
      </c>
      <c r="J2219" s="1">
        <v>4</v>
      </c>
      <c r="K2219" s="1" t="s">
        <v>19</v>
      </c>
      <c r="L2219" s="1" t="s">
        <v>77</v>
      </c>
      <c r="M2219" s="1">
        <f>orders[[#This Row],[Ship Date]]-orders[[#This Row],[Order Date]]</f>
        <v>4</v>
      </c>
      <c r="N2219" s="1">
        <f>WEEKNUM(orders[[#This Row],[Order Date]])</f>
        <v>13</v>
      </c>
      <c r="O2219" s="1" t="str" cm="1">
        <f t="array" ref="O2219">_xlfn.IFS(orders[[#This Row],[Customer Gender]]="M","Male", orders[[#This Row],[Customer Gender]]="F","Female", orders[[#This Row],[Customer Gender]]="O","Other", TRUE,"Unknown")</f>
        <v>Male</v>
      </c>
    </row>
    <row r="2220" spans="1:15">
      <c r="A2220" s="1" t="s">
        <v>2321</v>
      </c>
      <c r="B2220" s="1" t="s">
        <v>135</v>
      </c>
      <c r="C2220" s="1">
        <v>2</v>
      </c>
      <c r="D2220" s="1">
        <v>45.1</v>
      </c>
      <c r="E2220" s="11">
        <v>90.2</v>
      </c>
      <c r="F2220" s="3">
        <v>45739</v>
      </c>
      <c r="G2220" s="3">
        <v>45740</v>
      </c>
      <c r="H2220" s="1" t="s">
        <v>23</v>
      </c>
      <c r="I2220" s="1" t="s">
        <v>35</v>
      </c>
      <c r="J2220" s="1">
        <v>3</v>
      </c>
      <c r="K2220" s="1" t="s">
        <v>19</v>
      </c>
      <c r="L2220" s="1" t="s">
        <v>115</v>
      </c>
      <c r="M2220" s="1">
        <f>orders[[#This Row],[Ship Date]]-orders[[#This Row],[Order Date]]</f>
        <v>1</v>
      </c>
      <c r="N2220" s="1">
        <f>WEEKNUM(orders[[#This Row],[Order Date]])</f>
        <v>13</v>
      </c>
      <c r="O2220" s="1" t="str" cm="1">
        <f t="array" ref="O2220">_xlfn.IFS(orders[[#This Row],[Customer Gender]]="M","Male", orders[[#This Row],[Customer Gender]]="F","Female", orders[[#This Row],[Customer Gender]]="O","Other", TRUE,"Unknown")</f>
        <v>Male</v>
      </c>
    </row>
    <row r="2221" spans="1:15">
      <c r="A2221" s="1" t="s">
        <v>2322</v>
      </c>
      <c r="B2221" s="1" t="s">
        <v>39</v>
      </c>
      <c r="C2221" s="1">
        <v>10</v>
      </c>
      <c r="D2221" s="1">
        <v>63.6</v>
      </c>
      <c r="E2221" s="11">
        <v>636</v>
      </c>
      <c r="F2221" s="3">
        <v>45739</v>
      </c>
      <c r="G2221" s="3">
        <v>45739</v>
      </c>
      <c r="H2221" s="1" t="s">
        <v>23</v>
      </c>
      <c r="I2221" s="1" t="s">
        <v>40</v>
      </c>
      <c r="J2221" s="1">
        <v>4</v>
      </c>
      <c r="K2221" s="1" t="s">
        <v>19</v>
      </c>
      <c r="L2221" s="1" t="s">
        <v>24</v>
      </c>
      <c r="M2221" s="1">
        <f>orders[[#This Row],[Ship Date]]-orders[[#This Row],[Order Date]]</f>
        <v>0</v>
      </c>
      <c r="N2221" s="1">
        <f>WEEKNUM(orders[[#This Row],[Order Date]])</f>
        <v>13</v>
      </c>
      <c r="O2221" s="1" t="str" cm="1">
        <f t="array" ref="O2221">_xlfn.IFS(orders[[#This Row],[Customer Gender]]="M","Male", orders[[#This Row],[Customer Gender]]="F","Female", orders[[#This Row],[Customer Gender]]="O","Other", TRUE,"Unknown")</f>
        <v>Male</v>
      </c>
    </row>
    <row r="2222" spans="1:15">
      <c r="A2222" s="1" t="s">
        <v>2323</v>
      </c>
      <c r="B2222" s="1" t="s">
        <v>44</v>
      </c>
      <c r="C2222" s="1">
        <v>1</v>
      </c>
      <c r="D2222" s="1">
        <v>70.5</v>
      </c>
      <c r="E2222" s="11">
        <v>70.5</v>
      </c>
      <c r="F2222" s="3">
        <v>45739</v>
      </c>
      <c r="G2222" s="3">
        <v>45740</v>
      </c>
      <c r="H2222" s="1" t="s">
        <v>23</v>
      </c>
      <c r="I2222" s="1" t="s">
        <v>18</v>
      </c>
      <c r="J2222" s="1">
        <v>4</v>
      </c>
      <c r="K2222" s="1" t="s">
        <v>19</v>
      </c>
      <c r="L2222" s="1" t="s">
        <v>33</v>
      </c>
      <c r="M2222" s="1">
        <f>orders[[#This Row],[Ship Date]]-orders[[#This Row],[Order Date]]</f>
        <v>1</v>
      </c>
      <c r="N2222" s="1">
        <f>WEEKNUM(orders[[#This Row],[Order Date]])</f>
        <v>13</v>
      </c>
      <c r="O2222" s="1" t="str" cm="1">
        <f t="array" ref="O2222">_xlfn.IFS(orders[[#This Row],[Customer Gender]]="M","Male", orders[[#This Row],[Customer Gender]]="F","Female", orders[[#This Row],[Customer Gender]]="O","Other", TRUE,"Unknown")</f>
        <v>Male</v>
      </c>
    </row>
    <row r="2223" spans="1:15">
      <c r="A2223" s="1" t="s">
        <v>2324</v>
      </c>
      <c r="B2223" s="1" t="s">
        <v>39</v>
      </c>
      <c r="C2223" s="1">
        <v>1</v>
      </c>
      <c r="D2223" s="1">
        <v>41.3</v>
      </c>
      <c r="E2223" s="11">
        <v>41.3</v>
      </c>
      <c r="F2223" s="3">
        <v>45739</v>
      </c>
      <c r="G2223" s="3">
        <v>45739</v>
      </c>
      <c r="H2223" s="1" t="s">
        <v>23</v>
      </c>
      <c r="I2223" s="1" t="s">
        <v>70</v>
      </c>
      <c r="J2223" s="1">
        <v>4</v>
      </c>
      <c r="K2223" s="1" t="s">
        <v>19</v>
      </c>
      <c r="L2223" s="1" t="s">
        <v>33</v>
      </c>
      <c r="M2223" s="1">
        <f>orders[[#This Row],[Ship Date]]-orders[[#This Row],[Order Date]]</f>
        <v>0</v>
      </c>
      <c r="N2223" s="1">
        <f>WEEKNUM(orders[[#This Row],[Order Date]])</f>
        <v>13</v>
      </c>
      <c r="O2223" s="1" t="str" cm="1">
        <f t="array" ref="O2223">_xlfn.IFS(orders[[#This Row],[Customer Gender]]="M","Male", orders[[#This Row],[Customer Gender]]="F","Female", orders[[#This Row],[Customer Gender]]="O","Other", TRUE,"Unknown")</f>
        <v>Male</v>
      </c>
    </row>
    <row r="2224" spans="1:15">
      <c r="A2224" s="1" t="s">
        <v>2325</v>
      </c>
      <c r="B2224" s="1" t="s">
        <v>32</v>
      </c>
      <c r="C2224" s="1">
        <v>1</v>
      </c>
      <c r="D2224" s="1">
        <v>35.299999999999997</v>
      </c>
      <c r="E2224" s="11">
        <v>35.299999999999997</v>
      </c>
      <c r="F2224" s="3">
        <v>45739</v>
      </c>
      <c r="G2224" s="3">
        <v>45742</v>
      </c>
      <c r="H2224" s="1" t="s">
        <v>27</v>
      </c>
      <c r="I2224" s="1" t="s">
        <v>70</v>
      </c>
      <c r="J2224" s="1">
        <v>5</v>
      </c>
      <c r="K2224" s="1" t="s">
        <v>19</v>
      </c>
      <c r="L2224" s="1" t="s">
        <v>33</v>
      </c>
      <c r="M2224" s="1">
        <f>orders[[#This Row],[Ship Date]]-orders[[#This Row],[Order Date]]</f>
        <v>3</v>
      </c>
      <c r="N2224" s="1">
        <f>WEEKNUM(orders[[#This Row],[Order Date]])</f>
        <v>13</v>
      </c>
      <c r="O2224" s="1" t="str" cm="1">
        <f t="array" ref="O2224">_xlfn.IFS(orders[[#This Row],[Customer Gender]]="M","Male", orders[[#This Row],[Customer Gender]]="F","Female", orders[[#This Row],[Customer Gender]]="O","Other", TRUE,"Unknown")</f>
        <v>Female</v>
      </c>
    </row>
    <row r="2225" spans="1:15">
      <c r="A2225" s="1" t="s">
        <v>2326</v>
      </c>
      <c r="B2225" s="1" t="s">
        <v>44</v>
      </c>
      <c r="C2225" s="1">
        <v>5</v>
      </c>
      <c r="D2225" s="1">
        <v>34.700000000000003</v>
      </c>
      <c r="E2225" s="11">
        <v>173.5</v>
      </c>
      <c r="F2225" s="3">
        <v>45739</v>
      </c>
      <c r="G2225" s="3">
        <v>45740</v>
      </c>
      <c r="H2225" s="1" t="s">
        <v>27</v>
      </c>
      <c r="I2225" s="1" t="s">
        <v>18</v>
      </c>
      <c r="J2225" s="1">
        <v>5</v>
      </c>
      <c r="K2225" s="1" t="s">
        <v>19</v>
      </c>
      <c r="L2225" s="1" t="s">
        <v>33</v>
      </c>
      <c r="M2225" s="1">
        <f>orders[[#This Row],[Ship Date]]-orders[[#This Row],[Order Date]]</f>
        <v>1</v>
      </c>
      <c r="N2225" s="1">
        <f>WEEKNUM(orders[[#This Row],[Order Date]])</f>
        <v>13</v>
      </c>
      <c r="O2225" s="1" t="str" cm="1">
        <f t="array" ref="O2225">_xlfn.IFS(orders[[#This Row],[Customer Gender]]="M","Male", orders[[#This Row],[Customer Gender]]="F","Female", orders[[#This Row],[Customer Gender]]="O","Other", TRUE,"Unknown")</f>
        <v>Female</v>
      </c>
    </row>
    <row r="2226" spans="1:15">
      <c r="A2226" s="1" t="s">
        <v>2327</v>
      </c>
      <c r="B2226" s="1" t="s">
        <v>44</v>
      </c>
      <c r="C2226" s="1">
        <v>3</v>
      </c>
      <c r="D2226" s="1">
        <v>26.1</v>
      </c>
      <c r="E2226" s="11">
        <v>78.300000000000011</v>
      </c>
      <c r="F2226" s="3">
        <v>45739</v>
      </c>
      <c r="G2226" s="3">
        <v>45740</v>
      </c>
      <c r="H2226" s="1" t="s">
        <v>27</v>
      </c>
      <c r="I2226" s="1" t="s">
        <v>18</v>
      </c>
      <c r="J2226" s="1">
        <v>4</v>
      </c>
      <c r="K2226" s="1" t="s">
        <v>19</v>
      </c>
      <c r="L2226" s="1" t="s">
        <v>33</v>
      </c>
      <c r="M2226" s="1">
        <f>orders[[#This Row],[Ship Date]]-orders[[#This Row],[Order Date]]</f>
        <v>1</v>
      </c>
      <c r="N2226" s="1">
        <f>WEEKNUM(orders[[#This Row],[Order Date]])</f>
        <v>13</v>
      </c>
      <c r="O2226" s="1" t="str" cm="1">
        <f t="array" ref="O2226">_xlfn.IFS(orders[[#This Row],[Customer Gender]]="M","Male", orders[[#This Row],[Customer Gender]]="F","Female", orders[[#This Row],[Customer Gender]]="O","Other", TRUE,"Unknown")</f>
        <v>Female</v>
      </c>
    </row>
    <row r="2227" spans="1:15">
      <c r="A2227" s="1" t="s">
        <v>2328</v>
      </c>
      <c r="B2227" s="1" t="s">
        <v>46</v>
      </c>
      <c r="C2227" s="1">
        <v>5</v>
      </c>
      <c r="D2227" s="1">
        <v>22.6</v>
      </c>
      <c r="E2227" s="11">
        <v>113</v>
      </c>
      <c r="F2227" s="3">
        <v>45739</v>
      </c>
      <c r="G2227" s="3">
        <v>45739</v>
      </c>
      <c r="H2227" s="1" t="s">
        <v>27</v>
      </c>
      <c r="I2227" s="1" t="s">
        <v>35</v>
      </c>
      <c r="J2227" s="1">
        <v>5</v>
      </c>
      <c r="K2227" s="1" t="s">
        <v>19</v>
      </c>
      <c r="L2227" s="1" t="s">
        <v>33</v>
      </c>
      <c r="M2227" s="1">
        <f>orders[[#This Row],[Ship Date]]-orders[[#This Row],[Order Date]]</f>
        <v>0</v>
      </c>
      <c r="N2227" s="1">
        <f>WEEKNUM(orders[[#This Row],[Order Date]])</f>
        <v>13</v>
      </c>
      <c r="O2227" s="1" t="str" cm="1">
        <f t="array" ref="O2227">_xlfn.IFS(orders[[#This Row],[Customer Gender]]="M","Male", orders[[#This Row],[Customer Gender]]="F","Female", orders[[#This Row],[Customer Gender]]="O","Other", TRUE,"Unknown")</f>
        <v>Female</v>
      </c>
    </row>
    <row r="2228" spans="1:15">
      <c r="A2228" s="1" t="s">
        <v>2329</v>
      </c>
      <c r="B2228" s="1" t="s">
        <v>26</v>
      </c>
      <c r="C2228" s="1">
        <v>2</v>
      </c>
      <c r="D2228" s="1">
        <v>154.4</v>
      </c>
      <c r="E2228" s="11">
        <v>308.8</v>
      </c>
      <c r="F2228" s="3">
        <v>45739</v>
      </c>
      <c r="G2228" s="3">
        <v>45742</v>
      </c>
      <c r="H2228" s="1" t="s">
        <v>23</v>
      </c>
      <c r="I2228" s="1" t="s">
        <v>35</v>
      </c>
      <c r="J2228" s="1">
        <v>3</v>
      </c>
      <c r="K2228" s="1" t="s">
        <v>19</v>
      </c>
      <c r="L2228" s="1" t="s">
        <v>33</v>
      </c>
      <c r="M2228" s="1">
        <f>orders[[#This Row],[Ship Date]]-orders[[#This Row],[Order Date]]</f>
        <v>3</v>
      </c>
      <c r="N2228" s="1">
        <f>WEEKNUM(orders[[#This Row],[Order Date]])</f>
        <v>13</v>
      </c>
      <c r="O2228" s="1" t="str" cm="1">
        <f t="array" ref="O2228">_xlfn.IFS(orders[[#This Row],[Customer Gender]]="M","Male", orders[[#This Row],[Customer Gender]]="F","Female", orders[[#This Row],[Customer Gender]]="O","Other", TRUE,"Unknown")</f>
        <v>Male</v>
      </c>
    </row>
    <row r="2229" spans="1:15">
      <c r="A2229" s="1" t="s">
        <v>2330</v>
      </c>
      <c r="B2229" s="1" t="s">
        <v>44</v>
      </c>
      <c r="C2229" s="1">
        <v>2</v>
      </c>
      <c r="D2229" s="1">
        <v>18.399999999999999</v>
      </c>
      <c r="E2229" s="11">
        <v>36.799999999999997</v>
      </c>
      <c r="F2229" s="3">
        <v>45739</v>
      </c>
      <c r="G2229" s="3">
        <v>45740</v>
      </c>
      <c r="H2229" s="1" t="s">
        <v>23</v>
      </c>
      <c r="I2229" s="1" t="s">
        <v>18</v>
      </c>
      <c r="J2229" s="1">
        <v>4</v>
      </c>
      <c r="K2229" s="1" t="s">
        <v>19</v>
      </c>
      <c r="L2229" s="1" t="s">
        <v>33</v>
      </c>
      <c r="M2229" s="1">
        <f>orders[[#This Row],[Ship Date]]-orders[[#This Row],[Order Date]]</f>
        <v>1</v>
      </c>
      <c r="N2229" s="1">
        <f>WEEKNUM(orders[[#This Row],[Order Date]])</f>
        <v>13</v>
      </c>
      <c r="O2229" s="1" t="str" cm="1">
        <f t="array" ref="O2229">_xlfn.IFS(orders[[#This Row],[Customer Gender]]="M","Male", orders[[#This Row],[Customer Gender]]="F","Female", orders[[#This Row],[Customer Gender]]="O","Other", TRUE,"Unknown")</f>
        <v>Male</v>
      </c>
    </row>
    <row r="2230" spans="1:15">
      <c r="A2230" s="1" t="s">
        <v>2331</v>
      </c>
      <c r="B2230" s="1" t="s">
        <v>81</v>
      </c>
      <c r="C2230" s="1">
        <v>1</v>
      </c>
      <c r="D2230" s="1">
        <v>25</v>
      </c>
      <c r="E2230" s="11">
        <v>25</v>
      </c>
      <c r="F2230" s="3">
        <v>45739</v>
      </c>
      <c r="G2230" s="3">
        <v>45742</v>
      </c>
      <c r="H2230" s="1" t="s">
        <v>27</v>
      </c>
      <c r="I2230" s="1" t="s">
        <v>18</v>
      </c>
      <c r="J2230" s="1">
        <v>4</v>
      </c>
      <c r="K2230" s="1" t="s">
        <v>19</v>
      </c>
      <c r="L2230" s="1" t="s">
        <v>33</v>
      </c>
      <c r="M2230" s="1">
        <f>orders[[#This Row],[Ship Date]]-orders[[#This Row],[Order Date]]</f>
        <v>3</v>
      </c>
      <c r="N2230" s="1">
        <f>WEEKNUM(orders[[#This Row],[Order Date]])</f>
        <v>13</v>
      </c>
      <c r="O2230" s="1" t="str" cm="1">
        <f t="array" ref="O2230">_xlfn.IFS(orders[[#This Row],[Customer Gender]]="M","Male", orders[[#This Row],[Customer Gender]]="F","Female", orders[[#This Row],[Customer Gender]]="O","Other", TRUE,"Unknown")</f>
        <v>Female</v>
      </c>
    </row>
    <row r="2231" spans="1:15">
      <c r="A2231" s="1" t="s">
        <v>2332</v>
      </c>
      <c r="B2231" s="1" t="s">
        <v>26</v>
      </c>
      <c r="C2231" s="1">
        <v>6</v>
      </c>
      <c r="D2231" s="1">
        <v>105.6</v>
      </c>
      <c r="E2231" s="11">
        <v>633.59999999999991</v>
      </c>
      <c r="F2231" s="3">
        <v>45739</v>
      </c>
      <c r="G2231" s="3">
        <v>45739</v>
      </c>
      <c r="H2231" s="1" t="s">
        <v>27</v>
      </c>
      <c r="I2231" s="1" t="s">
        <v>18</v>
      </c>
      <c r="J2231" s="1">
        <v>4</v>
      </c>
      <c r="K2231" s="1" t="s">
        <v>19</v>
      </c>
      <c r="L2231" s="1" t="s">
        <v>33</v>
      </c>
      <c r="M2231" s="1">
        <f>orders[[#This Row],[Ship Date]]-orders[[#This Row],[Order Date]]</f>
        <v>0</v>
      </c>
      <c r="N2231" s="1">
        <f>WEEKNUM(orders[[#This Row],[Order Date]])</f>
        <v>13</v>
      </c>
      <c r="O2231" s="1" t="str" cm="1">
        <f t="array" ref="O2231">_xlfn.IFS(orders[[#This Row],[Customer Gender]]="M","Male", orders[[#This Row],[Customer Gender]]="F","Female", orders[[#This Row],[Customer Gender]]="O","Other", TRUE,"Unknown")</f>
        <v>Female</v>
      </c>
    </row>
    <row r="2232" spans="1:15">
      <c r="A2232" s="1" t="s">
        <v>2333</v>
      </c>
      <c r="B2232" s="1" t="s">
        <v>146</v>
      </c>
      <c r="C2232" s="1">
        <v>8</v>
      </c>
      <c r="D2232" s="1">
        <v>59.6</v>
      </c>
      <c r="E2232" s="11">
        <v>476.8</v>
      </c>
      <c r="F2232" s="3">
        <v>45739</v>
      </c>
      <c r="G2232" s="3">
        <v>45739</v>
      </c>
      <c r="H2232" s="1" t="s">
        <v>27</v>
      </c>
      <c r="I2232" s="1" t="s">
        <v>18</v>
      </c>
      <c r="J2232" s="1">
        <v>5</v>
      </c>
      <c r="K2232" s="1" t="s">
        <v>19</v>
      </c>
      <c r="L2232" s="1" t="s">
        <v>158</v>
      </c>
      <c r="M2232" s="1">
        <f>orders[[#This Row],[Ship Date]]-orders[[#This Row],[Order Date]]</f>
        <v>0</v>
      </c>
      <c r="N2232" s="1">
        <f>WEEKNUM(orders[[#This Row],[Order Date]])</f>
        <v>13</v>
      </c>
      <c r="O2232" s="1" t="str" cm="1">
        <f t="array" ref="O2232">_xlfn.IFS(orders[[#This Row],[Customer Gender]]="M","Male", orders[[#This Row],[Customer Gender]]="F","Female", orders[[#This Row],[Customer Gender]]="O","Other", TRUE,"Unknown")</f>
        <v>Female</v>
      </c>
    </row>
    <row r="2233" spans="1:15">
      <c r="A2233" s="1" t="s">
        <v>2334</v>
      </c>
      <c r="B2233" s="1" t="s">
        <v>123</v>
      </c>
      <c r="C2233" s="1">
        <v>3</v>
      </c>
      <c r="D2233" s="1">
        <v>75.400000000000006</v>
      </c>
      <c r="E2233" s="11">
        <v>226.20000000000002</v>
      </c>
      <c r="F2233" s="3">
        <v>45739</v>
      </c>
      <c r="G2233" s="3">
        <v>45744</v>
      </c>
      <c r="H2233" s="1" t="s">
        <v>23</v>
      </c>
      <c r="I2233" s="1" t="s">
        <v>18</v>
      </c>
      <c r="J2233" s="1">
        <v>3</v>
      </c>
      <c r="K2233" s="1" t="s">
        <v>19</v>
      </c>
      <c r="L2233" s="1" t="s">
        <v>59</v>
      </c>
      <c r="M2233" s="1">
        <f>orders[[#This Row],[Ship Date]]-orders[[#This Row],[Order Date]]</f>
        <v>5</v>
      </c>
      <c r="N2233" s="1">
        <f>WEEKNUM(orders[[#This Row],[Order Date]])</f>
        <v>13</v>
      </c>
      <c r="O2233" s="1" t="str" cm="1">
        <f t="array" ref="O2233">_xlfn.IFS(orders[[#This Row],[Customer Gender]]="M","Male", orders[[#This Row],[Customer Gender]]="F","Female", orders[[#This Row],[Customer Gender]]="O","Other", TRUE,"Unknown")</f>
        <v>Male</v>
      </c>
    </row>
    <row r="2234" spans="1:15">
      <c r="A2234" s="1" t="s">
        <v>2335</v>
      </c>
      <c r="B2234" s="1" t="s">
        <v>42</v>
      </c>
      <c r="C2234" s="1">
        <v>1</v>
      </c>
      <c r="D2234" s="1">
        <v>104.4</v>
      </c>
      <c r="E2234" s="11">
        <v>104.4</v>
      </c>
      <c r="F2234" s="3">
        <v>45739</v>
      </c>
      <c r="G2234" s="3">
        <v>45740</v>
      </c>
      <c r="H2234" s="1" t="s">
        <v>27</v>
      </c>
      <c r="I2234" s="1" t="s">
        <v>18</v>
      </c>
      <c r="J2234" s="1">
        <v>4</v>
      </c>
      <c r="K2234" s="1" t="s">
        <v>19</v>
      </c>
      <c r="L2234" s="1" t="s">
        <v>62</v>
      </c>
      <c r="M2234" s="1">
        <f>orders[[#This Row],[Ship Date]]-orders[[#This Row],[Order Date]]</f>
        <v>1</v>
      </c>
      <c r="N2234" s="1">
        <f>WEEKNUM(orders[[#This Row],[Order Date]])</f>
        <v>13</v>
      </c>
      <c r="O2234" s="1" t="str" cm="1">
        <f t="array" ref="O2234">_xlfn.IFS(orders[[#This Row],[Customer Gender]]="M","Male", orders[[#This Row],[Customer Gender]]="F","Female", orders[[#This Row],[Customer Gender]]="O","Other", TRUE,"Unknown")</f>
        <v>Female</v>
      </c>
    </row>
    <row r="2235" spans="1:15">
      <c r="A2235" s="1" t="s">
        <v>2336</v>
      </c>
      <c r="B2235" s="1" t="s">
        <v>26</v>
      </c>
      <c r="C2235" s="1">
        <v>10</v>
      </c>
      <c r="D2235" s="1">
        <v>208.2</v>
      </c>
      <c r="E2235" s="11">
        <v>2082</v>
      </c>
      <c r="F2235" s="3">
        <v>45739</v>
      </c>
      <c r="G2235" s="3">
        <v>45740</v>
      </c>
      <c r="H2235" s="1" t="s">
        <v>23</v>
      </c>
      <c r="I2235" s="1" t="s">
        <v>18</v>
      </c>
      <c r="J2235" s="1">
        <v>5</v>
      </c>
      <c r="K2235" s="1" t="s">
        <v>19</v>
      </c>
      <c r="L2235" s="1" t="s">
        <v>62</v>
      </c>
      <c r="M2235" s="1">
        <f>orders[[#This Row],[Ship Date]]-orders[[#This Row],[Order Date]]</f>
        <v>1</v>
      </c>
      <c r="N2235" s="1">
        <f>WEEKNUM(orders[[#This Row],[Order Date]])</f>
        <v>13</v>
      </c>
      <c r="O2235" s="1" t="str" cm="1">
        <f t="array" ref="O2235">_xlfn.IFS(orders[[#This Row],[Customer Gender]]="M","Male", orders[[#This Row],[Customer Gender]]="F","Female", orders[[#This Row],[Customer Gender]]="O","Other", TRUE,"Unknown")</f>
        <v>Male</v>
      </c>
    </row>
    <row r="2236" spans="1:15">
      <c r="A2236" s="1" t="s">
        <v>2337</v>
      </c>
      <c r="B2236" s="1" t="s">
        <v>39</v>
      </c>
      <c r="C2236" s="1">
        <v>2</v>
      </c>
      <c r="D2236" s="1">
        <v>45</v>
      </c>
      <c r="E2236" s="11">
        <v>90</v>
      </c>
      <c r="F2236" s="3">
        <v>45739</v>
      </c>
      <c r="G2236" s="3">
        <v>45742</v>
      </c>
      <c r="H2236" s="1" t="s">
        <v>27</v>
      </c>
      <c r="I2236" s="1" t="s">
        <v>18</v>
      </c>
      <c r="J2236" s="1">
        <v>4</v>
      </c>
      <c r="K2236" s="1" t="s">
        <v>19</v>
      </c>
      <c r="L2236" s="1" t="s">
        <v>74</v>
      </c>
      <c r="M2236" s="1">
        <f>orders[[#This Row],[Ship Date]]-orders[[#This Row],[Order Date]]</f>
        <v>3</v>
      </c>
      <c r="N2236" s="1">
        <f>WEEKNUM(orders[[#This Row],[Order Date]])</f>
        <v>13</v>
      </c>
      <c r="O2236" s="1" t="str" cm="1">
        <f t="array" ref="O2236">_xlfn.IFS(orders[[#This Row],[Customer Gender]]="M","Male", orders[[#This Row],[Customer Gender]]="F","Female", orders[[#This Row],[Customer Gender]]="O","Other", TRUE,"Unknown")</f>
        <v>Female</v>
      </c>
    </row>
    <row r="2237" spans="1:15">
      <c r="A2237" s="1" t="s">
        <v>2338</v>
      </c>
      <c r="B2237" s="1" t="s">
        <v>123</v>
      </c>
      <c r="C2237" s="1">
        <v>2</v>
      </c>
      <c r="D2237" s="1">
        <v>20.3</v>
      </c>
      <c r="E2237" s="11">
        <v>40.6</v>
      </c>
      <c r="F2237" s="3">
        <v>45740</v>
      </c>
      <c r="G2237" s="3">
        <v>45742</v>
      </c>
      <c r="H2237" s="1" t="s">
        <v>17</v>
      </c>
      <c r="I2237" s="1" t="s">
        <v>35</v>
      </c>
      <c r="J2237" s="1">
        <v>4</v>
      </c>
      <c r="K2237" s="1" t="s">
        <v>19</v>
      </c>
      <c r="L2237" s="1" t="s">
        <v>77</v>
      </c>
      <c r="M2237" s="1">
        <f>orders[[#This Row],[Ship Date]]-orders[[#This Row],[Order Date]]</f>
        <v>2</v>
      </c>
      <c r="N2237" s="1">
        <f>WEEKNUM(orders[[#This Row],[Order Date]])</f>
        <v>13</v>
      </c>
      <c r="O2237" s="1" t="str" cm="1">
        <f t="array" ref="O2237">_xlfn.IFS(orders[[#This Row],[Customer Gender]]="M","Male", orders[[#This Row],[Customer Gender]]="F","Female", orders[[#This Row],[Customer Gender]]="O","Other", TRUE,"Unknown")</f>
        <v>Unknown</v>
      </c>
    </row>
    <row r="2238" spans="1:15">
      <c r="A2238" s="1" t="s">
        <v>2339</v>
      </c>
      <c r="B2238" s="1" t="s">
        <v>26</v>
      </c>
      <c r="C2238" s="1">
        <v>3</v>
      </c>
      <c r="D2238" s="1">
        <v>94.4</v>
      </c>
      <c r="E2238" s="11">
        <v>283.20000000000005</v>
      </c>
      <c r="F2238" s="3">
        <v>45740</v>
      </c>
      <c r="G2238" s="3">
        <v>45741</v>
      </c>
      <c r="H2238" s="1" t="s">
        <v>27</v>
      </c>
      <c r="I2238" s="1" t="s">
        <v>18</v>
      </c>
      <c r="J2238" s="1">
        <v>5</v>
      </c>
      <c r="K2238" s="1" t="s">
        <v>19</v>
      </c>
      <c r="L2238" s="1" t="s">
        <v>77</v>
      </c>
      <c r="M2238" s="1">
        <f>orders[[#This Row],[Ship Date]]-orders[[#This Row],[Order Date]]</f>
        <v>1</v>
      </c>
      <c r="N2238" s="1">
        <f>WEEKNUM(orders[[#This Row],[Order Date]])</f>
        <v>13</v>
      </c>
      <c r="O2238" s="1" t="str" cm="1">
        <f t="array" ref="O2238">_xlfn.IFS(orders[[#This Row],[Customer Gender]]="M","Male", orders[[#This Row],[Customer Gender]]="F","Female", orders[[#This Row],[Customer Gender]]="O","Other", TRUE,"Unknown")</f>
        <v>Female</v>
      </c>
    </row>
    <row r="2239" spans="1:15">
      <c r="A2239" s="1" t="s">
        <v>2340</v>
      </c>
      <c r="B2239" s="1" t="s">
        <v>46</v>
      </c>
      <c r="C2239" s="1">
        <v>1</v>
      </c>
      <c r="D2239" s="1">
        <v>49</v>
      </c>
      <c r="E2239" s="11">
        <v>49</v>
      </c>
      <c r="F2239" s="3">
        <v>45740</v>
      </c>
      <c r="G2239" s="3">
        <v>45742</v>
      </c>
      <c r="H2239" s="1" t="s">
        <v>27</v>
      </c>
      <c r="I2239" s="1" t="s">
        <v>18</v>
      </c>
      <c r="J2239" s="1">
        <v>5</v>
      </c>
      <c r="K2239" s="1" t="s">
        <v>19</v>
      </c>
      <c r="L2239" s="1" t="s">
        <v>113</v>
      </c>
      <c r="M2239" s="1">
        <f>orders[[#This Row],[Ship Date]]-orders[[#This Row],[Order Date]]</f>
        <v>2</v>
      </c>
      <c r="N2239" s="1">
        <f>WEEKNUM(orders[[#This Row],[Order Date]])</f>
        <v>13</v>
      </c>
      <c r="O2239" s="1" t="str" cm="1">
        <f t="array" ref="O2239">_xlfn.IFS(orders[[#This Row],[Customer Gender]]="M","Male", orders[[#This Row],[Customer Gender]]="F","Female", orders[[#This Row],[Customer Gender]]="O","Other", TRUE,"Unknown")</f>
        <v>Female</v>
      </c>
    </row>
    <row r="2240" spans="1:15">
      <c r="A2240" s="1" t="s">
        <v>2341</v>
      </c>
      <c r="B2240" s="1" t="s">
        <v>32</v>
      </c>
      <c r="C2240" s="1">
        <v>2</v>
      </c>
      <c r="D2240" s="1">
        <v>27.2</v>
      </c>
      <c r="E2240" s="11">
        <v>54.4</v>
      </c>
      <c r="F2240" s="3">
        <v>45740</v>
      </c>
      <c r="G2240" s="3">
        <v>45742</v>
      </c>
      <c r="H2240" s="1" t="s">
        <v>23</v>
      </c>
      <c r="I2240" s="1" t="s">
        <v>18</v>
      </c>
      <c r="J2240" s="1">
        <v>5</v>
      </c>
      <c r="K2240" s="1" t="s">
        <v>19</v>
      </c>
      <c r="L2240" s="1" t="s">
        <v>24</v>
      </c>
      <c r="M2240" s="1">
        <f>orders[[#This Row],[Ship Date]]-orders[[#This Row],[Order Date]]</f>
        <v>2</v>
      </c>
      <c r="N2240" s="1">
        <f>WEEKNUM(orders[[#This Row],[Order Date]])</f>
        <v>13</v>
      </c>
      <c r="O2240" s="1" t="str" cm="1">
        <f t="array" ref="O2240">_xlfn.IFS(orders[[#This Row],[Customer Gender]]="M","Male", orders[[#This Row],[Customer Gender]]="F","Female", orders[[#This Row],[Customer Gender]]="O","Other", TRUE,"Unknown")</f>
        <v>Male</v>
      </c>
    </row>
    <row r="2241" spans="1:15">
      <c r="A2241" s="1" t="s">
        <v>2342</v>
      </c>
      <c r="B2241" s="1" t="s">
        <v>26</v>
      </c>
      <c r="C2241" s="1">
        <v>6</v>
      </c>
      <c r="D2241" s="1">
        <v>72.599999999999994</v>
      </c>
      <c r="E2241" s="11">
        <v>435.59999999999997</v>
      </c>
      <c r="F2241" s="3">
        <v>45740</v>
      </c>
      <c r="G2241" s="3">
        <v>45741</v>
      </c>
      <c r="H2241" s="1" t="s">
        <v>27</v>
      </c>
      <c r="I2241" s="1" t="s">
        <v>18</v>
      </c>
      <c r="J2241" s="1">
        <v>5</v>
      </c>
      <c r="K2241" s="1" t="s">
        <v>19</v>
      </c>
      <c r="L2241" s="1" t="s">
        <v>28</v>
      </c>
      <c r="M2241" s="1">
        <f>orders[[#This Row],[Ship Date]]-orders[[#This Row],[Order Date]]</f>
        <v>1</v>
      </c>
      <c r="N2241" s="1">
        <f>WEEKNUM(orders[[#This Row],[Order Date]])</f>
        <v>13</v>
      </c>
      <c r="O2241" s="1" t="str" cm="1">
        <f t="array" ref="O2241">_xlfn.IFS(orders[[#This Row],[Customer Gender]]="M","Male", orders[[#This Row],[Customer Gender]]="F","Female", orders[[#This Row],[Customer Gender]]="O","Other", TRUE,"Unknown")</f>
        <v>Female</v>
      </c>
    </row>
    <row r="2242" spans="1:15">
      <c r="A2242" s="1" t="s">
        <v>2343</v>
      </c>
      <c r="B2242" s="1" t="s">
        <v>123</v>
      </c>
      <c r="C2242" s="1">
        <v>4</v>
      </c>
      <c r="D2242" s="1">
        <v>62.4</v>
      </c>
      <c r="E2242" s="11">
        <v>249.6</v>
      </c>
      <c r="F2242" s="3">
        <v>45740</v>
      </c>
      <c r="G2242" s="3">
        <v>45741</v>
      </c>
      <c r="H2242" s="1" t="s">
        <v>27</v>
      </c>
      <c r="I2242" s="1" t="s">
        <v>18</v>
      </c>
      <c r="J2242" s="1">
        <v>4</v>
      </c>
      <c r="K2242" s="1" t="s">
        <v>19</v>
      </c>
      <c r="L2242" s="1" t="s">
        <v>33</v>
      </c>
      <c r="M2242" s="1">
        <f>orders[[#This Row],[Ship Date]]-orders[[#This Row],[Order Date]]</f>
        <v>1</v>
      </c>
      <c r="N2242" s="1">
        <f>WEEKNUM(orders[[#This Row],[Order Date]])</f>
        <v>13</v>
      </c>
      <c r="O2242" s="1" t="str" cm="1">
        <f t="array" ref="O2242">_xlfn.IFS(orders[[#This Row],[Customer Gender]]="M","Male", orders[[#This Row],[Customer Gender]]="F","Female", orders[[#This Row],[Customer Gender]]="O","Other", TRUE,"Unknown")</f>
        <v>Female</v>
      </c>
    </row>
    <row r="2243" spans="1:15">
      <c r="A2243" s="1" t="s">
        <v>2344</v>
      </c>
      <c r="B2243" s="1" t="s">
        <v>44</v>
      </c>
      <c r="C2243" s="1">
        <v>3</v>
      </c>
      <c r="D2243" s="1">
        <v>19.100000000000001</v>
      </c>
      <c r="E2243" s="11">
        <v>57.300000000000004</v>
      </c>
      <c r="F2243" s="3">
        <v>45740</v>
      </c>
      <c r="G2243" s="3">
        <v>45742</v>
      </c>
      <c r="H2243" s="1" t="s">
        <v>23</v>
      </c>
      <c r="I2243" s="1" t="s">
        <v>18</v>
      </c>
      <c r="J2243" s="1">
        <v>3</v>
      </c>
      <c r="K2243" s="1" t="s">
        <v>19</v>
      </c>
      <c r="L2243" s="1" t="s">
        <v>33</v>
      </c>
      <c r="M2243" s="1">
        <f>orders[[#This Row],[Ship Date]]-orders[[#This Row],[Order Date]]</f>
        <v>2</v>
      </c>
      <c r="N2243" s="1">
        <f>WEEKNUM(orders[[#This Row],[Order Date]])</f>
        <v>13</v>
      </c>
      <c r="O2243" s="1" t="str" cm="1">
        <f t="array" ref="O2243">_xlfn.IFS(orders[[#This Row],[Customer Gender]]="M","Male", orders[[#This Row],[Customer Gender]]="F","Female", orders[[#This Row],[Customer Gender]]="O","Other", TRUE,"Unknown")</f>
        <v>Male</v>
      </c>
    </row>
    <row r="2244" spans="1:15">
      <c r="A2244" s="1" t="s">
        <v>2345</v>
      </c>
      <c r="B2244" s="1" t="s">
        <v>54</v>
      </c>
      <c r="C2244" s="1">
        <v>1</v>
      </c>
      <c r="D2244" s="1">
        <v>29.6</v>
      </c>
      <c r="E2244" s="11">
        <v>29.6</v>
      </c>
      <c r="F2244" s="3">
        <v>45740</v>
      </c>
      <c r="G2244" s="3">
        <v>45744</v>
      </c>
      <c r="H2244" s="1" t="s">
        <v>23</v>
      </c>
      <c r="I2244" s="1" t="s">
        <v>18</v>
      </c>
      <c r="J2244" s="1">
        <v>2</v>
      </c>
      <c r="K2244" s="1" t="s">
        <v>19</v>
      </c>
      <c r="L2244" s="1" t="s">
        <v>33</v>
      </c>
      <c r="M2244" s="1">
        <f>orders[[#This Row],[Ship Date]]-orders[[#This Row],[Order Date]]</f>
        <v>4</v>
      </c>
      <c r="N2244" s="1">
        <f>WEEKNUM(orders[[#This Row],[Order Date]])</f>
        <v>13</v>
      </c>
      <c r="O2244" s="1" t="str" cm="1">
        <f t="array" ref="O2244">_xlfn.IFS(orders[[#This Row],[Customer Gender]]="M","Male", orders[[#This Row],[Customer Gender]]="F","Female", orders[[#This Row],[Customer Gender]]="O","Other", TRUE,"Unknown")</f>
        <v>Male</v>
      </c>
    </row>
    <row r="2245" spans="1:15">
      <c r="A2245" s="1" t="s">
        <v>2346</v>
      </c>
      <c r="B2245" s="1" t="s">
        <v>44</v>
      </c>
      <c r="C2245" s="1">
        <v>2</v>
      </c>
      <c r="D2245" s="1">
        <v>18.899999999999999</v>
      </c>
      <c r="E2245" s="11">
        <v>37.799999999999997</v>
      </c>
      <c r="F2245" s="3">
        <v>45740</v>
      </c>
      <c r="G2245" s="3">
        <v>45742</v>
      </c>
      <c r="H2245" s="1" t="s">
        <v>27</v>
      </c>
      <c r="I2245" s="1" t="s">
        <v>70</v>
      </c>
      <c r="J2245" s="1">
        <v>5</v>
      </c>
      <c r="K2245" s="1" t="s">
        <v>19</v>
      </c>
      <c r="L2245" s="1" t="s">
        <v>33</v>
      </c>
      <c r="M2245" s="1">
        <f>orders[[#This Row],[Ship Date]]-orders[[#This Row],[Order Date]]</f>
        <v>2</v>
      </c>
      <c r="N2245" s="1">
        <f>WEEKNUM(orders[[#This Row],[Order Date]])</f>
        <v>13</v>
      </c>
      <c r="O2245" s="1" t="str" cm="1">
        <f t="array" ref="O2245">_xlfn.IFS(orders[[#This Row],[Customer Gender]]="M","Male", orders[[#This Row],[Customer Gender]]="F","Female", orders[[#This Row],[Customer Gender]]="O","Other", TRUE,"Unknown")</f>
        <v>Female</v>
      </c>
    </row>
    <row r="2246" spans="1:15">
      <c r="A2246" s="1" t="s">
        <v>2347</v>
      </c>
      <c r="B2246" s="1" t="s">
        <v>54</v>
      </c>
      <c r="C2246" s="1">
        <v>5</v>
      </c>
      <c r="D2246" s="1">
        <v>41.4</v>
      </c>
      <c r="E2246" s="11">
        <v>207</v>
      </c>
      <c r="F2246" s="3">
        <v>45740</v>
      </c>
      <c r="G2246" s="3">
        <v>45741</v>
      </c>
      <c r="H2246" s="1" t="s">
        <v>23</v>
      </c>
      <c r="I2246" s="1" t="s">
        <v>51</v>
      </c>
      <c r="J2246" s="1">
        <v>4</v>
      </c>
      <c r="K2246" s="1" t="s">
        <v>19</v>
      </c>
      <c r="L2246" s="1" t="s">
        <v>33</v>
      </c>
      <c r="M2246" s="1">
        <f>orders[[#This Row],[Ship Date]]-orders[[#This Row],[Order Date]]</f>
        <v>1</v>
      </c>
      <c r="N2246" s="1">
        <f>WEEKNUM(orders[[#This Row],[Order Date]])</f>
        <v>13</v>
      </c>
      <c r="O2246" s="1" t="str" cm="1">
        <f t="array" ref="O2246">_xlfn.IFS(orders[[#This Row],[Customer Gender]]="M","Male", orders[[#This Row],[Customer Gender]]="F","Female", orders[[#This Row],[Customer Gender]]="O","Other", TRUE,"Unknown")</f>
        <v>Male</v>
      </c>
    </row>
    <row r="2247" spans="1:15">
      <c r="A2247" s="1" t="s">
        <v>2348</v>
      </c>
      <c r="B2247" s="1" t="s">
        <v>26</v>
      </c>
      <c r="C2247" s="1">
        <v>1</v>
      </c>
      <c r="D2247" s="1">
        <v>118.4</v>
      </c>
      <c r="E2247" s="11">
        <v>118.4</v>
      </c>
      <c r="F2247" s="3">
        <v>45740</v>
      </c>
      <c r="G2247" s="3">
        <v>45741</v>
      </c>
      <c r="H2247" s="1" t="s">
        <v>27</v>
      </c>
      <c r="I2247" s="1" t="s">
        <v>18</v>
      </c>
      <c r="J2247" s="1">
        <v>5</v>
      </c>
      <c r="K2247" s="1" t="s">
        <v>19</v>
      </c>
      <c r="L2247" s="1" t="s">
        <v>33</v>
      </c>
      <c r="M2247" s="1">
        <f>orders[[#This Row],[Ship Date]]-orders[[#This Row],[Order Date]]</f>
        <v>1</v>
      </c>
      <c r="N2247" s="1">
        <f>WEEKNUM(orders[[#This Row],[Order Date]])</f>
        <v>13</v>
      </c>
      <c r="O2247" s="1" t="str" cm="1">
        <f t="array" ref="O2247">_xlfn.IFS(orders[[#This Row],[Customer Gender]]="M","Male", orders[[#This Row],[Customer Gender]]="F","Female", orders[[#This Row],[Customer Gender]]="O","Other", TRUE,"Unknown")</f>
        <v>Female</v>
      </c>
    </row>
    <row r="2248" spans="1:15">
      <c r="A2248" s="1" t="s">
        <v>2349</v>
      </c>
      <c r="B2248" s="1" t="s">
        <v>26</v>
      </c>
      <c r="C2248" s="1">
        <v>2</v>
      </c>
      <c r="D2248" s="1">
        <v>125.3</v>
      </c>
      <c r="E2248" s="11">
        <v>250.6</v>
      </c>
      <c r="F2248" s="3">
        <v>45740</v>
      </c>
      <c r="G2248" s="3">
        <v>45743</v>
      </c>
      <c r="H2248" s="1" t="s">
        <v>27</v>
      </c>
      <c r="I2248" s="1" t="s">
        <v>18</v>
      </c>
      <c r="J2248" s="1">
        <v>5</v>
      </c>
      <c r="K2248" s="1" t="s">
        <v>19</v>
      </c>
      <c r="L2248" s="1" t="s">
        <v>33</v>
      </c>
      <c r="M2248" s="1">
        <f>orders[[#This Row],[Ship Date]]-orders[[#This Row],[Order Date]]</f>
        <v>3</v>
      </c>
      <c r="N2248" s="1">
        <f>WEEKNUM(orders[[#This Row],[Order Date]])</f>
        <v>13</v>
      </c>
      <c r="O2248" s="1" t="str" cm="1">
        <f t="array" ref="O2248">_xlfn.IFS(orders[[#This Row],[Customer Gender]]="M","Male", orders[[#This Row],[Customer Gender]]="F","Female", orders[[#This Row],[Customer Gender]]="O","Other", TRUE,"Unknown")</f>
        <v>Female</v>
      </c>
    </row>
    <row r="2249" spans="1:15">
      <c r="A2249" s="1" t="s">
        <v>2350</v>
      </c>
      <c r="B2249" s="1" t="s">
        <v>30</v>
      </c>
      <c r="C2249" s="1">
        <v>2</v>
      </c>
      <c r="D2249" s="1">
        <v>85.8</v>
      </c>
      <c r="E2249" s="11">
        <v>171.6</v>
      </c>
      <c r="F2249" s="3">
        <v>45740</v>
      </c>
      <c r="G2249" s="3">
        <v>45741</v>
      </c>
      <c r="H2249" s="1" t="s">
        <v>27</v>
      </c>
      <c r="I2249" s="1" t="s">
        <v>35</v>
      </c>
      <c r="J2249" s="1">
        <v>2</v>
      </c>
      <c r="K2249" s="1" t="s">
        <v>19</v>
      </c>
      <c r="L2249" s="1" t="s">
        <v>33</v>
      </c>
      <c r="M2249" s="1">
        <f>orders[[#This Row],[Ship Date]]-orders[[#This Row],[Order Date]]</f>
        <v>1</v>
      </c>
      <c r="N2249" s="1">
        <f>WEEKNUM(orders[[#This Row],[Order Date]])</f>
        <v>13</v>
      </c>
      <c r="O2249" s="1" t="str" cm="1">
        <f t="array" ref="O2249">_xlfn.IFS(orders[[#This Row],[Customer Gender]]="M","Male", orders[[#This Row],[Customer Gender]]="F","Female", orders[[#This Row],[Customer Gender]]="O","Other", TRUE,"Unknown")</f>
        <v>Female</v>
      </c>
    </row>
    <row r="2250" spans="1:15">
      <c r="A2250" s="1" t="s">
        <v>2351</v>
      </c>
      <c r="B2250" s="1" t="s">
        <v>39</v>
      </c>
      <c r="C2250" s="1">
        <v>1</v>
      </c>
      <c r="D2250" s="1">
        <v>44.2</v>
      </c>
      <c r="E2250" s="11">
        <v>44.2</v>
      </c>
      <c r="F2250" s="3">
        <v>45740</v>
      </c>
      <c r="G2250" s="3">
        <v>45743</v>
      </c>
      <c r="H2250" s="1" t="s">
        <v>23</v>
      </c>
      <c r="I2250" s="1" t="s">
        <v>35</v>
      </c>
      <c r="J2250" s="1">
        <v>4</v>
      </c>
      <c r="K2250" s="1" t="s">
        <v>19</v>
      </c>
      <c r="L2250" s="1" t="s">
        <v>33</v>
      </c>
      <c r="M2250" s="1">
        <f>orders[[#This Row],[Ship Date]]-orders[[#This Row],[Order Date]]</f>
        <v>3</v>
      </c>
      <c r="N2250" s="1">
        <f>WEEKNUM(orders[[#This Row],[Order Date]])</f>
        <v>13</v>
      </c>
      <c r="O2250" s="1" t="str" cm="1">
        <f t="array" ref="O2250">_xlfn.IFS(orders[[#This Row],[Customer Gender]]="M","Male", orders[[#This Row],[Customer Gender]]="F","Female", orders[[#This Row],[Customer Gender]]="O","Other", TRUE,"Unknown")</f>
        <v>Male</v>
      </c>
    </row>
    <row r="2251" spans="1:15">
      <c r="A2251" s="1" t="s">
        <v>2352</v>
      </c>
      <c r="B2251" s="1" t="s">
        <v>37</v>
      </c>
      <c r="C2251" s="1">
        <v>4</v>
      </c>
      <c r="D2251" s="1">
        <v>74.099999999999994</v>
      </c>
      <c r="E2251" s="11">
        <v>296.39999999999998</v>
      </c>
      <c r="F2251" s="3">
        <v>45740</v>
      </c>
      <c r="G2251" s="3">
        <v>45742</v>
      </c>
      <c r="H2251" s="1" t="s">
        <v>27</v>
      </c>
      <c r="I2251" s="1" t="s">
        <v>18</v>
      </c>
      <c r="J2251" s="1">
        <v>4</v>
      </c>
      <c r="K2251" s="1" t="s">
        <v>19</v>
      </c>
      <c r="L2251" s="1" t="s">
        <v>33</v>
      </c>
      <c r="M2251" s="1">
        <f>orders[[#This Row],[Ship Date]]-orders[[#This Row],[Order Date]]</f>
        <v>2</v>
      </c>
      <c r="N2251" s="1">
        <f>WEEKNUM(orders[[#This Row],[Order Date]])</f>
        <v>13</v>
      </c>
      <c r="O2251" s="1" t="str" cm="1">
        <f t="array" ref="O2251">_xlfn.IFS(orders[[#This Row],[Customer Gender]]="M","Male", orders[[#This Row],[Customer Gender]]="F","Female", orders[[#This Row],[Customer Gender]]="O","Other", TRUE,"Unknown")</f>
        <v>Female</v>
      </c>
    </row>
    <row r="2252" spans="1:15">
      <c r="A2252" s="1" t="s">
        <v>2353</v>
      </c>
      <c r="B2252" s="1" t="s">
        <v>44</v>
      </c>
      <c r="C2252" s="1">
        <v>1</v>
      </c>
      <c r="D2252" s="1">
        <v>33.799999999999997</v>
      </c>
      <c r="E2252" s="11">
        <v>33.799999999999997</v>
      </c>
      <c r="F2252" s="3">
        <v>45740</v>
      </c>
      <c r="G2252" s="3">
        <v>45741</v>
      </c>
      <c r="H2252" s="1" t="s">
        <v>27</v>
      </c>
      <c r="I2252" s="1" t="s">
        <v>40</v>
      </c>
      <c r="J2252" s="1">
        <v>5</v>
      </c>
      <c r="K2252" s="1" t="s">
        <v>19</v>
      </c>
      <c r="L2252" s="1" t="s">
        <v>186</v>
      </c>
      <c r="M2252" s="1">
        <f>orders[[#This Row],[Ship Date]]-orders[[#This Row],[Order Date]]</f>
        <v>1</v>
      </c>
      <c r="N2252" s="1">
        <f>WEEKNUM(orders[[#This Row],[Order Date]])</f>
        <v>13</v>
      </c>
      <c r="O2252" s="1" t="str" cm="1">
        <f t="array" ref="O2252">_xlfn.IFS(orders[[#This Row],[Customer Gender]]="M","Male", orders[[#This Row],[Customer Gender]]="F","Female", orders[[#This Row],[Customer Gender]]="O","Other", TRUE,"Unknown")</f>
        <v>Female</v>
      </c>
    </row>
    <row r="2253" spans="1:15">
      <c r="A2253" s="1" t="s">
        <v>2354</v>
      </c>
      <c r="B2253" s="1" t="s">
        <v>22</v>
      </c>
      <c r="C2253" s="1">
        <v>2</v>
      </c>
      <c r="D2253" s="1">
        <v>39.1</v>
      </c>
      <c r="E2253" s="11">
        <v>78.2</v>
      </c>
      <c r="F2253" s="3">
        <v>45740</v>
      </c>
      <c r="G2253" s="3">
        <v>45741</v>
      </c>
      <c r="H2253" s="1" t="s">
        <v>23</v>
      </c>
      <c r="I2253" s="1" t="s">
        <v>18</v>
      </c>
      <c r="J2253" s="1">
        <v>3</v>
      </c>
      <c r="K2253" s="1" t="s">
        <v>19</v>
      </c>
      <c r="L2253" s="1" t="s">
        <v>186</v>
      </c>
      <c r="M2253" s="1">
        <f>orders[[#This Row],[Ship Date]]-orders[[#This Row],[Order Date]]</f>
        <v>1</v>
      </c>
      <c r="N2253" s="1">
        <f>WEEKNUM(orders[[#This Row],[Order Date]])</f>
        <v>13</v>
      </c>
      <c r="O2253" s="1" t="str" cm="1">
        <f t="array" ref="O2253">_xlfn.IFS(orders[[#This Row],[Customer Gender]]="M","Male", orders[[#This Row],[Customer Gender]]="F","Female", orders[[#This Row],[Customer Gender]]="O","Other", TRUE,"Unknown")</f>
        <v>Male</v>
      </c>
    </row>
    <row r="2254" spans="1:15">
      <c r="A2254" s="1" t="s">
        <v>2355</v>
      </c>
      <c r="B2254" s="1" t="s">
        <v>16</v>
      </c>
      <c r="C2254" s="1">
        <v>1</v>
      </c>
      <c r="D2254" s="1">
        <v>37.200000000000003</v>
      </c>
      <c r="E2254" s="11">
        <v>37.200000000000003</v>
      </c>
      <c r="F2254" s="3">
        <v>45740</v>
      </c>
      <c r="G2254" s="3">
        <v>45741</v>
      </c>
      <c r="H2254" s="1" t="s">
        <v>23</v>
      </c>
      <c r="I2254" s="1" t="s">
        <v>18</v>
      </c>
      <c r="J2254" s="1">
        <v>3</v>
      </c>
      <c r="K2254" s="1" t="s">
        <v>19</v>
      </c>
      <c r="L2254" s="1" t="s">
        <v>98</v>
      </c>
      <c r="M2254" s="1">
        <f>orders[[#This Row],[Ship Date]]-orders[[#This Row],[Order Date]]</f>
        <v>1</v>
      </c>
      <c r="N2254" s="1">
        <f>WEEKNUM(orders[[#This Row],[Order Date]])</f>
        <v>13</v>
      </c>
      <c r="O2254" s="1" t="str" cm="1">
        <f t="array" ref="O2254">_xlfn.IFS(orders[[#This Row],[Customer Gender]]="M","Male", orders[[#This Row],[Customer Gender]]="F","Female", orders[[#This Row],[Customer Gender]]="O","Other", TRUE,"Unknown")</f>
        <v>Male</v>
      </c>
    </row>
    <row r="2255" spans="1:15">
      <c r="A2255" s="1" t="s">
        <v>2356</v>
      </c>
      <c r="B2255" s="1" t="s">
        <v>123</v>
      </c>
      <c r="C2255" s="1">
        <v>3</v>
      </c>
      <c r="D2255" s="1">
        <v>33.9</v>
      </c>
      <c r="E2255" s="11">
        <v>101.69999999999999</v>
      </c>
      <c r="F2255" s="3">
        <v>45740</v>
      </c>
      <c r="G2255" s="3">
        <v>45742</v>
      </c>
      <c r="H2255" s="1" t="s">
        <v>23</v>
      </c>
      <c r="I2255" s="1" t="s">
        <v>40</v>
      </c>
      <c r="J2255" s="1">
        <v>4</v>
      </c>
      <c r="K2255" s="1" t="s">
        <v>19</v>
      </c>
      <c r="L2255" s="1" t="s">
        <v>55</v>
      </c>
      <c r="M2255" s="1">
        <f>orders[[#This Row],[Ship Date]]-orders[[#This Row],[Order Date]]</f>
        <v>2</v>
      </c>
      <c r="N2255" s="1">
        <f>WEEKNUM(orders[[#This Row],[Order Date]])</f>
        <v>13</v>
      </c>
      <c r="O2255" s="1" t="str" cm="1">
        <f t="array" ref="O2255">_xlfn.IFS(orders[[#This Row],[Customer Gender]]="M","Male", orders[[#This Row],[Customer Gender]]="F","Female", orders[[#This Row],[Customer Gender]]="O","Other", TRUE,"Unknown")</f>
        <v>Male</v>
      </c>
    </row>
    <row r="2256" spans="1:15">
      <c r="A2256" s="1" t="s">
        <v>2357</v>
      </c>
      <c r="B2256" s="1" t="s">
        <v>42</v>
      </c>
      <c r="C2256" s="1">
        <v>15</v>
      </c>
      <c r="D2256" s="1">
        <v>73.3</v>
      </c>
      <c r="E2256" s="11">
        <v>1099.5</v>
      </c>
      <c r="F2256" s="3">
        <v>45740</v>
      </c>
      <c r="G2256" s="3">
        <v>45743</v>
      </c>
      <c r="H2256" s="1" t="s">
        <v>27</v>
      </c>
      <c r="I2256" s="1" t="s">
        <v>40</v>
      </c>
      <c r="J2256" s="1">
        <v>3</v>
      </c>
      <c r="K2256" s="1" t="s">
        <v>19</v>
      </c>
      <c r="L2256" s="1" t="s">
        <v>62</v>
      </c>
      <c r="M2256" s="1">
        <f>orders[[#This Row],[Ship Date]]-orders[[#This Row],[Order Date]]</f>
        <v>3</v>
      </c>
      <c r="N2256" s="1">
        <f>WEEKNUM(orders[[#This Row],[Order Date]])</f>
        <v>13</v>
      </c>
      <c r="O2256" s="1" t="str" cm="1">
        <f t="array" ref="O2256">_xlfn.IFS(orders[[#This Row],[Customer Gender]]="M","Male", orders[[#This Row],[Customer Gender]]="F","Female", orders[[#This Row],[Customer Gender]]="O","Other", TRUE,"Unknown")</f>
        <v>Female</v>
      </c>
    </row>
    <row r="2257" spans="1:15">
      <c r="A2257" s="1" t="s">
        <v>2358</v>
      </c>
      <c r="B2257" s="1" t="s">
        <v>44</v>
      </c>
      <c r="C2257" s="1">
        <v>4</v>
      </c>
      <c r="D2257" s="1">
        <v>35</v>
      </c>
      <c r="E2257" s="11">
        <v>140</v>
      </c>
      <c r="F2257" s="3">
        <v>45740</v>
      </c>
      <c r="G2257" s="3">
        <v>45742</v>
      </c>
      <c r="H2257" s="1" t="s">
        <v>27</v>
      </c>
      <c r="I2257" s="1" t="s">
        <v>35</v>
      </c>
      <c r="J2257" s="1">
        <v>4</v>
      </c>
      <c r="K2257" s="1" t="s">
        <v>19</v>
      </c>
      <c r="L2257" s="1" t="s">
        <v>62</v>
      </c>
      <c r="M2257" s="1">
        <f>orders[[#This Row],[Ship Date]]-orders[[#This Row],[Order Date]]</f>
        <v>2</v>
      </c>
      <c r="N2257" s="1">
        <f>WEEKNUM(orders[[#This Row],[Order Date]])</f>
        <v>13</v>
      </c>
      <c r="O2257" s="1" t="str" cm="1">
        <f t="array" ref="O2257">_xlfn.IFS(orders[[#This Row],[Customer Gender]]="M","Male", orders[[#This Row],[Customer Gender]]="F","Female", orders[[#This Row],[Customer Gender]]="O","Other", TRUE,"Unknown")</f>
        <v>Female</v>
      </c>
    </row>
    <row r="2258" spans="1:15">
      <c r="A2258" s="1" t="s">
        <v>2359</v>
      </c>
      <c r="B2258" s="1" t="s">
        <v>16</v>
      </c>
      <c r="C2258" s="1">
        <v>3</v>
      </c>
      <c r="D2258" s="1">
        <v>22.2</v>
      </c>
      <c r="E2258" s="11">
        <v>66.599999999999994</v>
      </c>
      <c r="F2258" s="3">
        <v>45740</v>
      </c>
      <c r="G2258" s="3">
        <v>45741</v>
      </c>
      <c r="H2258" s="1" t="s">
        <v>23</v>
      </c>
      <c r="I2258" s="1" t="s">
        <v>35</v>
      </c>
      <c r="J2258" s="1">
        <v>4</v>
      </c>
      <c r="K2258" s="1" t="s">
        <v>19</v>
      </c>
      <c r="L2258" s="1" t="s">
        <v>103</v>
      </c>
      <c r="M2258" s="1">
        <f>orders[[#This Row],[Ship Date]]-orders[[#This Row],[Order Date]]</f>
        <v>1</v>
      </c>
      <c r="N2258" s="1">
        <f>WEEKNUM(orders[[#This Row],[Order Date]])</f>
        <v>13</v>
      </c>
      <c r="O2258" s="1" t="str" cm="1">
        <f t="array" ref="O2258">_xlfn.IFS(orders[[#This Row],[Customer Gender]]="M","Male", orders[[#This Row],[Customer Gender]]="F","Female", orders[[#This Row],[Customer Gender]]="O","Other", TRUE,"Unknown")</f>
        <v>Male</v>
      </c>
    </row>
    <row r="2259" spans="1:15">
      <c r="A2259" s="1" t="s">
        <v>2360</v>
      </c>
      <c r="B2259" s="1" t="s">
        <v>54</v>
      </c>
      <c r="C2259" s="1">
        <v>1</v>
      </c>
      <c r="D2259" s="1">
        <v>32.4</v>
      </c>
      <c r="E2259" s="11">
        <v>32.4</v>
      </c>
      <c r="F2259" s="3">
        <v>45740</v>
      </c>
      <c r="G2259" s="3">
        <v>45741</v>
      </c>
      <c r="H2259" s="1" t="s">
        <v>27</v>
      </c>
      <c r="I2259" s="1" t="s">
        <v>18</v>
      </c>
      <c r="J2259" s="1">
        <v>4</v>
      </c>
      <c r="K2259" s="1" t="s">
        <v>19</v>
      </c>
      <c r="L2259" s="1" t="s">
        <v>77</v>
      </c>
      <c r="M2259" s="1">
        <f>orders[[#This Row],[Ship Date]]-orders[[#This Row],[Order Date]]</f>
        <v>1</v>
      </c>
      <c r="N2259" s="1">
        <f>WEEKNUM(orders[[#This Row],[Order Date]])</f>
        <v>13</v>
      </c>
      <c r="O2259" s="1" t="str" cm="1">
        <f t="array" ref="O2259">_xlfn.IFS(orders[[#This Row],[Customer Gender]]="M","Male", orders[[#This Row],[Customer Gender]]="F","Female", orders[[#This Row],[Customer Gender]]="O","Other", TRUE,"Unknown")</f>
        <v>Female</v>
      </c>
    </row>
    <row r="2260" spans="1:15">
      <c r="A2260" s="1" t="s">
        <v>2361</v>
      </c>
      <c r="B2260" s="1" t="s">
        <v>37</v>
      </c>
      <c r="C2260" s="1">
        <v>3</v>
      </c>
      <c r="D2260" s="1">
        <v>88.4</v>
      </c>
      <c r="E2260" s="11">
        <v>265.20000000000005</v>
      </c>
      <c r="F2260" s="3">
        <v>45741</v>
      </c>
      <c r="G2260" s="3">
        <v>45743</v>
      </c>
      <c r="H2260" s="1" t="s">
        <v>27</v>
      </c>
      <c r="I2260" s="1" t="s">
        <v>35</v>
      </c>
      <c r="J2260" s="1">
        <v>3</v>
      </c>
      <c r="K2260" s="1" t="s">
        <v>19</v>
      </c>
      <c r="L2260" s="1" t="s">
        <v>77</v>
      </c>
      <c r="M2260" s="1">
        <f>orders[[#This Row],[Ship Date]]-orders[[#This Row],[Order Date]]</f>
        <v>2</v>
      </c>
      <c r="N2260" s="1">
        <f>WEEKNUM(orders[[#This Row],[Order Date]])</f>
        <v>13</v>
      </c>
      <c r="O2260" s="1" t="str" cm="1">
        <f t="array" ref="O2260">_xlfn.IFS(orders[[#This Row],[Customer Gender]]="M","Male", orders[[#This Row],[Customer Gender]]="F","Female", orders[[#This Row],[Customer Gender]]="O","Other", TRUE,"Unknown")</f>
        <v>Female</v>
      </c>
    </row>
    <row r="2261" spans="1:15">
      <c r="A2261" s="1" t="s">
        <v>2362</v>
      </c>
      <c r="B2261" s="1" t="s">
        <v>37</v>
      </c>
      <c r="C2261" s="1">
        <v>16</v>
      </c>
      <c r="D2261" s="1">
        <v>30.5</v>
      </c>
      <c r="E2261" s="11">
        <v>488</v>
      </c>
      <c r="F2261" s="3">
        <v>45741</v>
      </c>
      <c r="G2261" s="3">
        <v>45742</v>
      </c>
      <c r="H2261" s="1" t="s">
        <v>27</v>
      </c>
      <c r="I2261" s="1" t="s">
        <v>40</v>
      </c>
      <c r="J2261" s="1">
        <v>4</v>
      </c>
      <c r="K2261" s="1" t="s">
        <v>19</v>
      </c>
      <c r="L2261" s="1" t="s">
        <v>77</v>
      </c>
      <c r="M2261" s="1">
        <f>orders[[#This Row],[Ship Date]]-orders[[#This Row],[Order Date]]</f>
        <v>1</v>
      </c>
      <c r="N2261" s="1">
        <f>WEEKNUM(orders[[#This Row],[Order Date]])</f>
        <v>13</v>
      </c>
      <c r="O2261" s="1" t="str" cm="1">
        <f t="array" ref="O2261">_xlfn.IFS(orders[[#This Row],[Customer Gender]]="M","Male", orders[[#This Row],[Customer Gender]]="F","Female", orders[[#This Row],[Customer Gender]]="O","Other", TRUE,"Unknown")</f>
        <v>Female</v>
      </c>
    </row>
    <row r="2262" spans="1:15">
      <c r="A2262" s="1" t="s">
        <v>2363</v>
      </c>
      <c r="B2262" s="1" t="s">
        <v>22</v>
      </c>
      <c r="C2262" s="1">
        <v>6</v>
      </c>
      <c r="D2262" s="1">
        <v>38.1</v>
      </c>
      <c r="E2262" s="11">
        <v>228.60000000000002</v>
      </c>
      <c r="F2262" s="3">
        <v>45741</v>
      </c>
      <c r="G2262" s="3">
        <v>45743</v>
      </c>
      <c r="H2262" s="1" t="s">
        <v>27</v>
      </c>
      <c r="I2262" s="1" t="s">
        <v>18</v>
      </c>
      <c r="J2262" s="1">
        <v>3</v>
      </c>
      <c r="K2262" s="1" t="s">
        <v>19</v>
      </c>
      <c r="L2262" s="1" t="s">
        <v>77</v>
      </c>
      <c r="M2262" s="1">
        <f>orders[[#This Row],[Ship Date]]-orders[[#This Row],[Order Date]]</f>
        <v>2</v>
      </c>
      <c r="N2262" s="1">
        <f>WEEKNUM(orders[[#This Row],[Order Date]])</f>
        <v>13</v>
      </c>
      <c r="O2262" s="1" t="str" cm="1">
        <f t="array" ref="O2262">_xlfn.IFS(orders[[#This Row],[Customer Gender]]="M","Male", orders[[#This Row],[Customer Gender]]="F","Female", orders[[#This Row],[Customer Gender]]="O","Other", TRUE,"Unknown")</f>
        <v>Female</v>
      </c>
    </row>
    <row r="2263" spans="1:15">
      <c r="A2263" s="1" t="s">
        <v>2364</v>
      </c>
      <c r="B2263" s="1" t="s">
        <v>54</v>
      </c>
      <c r="C2263" s="1">
        <v>5</v>
      </c>
      <c r="D2263" s="1">
        <v>37.6</v>
      </c>
      <c r="E2263" s="11">
        <v>188</v>
      </c>
      <c r="F2263" s="3">
        <v>45741</v>
      </c>
      <c r="G2263" s="3">
        <v>45745</v>
      </c>
      <c r="H2263" s="1" t="s">
        <v>23</v>
      </c>
      <c r="I2263" s="1" t="s">
        <v>18</v>
      </c>
      <c r="J2263" s="1">
        <v>4</v>
      </c>
      <c r="K2263" s="1" t="s">
        <v>19</v>
      </c>
      <c r="L2263" s="1" t="s">
        <v>77</v>
      </c>
      <c r="M2263" s="1">
        <f>orders[[#This Row],[Ship Date]]-orders[[#This Row],[Order Date]]</f>
        <v>4</v>
      </c>
      <c r="N2263" s="1">
        <f>WEEKNUM(orders[[#This Row],[Order Date]])</f>
        <v>13</v>
      </c>
      <c r="O2263" s="1" t="str" cm="1">
        <f t="array" ref="O2263">_xlfn.IFS(orders[[#This Row],[Customer Gender]]="M","Male", orders[[#This Row],[Customer Gender]]="F","Female", orders[[#This Row],[Customer Gender]]="O","Other", TRUE,"Unknown")</f>
        <v>Male</v>
      </c>
    </row>
    <row r="2264" spans="1:15">
      <c r="A2264" s="1" t="s">
        <v>2365</v>
      </c>
      <c r="B2264" s="1" t="s">
        <v>123</v>
      </c>
      <c r="C2264" s="1">
        <v>2</v>
      </c>
      <c r="D2264" s="1">
        <v>31.4</v>
      </c>
      <c r="E2264" s="11">
        <v>62.8</v>
      </c>
      <c r="F2264" s="3">
        <v>45741</v>
      </c>
      <c r="G2264" s="3">
        <v>45742</v>
      </c>
      <c r="H2264" s="1" t="s">
        <v>23</v>
      </c>
      <c r="I2264" s="1" t="s">
        <v>18</v>
      </c>
      <c r="J2264" s="1">
        <v>5</v>
      </c>
      <c r="K2264" s="1" t="s">
        <v>19</v>
      </c>
      <c r="L2264" s="1" t="s">
        <v>77</v>
      </c>
      <c r="M2264" s="1">
        <f>orders[[#This Row],[Ship Date]]-orders[[#This Row],[Order Date]]</f>
        <v>1</v>
      </c>
      <c r="N2264" s="1">
        <f>WEEKNUM(orders[[#This Row],[Order Date]])</f>
        <v>13</v>
      </c>
      <c r="O2264" s="1" t="str" cm="1">
        <f t="array" ref="O2264">_xlfn.IFS(orders[[#This Row],[Customer Gender]]="M","Male", orders[[#This Row],[Customer Gender]]="F","Female", orders[[#This Row],[Customer Gender]]="O","Other", TRUE,"Unknown")</f>
        <v>Male</v>
      </c>
    </row>
    <row r="2265" spans="1:15">
      <c r="A2265" s="1" t="s">
        <v>2366</v>
      </c>
      <c r="B2265" s="1" t="s">
        <v>39</v>
      </c>
      <c r="C2265" s="1">
        <v>2</v>
      </c>
      <c r="D2265" s="1">
        <v>61.5</v>
      </c>
      <c r="E2265" s="11">
        <v>123</v>
      </c>
      <c r="F2265" s="3">
        <v>45741</v>
      </c>
      <c r="G2265" s="3">
        <v>45742</v>
      </c>
      <c r="H2265" s="1" t="s">
        <v>23</v>
      </c>
      <c r="I2265" s="1" t="s">
        <v>51</v>
      </c>
      <c r="J2265" s="1">
        <v>4</v>
      </c>
      <c r="K2265" s="1" t="s">
        <v>19</v>
      </c>
      <c r="L2265" s="1" t="s">
        <v>292</v>
      </c>
      <c r="M2265" s="1">
        <f>orders[[#This Row],[Ship Date]]-orders[[#This Row],[Order Date]]</f>
        <v>1</v>
      </c>
      <c r="N2265" s="1">
        <f>WEEKNUM(orders[[#This Row],[Order Date]])</f>
        <v>13</v>
      </c>
      <c r="O2265" s="1" t="str" cm="1">
        <f t="array" ref="O2265">_xlfn.IFS(orders[[#This Row],[Customer Gender]]="M","Male", orders[[#This Row],[Customer Gender]]="F","Female", orders[[#This Row],[Customer Gender]]="O","Other", TRUE,"Unknown")</f>
        <v>Male</v>
      </c>
    </row>
    <row r="2266" spans="1:15">
      <c r="A2266" s="1" t="s">
        <v>2367</v>
      </c>
      <c r="B2266" s="1" t="s">
        <v>39</v>
      </c>
      <c r="C2266" s="1">
        <v>1</v>
      </c>
      <c r="D2266" s="1">
        <v>72.599999999999994</v>
      </c>
      <c r="E2266" s="11">
        <v>72.599999999999994</v>
      </c>
      <c r="F2266" s="3">
        <v>45741</v>
      </c>
      <c r="G2266" s="3">
        <v>45742</v>
      </c>
      <c r="H2266" s="1" t="s">
        <v>23</v>
      </c>
      <c r="I2266" s="1" t="s">
        <v>18</v>
      </c>
      <c r="J2266" s="1">
        <v>3</v>
      </c>
      <c r="K2266" s="1" t="s">
        <v>19</v>
      </c>
      <c r="L2266" s="1" t="s">
        <v>115</v>
      </c>
      <c r="M2266" s="1">
        <f>orders[[#This Row],[Ship Date]]-orders[[#This Row],[Order Date]]</f>
        <v>1</v>
      </c>
      <c r="N2266" s="1">
        <f>WEEKNUM(orders[[#This Row],[Order Date]])</f>
        <v>13</v>
      </c>
      <c r="O2266" s="1" t="str" cm="1">
        <f t="array" ref="O2266">_xlfn.IFS(orders[[#This Row],[Customer Gender]]="M","Male", orders[[#This Row],[Customer Gender]]="F","Female", orders[[#This Row],[Customer Gender]]="O","Other", TRUE,"Unknown")</f>
        <v>Male</v>
      </c>
    </row>
    <row r="2267" spans="1:15">
      <c r="A2267" s="1" t="s">
        <v>2368</v>
      </c>
      <c r="B2267" s="1" t="s">
        <v>46</v>
      </c>
      <c r="C2267" s="1">
        <v>3</v>
      </c>
      <c r="D2267" s="1">
        <v>26.9</v>
      </c>
      <c r="E2267" s="11">
        <v>80.699999999999989</v>
      </c>
      <c r="F2267" s="3">
        <v>45741</v>
      </c>
      <c r="G2267" s="3">
        <v>45746</v>
      </c>
      <c r="H2267" s="1" t="s">
        <v>89</v>
      </c>
      <c r="I2267" s="1" t="s">
        <v>70</v>
      </c>
      <c r="J2267" s="1">
        <v>3</v>
      </c>
      <c r="K2267" s="1" t="s">
        <v>19</v>
      </c>
      <c r="L2267" s="1" t="s">
        <v>641</v>
      </c>
      <c r="M2267" s="1">
        <f>orders[[#This Row],[Ship Date]]-orders[[#This Row],[Order Date]]</f>
        <v>5</v>
      </c>
      <c r="N2267" s="1">
        <f>WEEKNUM(orders[[#This Row],[Order Date]])</f>
        <v>13</v>
      </c>
      <c r="O2267" s="1" t="str" cm="1">
        <f t="array" ref="O2267">_xlfn.IFS(orders[[#This Row],[Customer Gender]]="M","Male", orders[[#This Row],[Customer Gender]]="F","Female", orders[[#This Row],[Customer Gender]]="O","Other", TRUE,"Unknown")</f>
        <v>Other</v>
      </c>
    </row>
    <row r="2268" spans="1:15">
      <c r="A2268" s="1" t="s">
        <v>2369</v>
      </c>
      <c r="B2268" s="1" t="s">
        <v>135</v>
      </c>
      <c r="C2268" s="1">
        <v>12</v>
      </c>
      <c r="D2268" s="1">
        <v>29.4</v>
      </c>
      <c r="E2268" s="11">
        <v>352.79999999999995</v>
      </c>
      <c r="F2268" s="3">
        <v>45741</v>
      </c>
      <c r="G2268" s="3">
        <v>45742</v>
      </c>
      <c r="H2268" s="1" t="s">
        <v>27</v>
      </c>
      <c r="I2268" s="1" t="s">
        <v>35</v>
      </c>
      <c r="J2268" s="1">
        <v>4</v>
      </c>
      <c r="K2268" s="1" t="s">
        <v>19</v>
      </c>
      <c r="L2268" s="1" t="s">
        <v>967</v>
      </c>
      <c r="M2268" s="1">
        <f>orders[[#This Row],[Ship Date]]-orders[[#This Row],[Order Date]]</f>
        <v>1</v>
      </c>
      <c r="N2268" s="1">
        <f>WEEKNUM(orders[[#This Row],[Order Date]])</f>
        <v>13</v>
      </c>
      <c r="O2268" s="1" t="str" cm="1">
        <f t="array" ref="O2268">_xlfn.IFS(orders[[#This Row],[Customer Gender]]="M","Male", orders[[#This Row],[Customer Gender]]="F","Female", orders[[#This Row],[Customer Gender]]="O","Other", TRUE,"Unknown")</f>
        <v>Female</v>
      </c>
    </row>
    <row r="2269" spans="1:15">
      <c r="A2269" s="1" t="s">
        <v>2370</v>
      </c>
      <c r="B2269" s="1" t="s">
        <v>135</v>
      </c>
      <c r="C2269" s="1">
        <v>2</v>
      </c>
      <c r="D2269" s="1">
        <v>42.1</v>
      </c>
      <c r="E2269" s="11">
        <v>84.2</v>
      </c>
      <c r="F2269" s="3">
        <v>45741</v>
      </c>
      <c r="G2269" s="3">
        <v>45742</v>
      </c>
      <c r="H2269" s="1" t="s">
        <v>27</v>
      </c>
      <c r="I2269" s="1" t="s">
        <v>51</v>
      </c>
      <c r="J2269" s="1">
        <v>3</v>
      </c>
      <c r="K2269" s="1" t="s">
        <v>19</v>
      </c>
      <c r="L2269" s="1" t="s">
        <v>24</v>
      </c>
      <c r="M2269" s="1">
        <f>orders[[#This Row],[Ship Date]]-orders[[#This Row],[Order Date]]</f>
        <v>1</v>
      </c>
      <c r="N2269" s="1">
        <f>WEEKNUM(orders[[#This Row],[Order Date]])</f>
        <v>13</v>
      </c>
      <c r="O2269" s="1" t="str" cm="1">
        <f t="array" ref="O2269">_xlfn.IFS(orders[[#This Row],[Customer Gender]]="M","Male", orders[[#This Row],[Customer Gender]]="F","Female", orders[[#This Row],[Customer Gender]]="O","Other", TRUE,"Unknown")</f>
        <v>Female</v>
      </c>
    </row>
    <row r="2270" spans="1:15">
      <c r="A2270" s="1" t="s">
        <v>2371</v>
      </c>
      <c r="B2270" s="1" t="s">
        <v>37</v>
      </c>
      <c r="C2270" s="1">
        <v>1</v>
      </c>
      <c r="D2270" s="1">
        <v>40.5</v>
      </c>
      <c r="E2270" s="11">
        <v>40.5</v>
      </c>
      <c r="F2270" s="3">
        <v>45741</v>
      </c>
      <c r="G2270" s="3">
        <v>45742</v>
      </c>
      <c r="H2270" s="1" t="s">
        <v>27</v>
      </c>
      <c r="I2270" s="1" t="s">
        <v>40</v>
      </c>
      <c r="J2270" s="1">
        <v>3</v>
      </c>
      <c r="K2270" s="1" t="s">
        <v>19</v>
      </c>
      <c r="L2270" s="1" t="s">
        <v>24</v>
      </c>
      <c r="M2270" s="1">
        <f>orders[[#This Row],[Ship Date]]-orders[[#This Row],[Order Date]]</f>
        <v>1</v>
      </c>
      <c r="N2270" s="1">
        <f>WEEKNUM(orders[[#This Row],[Order Date]])</f>
        <v>13</v>
      </c>
      <c r="O2270" s="1" t="str" cm="1">
        <f t="array" ref="O2270">_xlfn.IFS(orders[[#This Row],[Customer Gender]]="M","Male", orders[[#This Row],[Customer Gender]]="F","Female", orders[[#This Row],[Customer Gender]]="O","Other", TRUE,"Unknown")</f>
        <v>Female</v>
      </c>
    </row>
    <row r="2271" spans="1:15">
      <c r="A2271" s="1" t="s">
        <v>2372</v>
      </c>
      <c r="B2271" s="1" t="s">
        <v>26</v>
      </c>
      <c r="C2271" s="1">
        <v>4</v>
      </c>
      <c r="D2271" s="1">
        <v>182.3</v>
      </c>
      <c r="E2271" s="11">
        <v>729.2</v>
      </c>
      <c r="F2271" s="3">
        <v>45741</v>
      </c>
      <c r="G2271" s="3">
        <v>45742</v>
      </c>
      <c r="H2271" s="1" t="s">
        <v>27</v>
      </c>
      <c r="I2271" s="1" t="s">
        <v>35</v>
      </c>
      <c r="J2271" s="1">
        <v>4</v>
      </c>
      <c r="K2271" s="1" t="s">
        <v>19</v>
      </c>
      <c r="L2271" s="1" t="s">
        <v>24</v>
      </c>
      <c r="M2271" s="1">
        <f>orders[[#This Row],[Ship Date]]-orders[[#This Row],[Order Date]]</f>
        <v>1</v>
      </c>
      <c r="N2271" s="1">
        <f>WEEKNUM(orders[[#This Row],[Order Date]])</f>
        <v>13</v>
      </c>
      <c r="O2271" s="1" t="str" cm="1">
        <f t="array" ref="O2271">_xlfn.IFS(orders[[#This Row],[Customer Gender]]="M","Male", orders[[#This Row],[Customer Gender]]="F","Female", orders[[#This Row],[Customer Gender]]="O","Other", TRUE,"Unknown")</f>
        <v>Female</v>
      </c>
    </row>
    <row r="2272" spans="1:15">
      <c r="A2272" s="1" t="s">
        <v>2373</v>
      </c>
      <c r="B2272" s="1" t="s">
        <v>26</v>
      </c>
      <c r="C2272" s="1">
        <v>5</v>
      </c>
      <c r="D2272" s="1">
        <v>157</v>
      </c>
      <c r="E2272" s="11">
        <v>785</v>
      </c>
      <c r="F2272" s="3">
        <v>45741</v>
      </c>
      <c r="G2272" s="3">
        <v>45744</v>
      </c>
      <c r="H2272" s="1" t="s">
        <v>27</v>
      </c>
      <c r="I2272" s="1" t="s">
        <v>35</v>
      </c>
      <c r="J2272" s="1">
        <v>5</v>
      </c>
      <c r="K2272" s="1" t="s">
        <v>19</v>
      </c>
      <c r="L2272" s="1" t="s">
        <v>28</v>
      </c>
      <c r="M2272" s="1">
        <f>orders[[#This Row],[Ship Date]]-orders[[#This Row],[Order Date]]</f>
        <v>3</v>
      </c>
      <c r="N2272" s="1">
        <f>WEEKNUM(orders[[#This Row],[Order Date]])</f>
        <v>13</v>
      </c>
      <c r="O2272" s="1" t="str" cm="1">
        <f t="array" ref="O2272">_xlfn.IFS(orders[[#This Row],[Customer Gender]]="M","Male", orders[[#This Row],[Customer Gender]]="F","Female", orders[[#This Row],[Customer Gender]]="O","Other", TRUE,"Unknown")</f>
        <v>Female</v>
      </c>
    </row>
    <row r="2273" spans="1:15">
      <c r="A2273" s="1" t="s">
        <v>2374</v>
      </c>
      <c r="B2273" s="1" t="s">
        <v>135</v>
      </c>
      <c r="C2273" s="1">
        <v>5</v>
      </c>
      <c r="D2273" s="1">
        <v>45.2</v>
      </c>
      <c r="E2273" s="11">
        <v>226</v>
      </c>
      <c r="F2273" s="3">
        <v>45741</v>
      </c>
      <c r="G2273" s="3">
        <v>45744</v>
      </c>
      <c r="H2273" s="1" t="s">
        <v>27</v>
      </c>
      <c r="I2273" s="1" t="s">
        <v>35</v>
      </c>
      <c r="J2273" s="1">
        <v>4</v>
      </c>
      <c r="K2273" s="1" t="s">
        <v>19</v>
      </c>
      <c r="L2273" s="1" t="s">
        <v>147</v>
      </c>
      <c r="M2273" s="1">
        <f>orders[[#This Row],[Ship Date]]-orders[[#This Row],[Order Date]]</f>
        <v>3</v>
      </c>
      <c r="N2273" s="1">
        <f>WEEKNUM(orders[[#This Row],[Order Date]])</f>
        <v>13</v>
      </c>
      <c r="O2273" s="1" t="str" cm="1">
        <f t="array" ref="O2273">_xlfn.IFS(orders[[#This Row],[Customer Gender]]="M","Male", orders[[#This Row],[Customer Gender]]="F","Female", orders[[#This Row],[Customer Gender]]="O","Other", TRUE,"Unknown")</f>
        <v>Female</v>
      </c>
    </row>
    <row r="2274" spans="1:15">
      <c r="A2274" s="1" t="s">
        <v>2375</v>
      </c>
      <c r="B2274" s="1" t="s">
        <v>123</v>
      </c>
      <c r="C2274" s="1">
        <v>4</v>
      </c>
      <c r="D2274" s="1">
        <v>27.4</v>
      </c>
      <c r="E2274" s="11">
        <v>109.6</v>
      </c>
      <c r="F2274" s="3">
        <v>45741</v>
      </c>
      <c r="G2274" s="3">
        <v>45743</v>
      </c>
      <c r="H2274" s="1" t="s">
        <v>27</v>
      </c>
      <c r="I2274" s="1" t="s">
        <v>18</v>
      </c>
      <c r="J2274" s="1">
        <v>4</v>
      </c>
      <c r="K2274" s="1" t="s">
        <v>19</v>
      </c>
      <c r="L2274" s="1" t="s">
        <v>33</v>
      </c>
      <c r="M2274" s="1">
        <f>orders[[#This Row],[Ship Date]]-orders[[#This Row],[Order Date]]</f>
        <v>2</v>
      </c>
      <c r="N2274" s="1">
        <f>WEEKNUM(orders[[#This Row],[Order Date]])</f>
        <v>13</v>
      </c>
      <c r="O2274" s="1" t="str" cm="1">
        <f t="array" ref="O2274">_xlfn.IFS(orders[[#This Row],[Customer Gender]]="M","Male", orders[[#This Row],[Customer Gender]]="F","Female", orders[[#This Row],[Customer Gender]]="O","Other", TRUE,"Unknown")</f>
        <v>Female</v>
      </c>
    </row>
    <row r="2275" spans="1:15">
      <c r="A2275" s="1" t="s">
        <v>2376</v>
      </c>
      <c r="B2275" s="1" t="s">
        <v>37</v>
      </c>
      <c r="C2275" s="1">
        <v>5</v>
      </c>
      <c r="D2275" s="1">
        <v>34.1</v>
      </c>
      <c r="E2275" s="11">
        <v>170.5</v>
      </c>
      <c r="F2275" s="3">
        <v>45741</v>
      </c>
      <c r="G2275" s="3">
        <v>45743</v>
      </c>
      <c r="H2275" s="1" t="s">
        <v>23</v>
      </c>
      <c r="I2275" s="1" t="s">
        <v>18</v>
      </c>
      <c r="J2275" s="1">
        <v>5</v>
      </c>
      <c r="K2275" s="1" t="s">
        <v>19</v>
      </c>
      <c r="L2275" s="1" t="s">
        <v>33</v>
      </c>
      <c r="M2275" s="1">
        <f>orders[[#This Row],[Ship Date]]-orders[[#This Row],[Order Date]]</f>
        <v>2</v>
      </c>
      <c r="N2275" s="1">
        <f>WEEKNUM(orders[[#This Row],[Order Date]])</f>
        <v>13</v>
      </c>
      <c r="O2275" s="1" t="str" cm="1">
        <f t="array" ref="O2275">_xlfn.IFS(orders[[#This Row],[Customer Gender]]="M","Male", orders[[#This Row],[Customer Gender]]="F","Female", orders[[#This Row],[Customer Gender]]="O","Other", TRUE,"Unknown")</f>
        <v>Male</v>
      </c>
    </row>
    <row r="2276" spans="1:15">
      <c r="A2276" s="1" t="s">
        <v>2377</v>
      </c>
      <c r="B2276" s="1" t="s">
        <v>16</v>
      </c>
      <c r="C2276" s="1">
        <v>2</v>
      </c>
      <c r="D2276" s="1">
        <v>26</v>
      </c>
      <c r="E2276" s="11">
        <v>52</v>
      </c>
      <c r="F2276" s="3">
        <v>45741</v>
      </c>
      <c r="G2276" s="3">
        <v>45743</v>
      </c>
      <c r="H2276" s="1" t="s">
        <v>23</v>
      </c>
      <c r="I2276" s="1" t="s">
        <v>40</v>
      </c>
      <c r="J2276" s="1">
        <v>3</v>
      </c>
      <c r="K2276" s="1" t="s">
        <v>19</v>
      </c>
      <c r="L2276" s="1" t="s">
        <v>33</v>
      </c>
      <c r="M2276" s="1">
        <f>orders[[#This Row],[Ship Date]]-orders[[#This Row],[Order Date]]</f>
        <v>2</v>
      </c>
      <c r="N2276" s="1">
        <f>WEEKNUM(orders[[#This Row],[Order Date]])</f>
        <v>13</v>
      </c>
      <c r="O2276" s="1" t="str" cm="1">
        <f t="array" ref="O2276">_xlfn.IFS(orders[[#This Row],[Customer Gender]]="M","Male", orders[[#This Row],[Customer Gender]]="F","Female", orders[[#This Row],[Customer Gender]]="O","Other", TRUE,"Unknown")</f>
        <v>Male</v>
      </c>
    </row>
    <row r="2277" spans="1:15">
      <c r="A2277" s="1" t="s">
        <v>2378</v>
      </c>
      <c r="B2277" s="1" t="s">
        <v>44</v>
      </c>
      <c r="C2277" s="1">
        <v>7</v>
      </c>
      <c r="D2277" s="1">
        <v>19.399999999999999</v>
      </c>
      <c r="E2277" s="11">
        <v>135.79999999999998</v>
      </c>
      <c r="F2277" s="3">
        <v>45741</v>
      </c>
      <c r="G2277" s="3">
        <v>45743</v>
      </c>
      <c r="H2277" s="1" t="s">
        <v>17</v>
      </c>
      <c r="I2277" s="1" t="s">
        <v>35</v>
      </c>
      <c r="J2277" s="1">
        <v>3</v>
      </c>
      <c r="K2277" s="1" t="s">
        <v>19</v>
      </c>
      <c r="L2277" s="1" t="s">
        <v>33</v>
      </c>
      <c r="M2277" s="1">
        <f>orders[[#This Row],[Ship Date]]-orders[[#This Row],[Order Date]]</f>
        <v>2</v>
      </c>
      <c r="N2277" s="1">
        <f>WEEKNUM(orders[[#This Row],[Order Date]])</f>
        <v>13</v>
      </c>
      <c r="O2277" s="1" t="str" cm="1">
        <f t="array" ref="O2277">_xlfn.IFS(orders[[#This Row],[Customer Gender]]="M","Male", orders[[#This Row],[Customer Gender]]="F","Female", orders[[#This Row],[Customer Gender]]="O","Other", TRUE,"Unknown")</f>
        <v>Unknown</v>
      </c>
    </row>
    <row r="2278" spans="1:15">
      <c r="A2278" s="1" t="s">
        <v>2379</v>
      </c>
      <c r="B2278" s="1" t="s">
        <v>128</v>
      </c>
      <c r="C2278" s="1">
        <v>3</v>
      </c>
      <c r="D2278" s="1">
        <v>30.3</v>
      </c>
      <c r="E2278" s="11">
        <v>90.9</v>
      </c>
      <c r="F2278" s="3">
        <v>45741</v>
      </c>
      <c r="G2278" s="3">
        <v>45744</v>
      </c>
      <c r="H2278" s="1" t="s">
        <v>27</v>
      </c>
      <c r="I2278" s="1" t="s">
        <v>35</v>
      </c>
      <c r="J2278" s="1">
        <v>5</v>
      </c>
      <c r="K2278" s="1" t="s">
        <v>19</v>
      </c>
      <c r="L2278" s="1" t="s">
        <v>33</v>
      </c>
      <c r="M2278" s="1">
        <f>orders[[#This Row],[Ship Date]]-orders[[#This Row],[Order Date]]</f>
        <v>3</v>
      </c>
      <c r="N2278" s="1">
        <f>WEEKNUM(orders[[#This Row],[Order Date]])</f>
        <v>13</v>
      </c>
      <c r="O2278" s="1" t="str" cm="1">
        <f t="array" ref="O2278">_xlfn.IFS(orders[[#This Row],[Customer Gender]]="M","Male", orders[[#This Row],[Customer Gender]]="F","Female", orders[[#This Row],[Customer Gender]]="O","Other", TRUE,"Unknown")</f>
        <v>Female</v>
      </c>
    </row>
    <row r="2279" spans="1:15">
      <c r="A2279" s="1" t="s">
        <v>2380</v>
      </c>
      <c r="B2279" s="1" t="s">
        <v>26</v>
      </c>
      <c r="C2279" s="1">
        <v>3</v>
      </c>
      <c r="D2279" s="1">
        <v>101.4</v>
      </c>
      <c r="E2279" s="11">
        <v>304.20000000000005</v>
      </c>
      <c r="F2279" s="3">
        <v>45741</v>
      </c>
      <c r="G2279" s="3">
        <v>45742</v>
      </c>
      <c r="H2279" s="1" t="s">
        <v>23</v>
      </c>
      <c r="I2279" s="1" t="s">
        <v>18</v>
      </c>
      <c r="J2279" s="1">
        <v>4</v>
      </c>
      <c r="K2279" s="1" t="s">
        <v>19</v>
      </c>
      <c r="L2279" s="1" t="s">
        <v>33</v>
      </c>
      <c r="M2279" s="1">
        <f>orders[[#This Row],[Ship Date]]-orders[[#This Row],[Order Date]]</f>
        <v>1</v>
      </c>
      <c r="N2279" s="1">
        <f>WEEKNUM(orders[[#This Row],[Order Date]])</f>
        <v>13</v>
      </c>
      <c r="O2279" s="1" t="str" cm="1">
        <f t="array" ref="O2279">_xlfn.IFS(orders[[#This Row],[Customer Gender]]="M","Male", orders[[#This Row],[Customer Gender]]="F","Female", orders[[#This Row],[Customer Gender]]="O","Other", TRUE,"Unknown")</f>
        <v>Male</v>
      </c>
    </row>
    <row r="2280" spans="1:15">
      <c r="A2280" s="1" t="s">
        <v>2381</v>
      </c>
      <c r="B2280" s="1" t="s">
        <v>30</v>
      </c>
      <c r="C2280" s="1">
        <v>5</v>
      </c>
      <c r="D2280" s="1">
        <v>55.5</v>
      </c>
      <c r="E2280" s="11">
        <v>277.5</v>
      </c>
      <c r="F2280" s="3">
        <v>45741</v>
      </c>
      <c r="G2280" s="3">
        <v>45744</v>
      </c>
      <c r="H2280" s="1" t="s">
        <v>23</v>
      </c>
      <c r="I2280" s="1" t="s">
        <v>35</v>
      </c>
      <c r="J2280" s="1">
        <v>4</v>
      </c>
      <c r="K2280" s="1" t="s">
        <v>19</v>
      </c>
      <c r="L2280" s="1" t="s">
        <v>186</v>
      </c>
      <c r="M2280" s="1">
        <f>orders[[#This Row],[Ship Date]]-orders[[#This Row],[Order Date]]</f>
        <v>3</v>
      </c>
      <c r="N2280" s="1">
        <f>WEEKNUM(orders[[#This Row],[Order Date]])</f>
        <v>13</v>
      </c>
      <c r="O2280" s="1" t="str" cm="1">
        <f t="array" ref="O2280">_xlfn.IFS(orders[[#This Row],[Customer Gender]]="M","Male", orders[[#This Row],[Customer Gender]]="F","Female", orders[[#This Row],[Customer Gender]]="O","Other", TRUE,"Unknown")</f>
        <v>Male</v>
      </c>
    </row>
    <row r="2281" spans="1:15">
      <c r="A2281" s="1" t="s">
        <v>2382</v>
      </c>
      <c r="B2281" s="1" t="s">
        <v>44</v>
      </c>
      <c r="C2281" s="1">
        <v>1</v>
      </c>
      <c r="D2281" s="1">
        <v>23.1</v>
      </c>
      <c r="E2281" s="11">
        <v>23.1</v>
      </c>
      <c r="F2281" s="3">
        <v>45741</v>
      </c>
      <c r="G2281" s="3">
        <v>45742</v>
      </c>
      <c r="H2281" s="1" t="s">
        <v>23</v>
      </c>
      <c r="I2281" s="1" t="s">
        <v>18</v>
      </c>
      <c r="J2281" s="1">
        <v>4</v>
      </c>
      <c r="K2281" s="1" t="s">
        <v>19</v>
      </c>
      <c r="L2281" s="1" t="s">
        <v>188</v>
      </c>
      <c r="M2281" s="1">
        <f>orders[[#This Row],[Ship Date]]-orders[[#This Row],[Order Date]]</f>
        <v>1</v>
      </c>
      <c r="N2281" s="1">
        <f>WEEKNUM(orders[[#This Row],[Order Date]])</f>
        <v>13</v>
      </c>
      <c r="O2281" s="1" t="str" cm="1">
        <f t="array" ref="O2281">_xlfn.IFS(orders[[#This Row],[Customer Gender]]="M","Male", orders[[#This Row],[Customer Gender]]="F","Female", orders[[#This Row],[Customer Gender]]="O","Other", TRUE,"Unknown")</f>
        <v>Male</v>
      </c>
    </row>
    <row r="2282" spans="1:15">
      <c r="A2282" s="1" t="s">
        <v>2383</v>
      </c>
      <c r="B2282" s="1" t="s">
        <v>146</v>
      </c>
      <c r="C2282" s="1">
        <v>2</v>
      </c>
      <c r="D2282" s="1">
        <v>38.9</v>
      </c>
      <c r="E2282" s="11">
        <v>77.8</v>
      </c>
      <c r="F2282" s="3">
        <v>45741</v>
      </c>
      <c r="G2282" s="3">
        <v>45742</v>
      </c>
      <c r="H2282" s="1" t="s">
        <v>23</v>
      </c>
      <c r="I2282" s="1" t="s">
        <v>40</v>
      </c>
      <c r="J2282" s="1">
        <v>4</v>
      </c>
      <c r="K2282" s="1" t="s">
        <v>19</v>
      </c>
      <c r="L2282" s="1" t="s">
        <v>188</v>
      </c>
      <c r="M2282" s="1">
        <f>orders[[#This Row],[Ship Date]]-orders[[#This Row],[Order Date]]</f>
        <v>1</v>
      </c>
      <c r="N2282" s="1">
        <f>WEEKNUM(orders[[#This Row],[Order Date]])</f>
        <v>13</v>
      </c>
      <c r="O2282" s="1" t="str" cm="1">
        <f t="array" ref="O2282">_xlfn.IFS(orders[[#This Row],[Customer Gender]]="M","Male", orders[[#This Row],[Customer Gender]]="F","Female", orders[[#This Row],[Customer Gender]]="O","Other", TRUE,"Unknown")</f>
        <v>Male</v>
      </c>
    </row>
    <row r="2283" spans="1:15">
      <c r="A2283" s="1" t="s">
        <v>2384</v>
      </c>
      <c r="B2283" s="1" t="s">
        <v>39</v>
      </c>
      <c r="C2283" s="1">
        <v>9</v>
      </c>
      <c r="D2283" s="1">
        <v>116.3</v>
      </c>
      <c r="E2283" s="11">
        <v>1046.7</v>
      </c>
      <c r="F2283" s="3">
        <v>45741</v>
      </c>
      <c r="G2283" s="3">
        <v>45745</v>
      </c>
      <c r="H2283" s="1" t="s">
        <v>27</v>
      </c>
      <c r="I2283" s="1" t="s">
        <v>18</v>
      </c>
      <c r="J2283" s="1">
        <v>4</v>
      </c>
      <c r="K2283" s="1" t="s">
        <v>19</v>
      </c>
      <c r="L2283" s="1" t="s">
        <v>52</v>
      </c>
      <c r="M2283" s="1">
        <f>orders[[#This Row],[Ship Date]]-orders[[#This Row],[Order Date]]</f>
        <v>4</v>
      </c>
      <c r="N2283" s="1">
        <f>WEEKNUM(orders[[#This Row],[Order Date]])</f>
        <v>13</v>
      </c>
      <c r="O2283" s="1" t="str" cm="1">
        <f t="array" ref="O2283">_xlfn.IFS(orders[[#This Row],[Customer Gender]]="M","Male", orders[[#This Row],[Customer Gender]]="F","Female", orders[[#This Row],[Customer Gender]]="O","Other", TRUE,"Unknown")</f>
        <v>Female</v>
      </c>
    </row>
    <row r="2284" spans="1:15">
      <c r="A2284" s="1" t="s">
        <v>2385</v>
      </c>
      <c r="B2284" s="1" t="s">
        <v>128</v>
      </c>
      <c r="C2284" s="1">
        <v>9</v>
      </c>
      <c r="D2284" s="1">
        <v>64.099999999999994</v>
      </c>
      <c r="E2284" s="11">
        <v>576.9</v>
      </c>
      <c r="F2284" s="3">
        <v>45741</v>
      </c>
      <c r="G2284" s="3">
        <v>45741</v>
      </c>
      <c r="H2284" s="1" t="s">
        <v>27</v>
      </c>
      <c r="I2284" s="1" t="s">
        <v>18</v>
      </c>
      <c r="J2284" s="1">
        <v>5</v>
      </c>
      <c r="K2284" s="1" t="s">
        <v>19</v>
      </c>
      <c r="L2284" s="1" t="s">
        <v>55</v>
      </c>
      <c r="M2284" s="1">
        <f>orders[[#This Row],[Ship Date]]-orders[[#This Row],[Order Date]]</f>
        <v>0</v>
      </c>
      <c r="N2284" s="1">
        <f>WEEKNUM(orders[[#This Row],[Order Date]])</f>
        <v>13</v>
      </c>
      <c r="O2284" s="1" t="str" cm="1">
        <f t="array" ref="O2284">_xlfn.IFS(orders[[#This Row],[Customer Gender]]="M","Male", orders[[#This Row],[Customer Gender]]="F","Female", orders[[#This Row],[Customer Gender]]="O","Other", TRUE,"Unknown")</f>
        <v>Female</v>
      </c>
    </row>
    <row r="2285" spans="1:15">
      <c r="A2285" s="1" t="s">
        <v>2386</v>
      </c>
      <c r="B2285" s="1" t="s">
        <v>26</v>
      </c>
      <c r="C2285" s="1">
        <v>6</v>
      </c>
      <c r="D2285" s="1">
        <v>109.2</v>
      </c>
      <c r="E2285" s="11">
        <v>655.20000000000005</v>
      </c>
      <c r="F2285" s="3">
        <v>45741</v>
      </c>
      <c r="G2285" s="3">
        <v>45743</v>
      </c>
      <c r="H2285" s="1" t="s">
        <v>23</v>
      </c>
      <c r="I2285" s="1" t="s">
        <v>18</v>
      </c>
      <c r="J2285" s="1">
        <v>3</v>
      </c>
      <c r="K2285" s="1" t="s">
        <v>19</v>
      </c>
      <c r="L2285" s="1" t="s">
        <v>62</v>
      </c>
      <c r="M2285" s="1">
        <f>orders[[#This Row],[Ship Date]]-orders[[#This Row],[Order Date]]</f>
        <v>2</v>
      </c>
      <c r="N2285" s="1">
        <f>WEEKNUM(orders[[#This Row],[Order Date]])</f>
        <v>13</v>
      </c>
      <c r="O2285" s="1" t="str" cm="1">
        <f t="array" ref="O2285">_xlfn.IFS(orders[[#This Row],[Customer Gender]]="M","Male", orders[[#This Row],[Customer Gender]]="F","Female", orders[[#This Row],[Customer Gender]]="O","Other", TRUE,"Unknown")</f>
        <v>Male</v>
      </c>
    </row>
    <row r="2286" spans="1:15">
      <c r="A2286" s="1" t="s">
        <v>2387</v>
      </c>
      <c r="B2286" s="1" t="s">
        <v>54</v>
      </c>
      <c r="C2286" s="1">
        <v>5</v>
      </c>
      <c r="D2286" s="1">
        <v>23.2</v>
      </c>
      <c r="E2286" s="11">
        <v>116</v>
      </c>
      <c r="F2286" s="3">
        <v>45742</v>
      </c>
      <c r="G2286" s="3">
        <v>45743</v>
      </c>
      <c r="H2286" s="1" t="s">
        <v>23</v>
      </c>
      <c r="I2286" s="1" t="s">
        <v>18</v>
      </c>
      <c r="J2286" s="1">
        <v>3</v>
      </c>
      <c r="K2286" s="1" t="s">
        <v>19</v>
      </c>
      <c r="L2286" s="1" t="s">
        <v>62</v>
      </c>
      <c r="M2286" s="1">
        <f>orders[[#This Row],[Ship Date]]-orders[[#This Row],[Order Date]]</f>
        <v>1</v>
      </c>
      <c r="N2286" s="1">
        <f>WEEKNUM(orders[[#This Row],[Order Date]])</f>
        <v>13</v>
      </c>
      <c r="O2286" s="1" t="str" cm="1">
        <f t="array" ref="O2286">_xlfn.IFS(orders[[#This Row],[Customer Gender]]="M","Male", orders[[#This Row],[Customer Gender]]="F","Female", orders[[#This Row],[Customer Gender]]="O","Other", TRUE,"Unknown")</f>
        <v>Male</v>
      </c>
    </row>
    <row r="2287" spans="1:15">
      <c r="A2287" s="1" t="s">
        <v>2388</v>
      </c>
      <c r="B2287" s="1" t="s">
        <v>146</v>
      </c>
      <c r="C2287" s="1">
        <v>6</v>
      </c>
      <c r="D2287" s="1">
        <v>81.2</v>
      </c>
      <c r="E2287" s="11">
        <v>487.20000000000005</v>
      </c>
      <c r="F2287" s="3">
        <v>45742</v>
      </c>
      <c r="G2287" s="3">
        <v>45744</v>
      </c>
      <c r="H2287" s="1" t="s">
        <v>23</v>
      </c>
      <c r="I2287" s="1" t="s">
        <v>40</v>
      </c>
      <c r="J2287" s="1">
        <v>5</v>
      </c>
      <c r="K2287" s="1" t="s">
        <v>19</v>
      </c>
      <c r="L2287" s="1" t="s">
        <v>62</v>
      </c>
      <c r="M2287" s="1">
        <f>orders[[#This Row],[Ship Date]]-orders[[#This Row],[Order Date]]</f>
        <v>2</v>
      </c>
      <c r="N2287" s="1">
        <f>WEEKNUM(orders[[#This Row],[Order Date]])</f>
        <v>13</v>
      </c>
      <c r="O2287" s="1" t="str" cm="1">
        <f t="array" ref="O2287">_xlfn.IFS(orders[[#This Row],[Customer Gender]]="M","Male", orders[[#This Row],[Customer Gender]]="F","Female", orders[[#This Row],[Customer Gender]]="O","Other", TRUE,"Unknown")</f>
        <v>Male</v>
      </c>
    </row>
    <row r="2288" spans="1:15">
      <c r="A2288" s="1" t="s">
        <v>2389</v>
      </c>
      <c r="B2288" s="1" t="s">
        <v>22</v>
      </c>
      <c r="C2288" s="1">
        <v>14</v>
      </c>
      <c r="D2288" s="1">
        <v>35.700000000000003</v>
      </c>
      <c r="E2288" s="11">
        <v>499.80000000000007</v>
      </c>
      <c r="F2288" s="3">
        <v>45742</v>
      </c>
      <c r="G2288" s="3">
        <v>45743</v>
      </c>
      <c r="H2288" s="1" t="s">
        <v>23</v>
      </c>
      <c r="I2288" s="1" t="s">
        <v>51</v>
      </c>
      <c r="J2288" s="1">
        <v>4</v>
      </c>
      <c r="K2288" s="1" t="s">
        <v>19</v>
      </c>
      <c r="L2288" s="1" t="s">
        <v>62</v>
      </c>
      <c r="M2288" s="1">
        <f>orders[[#This Row],[Ship Date]]-orders[[#This Row],[Order Date]]</f>
        <v>1</v>
      </c>
      <c r="N2288" s="1">
        <f>WEEKNUM(orders[[#This Row],[Order Date]])</f>
        <v>13</v>
      </c>
      <c r="O2288" s="1" t="str" cm="1">
        <f t="array" ref="O2288">_xlfn.IFS(orders[[#This Row],[Customer Gender]]="M","Male", orders[[#This Row],[Customer Gender]]="F","Female", orders[[#This Row],[Customer Gender]]="O","Other", TRUE,"Unknown")</f>
        <v>Male</v>
      </c>
    </row>
    <row r="2289" spans="1:15">
      <c r="A2289" s="1" t="s">
        <v>2390</v>
      </c>
      <c r="B2289" s="1" t="s">
        <v>42</v>
      </c>
      <c r="C2289" s="1">
        <v>2</v>
      </c>
      <c r="D2289" s="1">
        <v>44.5</v>
      </c>
      <c r="E2289" s="11">
        <v>89</v>
      </c>
      <c r="F2289" s="3">
        <v>45742</v>
      </c>
      <c r="G2289" s="3">
        <v>45745</v>
      </c>
      <c r="H2289" s="1" t="s">
        <v>23</v>
      </c>
      <c r="I2289" s="1" t="s">
        <v>70</v>
      </c>
      <c r="J2289" s="1">
        <v>4</v>
      </c>
      <c r="K2289" s="1" t="s">
        <v>19</v>
      </c>
      <c r="L2289" s="1" t="s">
        <v>72</v>
      </c>
      <c r="M2289" s="1">
        <f>orders[[#This Row],[Ship Date]]-orders[[#This Row],[Order Date]]</f>
        <v>3</v>
      </c>
      <c r="N2289" s="1">
        <f>WEEKNUM(orders[[#This Row],[Order Date]])</f>
        <v>13</v>
      </c>
      <c r="O2289" s="1" t="str" cm="1">
        <f t="array" ref="O2289">_xlfn.IFS(orders[[#This Row],[Customer Gender]]="M","Male", orders[[#This Row],[Customer Gender]]="F","Female", orders[[#This Row],[Customer Gender]]="O","Other", TRUE,"Unknown")</f>
        <v>Male</v>
      </c>
    </row>
    <row r="2290" spans="1:15">
      <c r="A2290" s="1" t="s">
        <v>2391</v>
      </c>
      <c r="B2290" s="1" t="s">
        <v>22</v>
      </c>
      <c r="C2290" s="1">
        <v>5</v>
      </c>
      <c r="D2290" s="1">
        <v>32</v>
      </c>
      <c r="E2290" s="11">
        <v>160</v>
      </c>
      <c r="F2290" s="3">
        <v>45742</v>
      </c>
      <c r="G2290" s="3">
        <v>45744</v>
      </c>
      <c r="H2290" s="1" t="s">
        <v>89</v>
      </c>
      <c r="I2290" s="1" t="s">
        <v>35</v>
      </c>
      <c r="J2290" s="1">
        <v>3</v>
      </c>
      <c r="K2290" s="1" t="s">
        <v>19</v>
      </c>
      <c r="L2290" s="1" t="s">
        <v>72</v>
      </c>
      <c r="M2290" s="1">
        <f>orders[[#This Row],[Ship Date]]-orders[[#This Row],[Order Date]]</f>
        <v>2</v>
      </c>
      <c r="N2290" s="1">
        <f>WEEKNUM(orders[[#This Row],[Order Date]])</f>
        <v>13</v>
      </c>
      <c r="O2290" s="1" t="str" cm="1">
        <f t="array" ref="O2290">_xlfn.IFS(orders[[#This Row],[Customer Gender]]="M","Male", orders[[#This Row],[Customer Gender]]="F","Female", orders[[#This Row],[Customer Gender]]="O","Other", TRUE,"Unknown")</f>
        <v>Other</v>
      </c>
    </row>
    <row r="2291" spans="1:15">
      <c r="A2291" s="1" t="s">
        <v>2392</v>
      </c>
      <c r="B2291" s="1" t="s">
        <v>44</v>
      </c>
      <c r="C2291" s="1">
        <v>1</v>
      </c>
      <c r="D2291" s="1">
        <v>25.7</v>
      </c>
      <c r="E2291" s="11">
        <v>25.7</v>
      </c>
      <c r="F2291" s="3">
        <v>45742</v>
      </c>
      <c r="G2291" s="3">
        <v>45743</v>
      </c>
      <c r="H2291" s="1" t="s">
        <v>23</v>
      </c>
      <c r="I2291" s="1" t="s">
        <v>18</v>
      </c>
      <c r="J2291" s="1">
        <v>4</v>
      </c>
      <c r="K2291" s="1" t="s">
        <v>19</v>
      </c>
      <c r="L2291" s="1" t="s">
        <v>74</v>
      </c>
      <c r="M2291" s="1">
        <f>orders[[#This Row],[Ship Date]]-orders[[#This Row],[Order Date]]</f>
        <v>1</v>
      </c>
      <c r="N2291" s="1">
        <f>WEEKNUM(orders[[#This Row],[Order Date]])</f>
        <v>13</v>
      </c>
      <c r="O2291" s="1" t="str" cm="1">
        <f t="array" ref="O2291">_xlfn.IFS(orders[[#This Row],[Customer Gender]]="M","Male", orders[[#This Row],[Customer Gender]]="F","Female", orders[[#This Row],[Customer Gender]]="O","Other", TRUE,"Unknown")</f>
        <v>Male</v>
      </c>
    </row>
    <row r="2292" spans="1:15">
      <c r="A2292" s="1" t="s">
        <v>2393</v>
      </c>
      <c r="B2292" s="1" t="s">
        <v>128</v>
      </c>
      <c r="C2292" s="1">
        <v>3</v>
      </c>
      <c r="D2292" s="1">
        <v>65.599999999999994</v>
      </c>
      <c r="E2292" s="11">
        <v>196.79999999999998</v>
      </c>
      <c r="F2292" s="3">
        <v>45742</v>
      </c>
      <c r="G2292" s="3">
        <v>45748</v>
      </c>
      <c r="H2292" s="1" t="s">
        <v>23</v>
      </c>
      <c r="I2292" s="1" t="s">
        <v>18</v>
      </c>
      <c r="J2292" s="1">
        <v>4</v>
      </c>
      <c r="K2292" s="1" t="s">
        <v>19</v>
      </c>
      <c r="L2292" s="1" t="s">
        <v>77</v>
      </c>
      <c r="M2292" s="1">
        <f>orders[[#This Row],[Ship Date]]-orders[[#This Row],[Order Date]]</f>
        <v>6</v>
      </c>
      <c r="N2292" s="1">
        <f>WEEKNUM(orders[[#This Row],[Order Date]])</f>
        <v>13</v>
      </c>
      <c r="O2292" s="1" t="str" cm="1">
        <f t="array" ref="O2292">_xlfn.IFS(orders[[#This Row],[Customer Gender]]="M","Male", orders[[#This Row],[Customer Gender]]="F","Female", orders[[#This Row],[Customer Gender]]="O","Other", TRUE,"Unknown")</f>
        <v>Male</v>
      </c>
    </row>
    <row r="2293" spans="1:15">
      <c r="A2293" s="1" t="s">
        <v>2394</v>
      </c>
      <c r="B2293" s="1" t="s">
        <v>22</v>
      </c>
      <c r="C2293" s="1">
        <v>4</v>
      </c>
      <c r="D2293" s="1">
        <v>52.1</v>
      </c>
      <c r="E2293" s="11">
        <v>208.4</v>
      </c>
      <c r="F2293" s="3">
        <v>45742</v>
      </c>
      <c r="G2293" s="3">
        <v>45743</v>
      </c>
      <c r="H2293" s="1" t="s">
        <v>27</v>
      </c>
      <c r="I2293" s="1" t="s">
        <v>18</v>
      </c>
      <c r="J2293" s="1">
        <v>5</v>
      </c>
      <c r="K2293" s="1" t="s">
        <v>19</v>
      </c>
      <c r="L2293" s="1" t="s">
        <v>77</v>
      </c>
      <c r="M2293" s="1">
        <f>orders[[#This Row],[Ship Date]]-orders[[#This Row],[Order Date]]</f>
        <v>1</v>
      </c>
      <c r="N2293" s="1">
        <f>WEEKNUM(orders[[#This Row],[Order Date]])</f>
        <v>13</v>
      </c>
      <c r="O2293" s="1" t="str" cm="1">
        <f t="array" ref="O2293">_xlfn.IFS(orders[[#This Row],[Customer Gender]]="M","Male", orders[[#This Row],[Customer Gender]]="F","Female", orders[[#This Row],[Customer Gender]]="O","Other", TRUE,"Unknown")</f>
        <v>Female</v>
      </c>
    </row>
    <row r="2294" spans="1:15">
      <c r="A2294" s="1" t="s">
        <v>2395</v>
      </c>
      <c r="B2294" s="1" t="s">
        <v>44</v>
      </c>
      <c r="C2294" s="1">
        <v>1</v>
      </c>
      <c r="D2294" s="1">
        <v>31</v>
      </c>
      <c r="E2294" s="11">
        <v>31</v>
      </c>
      <c r="F2294" s="3">
        <v>45742</v>
      </c>
      <c r="G2294" s="3">
        <v>45743</v>
      </c>
      <c r="H2294" s="1" t="s">
        <v>23</v>
      </c>
      <c r="I2294" s="1" t="s">
        <v>18</v>
      </c>
      <c r="J2294" s="1">
        <v>3</v>
      </c>
      <c r="K2294" s="1" t="s">
        <v>19</v>
      </c>
      <c r="L2294" s="1" t="s">
        <v>110</v>
      </c>
      <c r="M2294" s="1">
        <f>orders[[#This Row],[Ship Date]]-orders[[#This Row],[Order Date]]</f>
        <v>1</v>
      </c>
      <c r="N2294" s="1">
        <f>WEEKNUM(orders[[#This Row],[Order Date]])</f>
        <v>13</v>
      </c>
      <c r="O2294" s="1" t="str" cm="1">
        <f t="array" ref="O2294">_xlfn.IFS(orders[[#This Row],[Customer Gender]]="M","Male", orders[[#This Row],[Customer Gender]]="F","Female", orders[[#This Row],[Customer Gender]]="O","Other", TRUE,"Unknown")</f>
        <v>Male</v>
      </c>
    </row>
    <row r="2295" spans="1:15">
      <c r="A2295" s="1" t="s">
        <v>2396</v>
      </c>
      <c r="B2295" s="1" t="s">
        <v>44</v>
      </c>
      <c r="C2295" s="1">
        <v>1</v>
      </c>
      <c r="D2295" s="1">
        <v>32</v>
      </c>
      <c r="E2295" s="11">
        <v>32</v>
      </c>
      <c r="F2295" s="3">
        <v>45742</v>
      </c>
      <c r="G2295" s="3">
        <v>45744</v>
      </c>
      <c r="H2295" s="1" t="s">
        <v>89</v>
      </c>
      <c r="I2295" s="1" t="s">
        <v>51</v>
      </c>
      <c r="J2295" s="1">
        <v>3</v>
      </c>
      <c r="K2295" s="1" t="s">
        <v>19</v>
      </c>
      <c r="L2295" s="1" t="s">
        <v>292</v>
      </c>
      <c r="M2295" s="1">
        <f>orders[[#This Row],[Ship Date]]-orders[[#This Row],[Order Date]]</f>
        <v>2</v>
      </c>
      <c r="N2295" s="1">
        <f>WEEKNUM(orders[[#This Row],[Order Date]])</f>
        <v>13</v>
      </c>
      <c r="O2295" s="1" t="str" cm="1">
        <f t="array" ref="O2295">_xlfn.IFS(orders[[#This Row],[Customer Gender]]="M","Male", orders[[#This Row],[Customer Gender]]="F","Female", orders[[#This Row],[Customer Gender]]="O","Other", TRUE,"Unknown")</f>
        <v>Other</v>
      </c>
    </row>
    <row r="2296" spans="1:15">
      <c r="A2296" s="1" t="s">
        <v>2397</v>
      </c>
      <c r="B2296" s="1" t="s">
        <v>128</v>
      </c>
      <c r="C2296" s="1">
        <v>4</v>
      </c>
      <c r="D2296" s="1">
        <v>58.3</v>
      </c>
      <c r="E2296" s="11">
        <v>233.2</v>
      </c>
      <c r="F2296" s="3">
        <v>45742</v>
      </c>
      <c r="G2296" s="3">
        <v>45746</v>
      </c>
      <c r="H2296" s="1" t="s">
        <v>23</v>
      </c>
      <c r="I2296" s="1" t="s">
        <v>35</v>
      </c>
      <c r="J2296" s="1">
        <v>2</v>
      </c>
      <c r="K2296" s="1" t="s">
        <v>19</v>
      </c>
      <c r="L2296" s="1" t="s">
        <v>113</v>
      </c>
      <c r="M2296" s="1">
        <f>orders[[#This Row],[Ship Date]]-orders[[#This Row],[Order Date]]</f>
        <v>4</v>
      </c>
      <c r="N2296" s="1">
        <f>WEEKNUM(orders[[#This Row],[Order Date]])</f>
        <v>13</v>
      </c>
      <c r="O2296" s="1" t="str" cm="1">
        <f t="array" ref="O2296">_xlfn.IFS(orders[[#This Row],[Customer Gender]]="M","Male", orders[[#This Row],[Customer Gender]]="F","Female", orders[[#This Row],[Customer Gender]]="O","Other", TRUE,"Unknown")</f>
        <v>Male</v>
      </c>
    </row>
    <row r="2297" spans="1:15">
      <c r="A2297" s="1" t="s">
        <v>2398</v>
      </c>
      <c r="B2297" s="1" t="s">
        <v>44</v>
      </c>
      <c r="C2297" s="1">
        <v>3</v>
      </c>
      <c r="D2297" s="1">
        <v>31</v>
      </c>
      <c r="E2297" s="11">
        <v>93</v>
      </c>
      <c r="F2297" s="3">
        <v>45742</v>
      </c>
      <c r="G2297" s="3">
        <v>45744</v>
      </c>
      <c r="H2297" s="1" t="s">
        <v>27</v>
      </c>
      <c r="I2297" s="1" t="s">
        <v>40</v>
      </c>
      <c r="J2297" s="1">
        <v>2</v>
      </c>
      <c r="K2297" s="1" t="s">
        <v>19</v>
      </c>
      <c r="L2297" s="1" t="s">
        <v>82</v>
      </c>
      <c r="M2297" s="1">
        <f>orders[[#This Row],[Ship Date]]-orders[[#This Row],[Order Date]]</f>
        <v>2</v>
      </c>
      <c r="N2297" s="1">
        <f>WEEKNUM(orders[[#This Row],[Order Date]])</f>
        <v>13</v>
      </c>
      <c r="O2297" s="1" t="str" cm="1">
        <f t="array" ref="O2297">_xlfn.IFS(orders[[#This Row],[Customer Gender]]="M","Male", orders[[#This Row],[Customer Gender]]="F","Female", orders[[#This Row],[Customer Gender]]="O","Other", TRUE,"Unknown")</f>
        <v>Female</v>
      </c>
    </row>
    <row r="2298" spans="1:15">
      <c r="A2298" s="1" t="s">
        <v>2399</v>
      </c>
      <c r="B2298" s="1" t="s">
        <v>30</v>
      </c>
      <c r="C2298" s="1">
        <v>1</v>
      </c>
      <c r="D2298" s="1">
        <v>40.299999999999997</v>
      </c>
      <c r="E2298" s="11">
        <v>40.299999999999997</v>
      </c>
      <c r="F2298" s="3">
        <v>45742</v>
      </c>
      <c r="G2298" s="3">
        <v>45743</v>
      </c>
      <c r="H2298" s="1" t="s">
        <v>23</v>
      </c>
      <c r="I2298" s="1" t="s">
        <v>35</v>
      </c>
      <c r="J2298" s="1">
        <v>5</v>
      </c>
      <c r="K2298" s="1" t="s">
        <v>19</v>
      </c>
      <c r="L2298" s="1" t="s">
        <v>1383</v>
      </c>
      <c r="M2298" s="1">
        <f>orders[[#This Row],[Ship Date]]-orders[[#This Row],[Order Date]]</f>
        <v>1</v>
      </c>
      <c r="N2298" s="1">
        <f>WEEKNUM(orders[[#This Row],[Order Date]])</f>
        <v>13</v>
      </c>
      <c r="O2298" s="1" t="str" cm="1">
        <f t="array" ref="O2298">_xlfn.IFS(orders[[#This Row],[Customer Gender]]="M","Male", orders[[#This Row],[Customer Gender]]="F","Female", orders[[#This Row],[Customer Gender]]="O","Other", TRUE,"Unknown")</f>
        <v>Male</v>
      </c>
    </row>
    <row r="2299" spans="1:15">
      <c r="A2299" s="1" t="s">
        <v>2400</v>
      </c>
      <c r="B2299" s="1" t="s">
        <v>39</v>
      </c>
      <c r="C2299" s="1">
        <v>3</v>
      </c>
      <c r="D2299" s="1">
        <v>47.3</v>
      </c>
      <c r="E2299" s="11">
        <v>141.89999999999998</v>
      </c>
      <c r="F2299" s="3">
        <v>45742</v>
      </c>
      <c r="G2299" s="3">
        <v>45744</v>
      </c>
      <c r="H2299" s="1" t="s">
        <v>23</v>
      </c>
      <c r="I2299" s="1" t="s">
        <v>70</v>
      </c>
      <c r="J2299" s="1">
        <v>5</v>
      </c>
      <c r="K2299" s="1" t="s">
        <v>19</v>
      </c>
      <c r="L2299" s="1" t="s">
        <v>28</v>
      </c>
      <c r="M2299" s="1">
        <f>orders[[#This Row],[Ship Date]]-orders[[#This Row],[Order Date]]</f>
        <v>2</v>
      </c>
      <c r="N2299" s="1">
        <f>WEEKNUM(orders[[#This Row],[Order Date]])</f>
        <v>13</v>
      </c>
      <c r="O2299" s="1" t="str" cm="1">
        <f t="array" ref="O2299">_xlfn.IFS(orders[[#This Row],[Customer Gender]]="M","Male", orders[[#This Row],[Customer Gender]]="F","Female", orders[[#This Row],[Customer Gender]]="O","Other", TRUE,"Unknown")</f>
        <v>Male</v>
      </c>
    </row>
    <row r="2300" spans="1:15">
      <c r="A2300" s="1" t="s">
        <v>2401</v>
      </c>
      <c r="B2300" s="1" t="s">
        <v>26</v>
      </c>
      <c r="C2300" s="1">
        <v>1</v>
      </c>
      <c r="D2300" s="1">
        <v>82.8</v>
      </c>
      <c r="E2300" s="11">
        <v>82.8</v>
      </c>
      <c r="F2300" s="3">
        <v>45742</v>
      </c>
      <c r="G2300" s="3">
        <v>45743</v>
      </c>
      <c r="H2300" s="1" t="s">
        <v>23</v>
      </c>
      <c r="I2300" s="1" t="s">
        <v>18</v>
      </c>
      <c r="J2300" s="1">
        <v>4</v>
      </c>
      <c r="K2300" s="1" t="s">
        <v>19</v>
      </c>
      <c r="L2300" s="1" t="s">
        <v>28</v>
      </c>
      <c r="M2300" s="1">
        <f>orders[[#This Row],[Ship Date]]-orders[[#This Row],[Order Date]]</f>
        <v>1</v>
      </c>
      <c r="N2300" s="1">
        <f>WEEKNUM(orders[[#This Row],[Order Date]])</f>
        <v>13</v>
      </c>
      <c r="O2300" s="1" t="str" cm="1">
        <f t="array" ref="O2300">_xlfn.IFS(orders[[#This Row],[Customer Gender]]="M","Male", orders[[#This Row],[Customer Gender]]="F","Female", orders[[#This Row],[Customer Gender]]="O","Other", TRUE,"Unknown")</f>
        <v>Male</v>
      </c>
    </row>
    <row r="2301" spans="1:15">
      <c r="A2301" s="1" t="s">
        <v>2402</v>
      </c>
      <c r="B2301" s="1" t="s">
        <v>44</v>
      </c>
      <c r="C2301" s="1">
        <v>1</v>
      </c>
      <c r="D2301" s="1">
        <v>18.5</v>
      </c>
      <c r="E2301" s="11">
        <v>18.5</v>
      </c>
      <c r="F2301" s="3">
        <v>45742</v>
      </c>
      <c r="G2301" s="3">
        <v>45756</v>
      </c>
      <c r="H2301" s="1" t="s">
        <v>27</v>
      </c>
      <c r="I2301" s="1" t="s">
        <v>18</v>
      </c>
      <c r="J2301" s="1">
        <v>4</v>
      </c>
      <c r="K2301" s="1" t="s">
        <v>19</v>
      </c>
      <c r="L2301" s="1" t="s">
        <v>587</v>
      </c>
      <c r="M2301" s="1">
        <f>orders[[#This Row],[Ship Date]]-orders[[#This Row],[Order Date]]</f>
        <v>14</v>
      </c>
      <c r="N2301" s="1">
        <f>WEEKNUM(orders[[#This Row],[Order Date]])</f>
        <v>13</v>
      </c>
      <c r="O2301" s="1" t="str" cm="1">
        <f t="array" ref="O2301">_xlfn.IFS(orders[[#This Row],[Customer Gender]]="M","Male", orders[[#This Row],[Customer Gender]]="F","Female", orders[[#This Row],[Customer Gender]]="O","Other", TRUE,"Unknown")</f>
        <v>Female</v>
      </c>
    </row>
    <row r="2302" spans="1:15">
      <c r="A2302" s="1" t="s">
        <v>2403</v>
      </c>
      <c r="B2302" s="1" t="s">
        <v>30</v>
      </c>
      <c r="C2302" s="1">
        <v>2</v>
      </c>
      <c r="D2302" s="1">
        <v>60.4</v>
      </c>
      <c r="E2302" s="11">
        <v>120.8</v>
      </c>
      <c r="F2302" s="3">
        <v>45742</v>
      </c>
      <c r="G2302" s="3">
        <v>45743</v>
      </c>
      <c r="H2302" s="1" t="s">
        <v>23</v>
      </c>
      <c r="I2302" s="1" t="s">
        <v>40</v>
      </c>
      <c r="J2302" s="1">
        <v>4</v>
      </c>
      <c r="K2302" s="1" t="s">
        <v>19</v>
      </c>
      <c r="L2302" s="1" t="s">
        <v>147</v>
      </c>
      <c r="M2302" s="1">
        <f>orders[[#This Row],[Ship Date]]-orders[[#This Row],[Order Date]]</f>
        <v>1</v>
      </c>
      <c r="N2302" s="1">
        <f>WEEKNUM(orders[[#This Row],[Order Date]])</f>
        <v>13</v>
      </c>
      <c r="O2302" s="1" t="str" cm="1">
        <f t="array" ref="O2302">_xlfn.IFS(orders[[#This Row],[Customer Gender]]="M","Male", orders[[#This Row],[Customer Gender]]="F","Female", orders[[#This Row],[Customer Gender]]="O","Other", TRUE,"Unknown")</f>
        <v>Male</v>
      </c>
    </row>
    <row r="2303" spans="1:15">
      <c r="A2303" s="1" t="s">
        <v>2404</v>
      </c>
      <c r="B2303" s="1" t="s">
        <v>39</v>
      </c>
      <c r="C2303" s="1">
        <v>5</v>
      </c>
      <c r="D2303" s="1">
        <v>80.2</v>
      </c>
      <c r="E2303" s="11">
        <v>401</v>
      </c>
      <c r="F2303" s="3">
        <v>45742</v>
      </c>
      <c r="G2303" s="3">
        <v>45749</v>
      </c>
      <c r="H2303" s="1" t="s">
        <v>23</v>
      </c>
      <c r="I2303" s="1" t="s">
        <v>35</v>
      </c>
      <c r="J2303" s="1">
        <v>3</v>
      </c>
      <c r="K2303" s="1" t="s">
        <v>19</v>
      </c>
      <c r="L2303" s="1" t="s">
        <v>949</v>
      </c>
      <c r="M2303" s="1">
        <f>orders[[#This Row],[Ship Date]]-orders[[#This Row],[Order Date]]</f>
        <v>7</v>
      </c>
      <c r="N2303" s="1">
        <f>WEEKNUM(orders[[#This Row],[Order Date]])</f>
        <v>13</v>
      </c>
      <c r="O2303" s="1" t="str" cm="1">
        <f t="array" ref="O2303">_xlfn.IFS(orders[[#This Row],[Customer Gender]]="M","Male", orders[[#This Row],[Customer Gender]]="F","Female", orders[[#This Row],[Customer Gender]]="O","Other", TRUE,"Unknown")</f>
        <v>Male</v>
      </c>
    </row>
    <row r="2304" spans="1:15">
      <c r="A2304" s="1" t="s">
        <v>2405</v>
      </c>
      <c r="B2304" s="1" t="s">
        <v>32</v>
      </c>
      <c r="C2304" s="1">
        <v>1</v>
      </c>
      <c r="D2304" s="1">
        <v>41.5</v>
      </c>
      <c r="E2304" s="11">
        <v>41.5</v>
      </c>
      <c r="F2304" s="3">
        <v>45742</v>
      </c>
      <c r="G2304" s="3">
        <v>45744</v>
      </c>
      <c r="H2304" s="1" t="s">
        <v>23</v>
      </c>
      <c r="I2304" s="1" t="s">
        <v>40</v>
      </c>
      <c r="J2304" s="1">
        <v>4</v>
      </c>
      <c r="K2304" s="1" t="s">
        <v>19</v>
      </c>
      <c r="L2304" s="1" t="s">
        <v>33</v>
      </c>
      <c r="M2304" s="1">
        <f>orders[[#This Row],[Ship Date]]-orders[[#This Row],[Order Date]]</f>
        <v>2</v>
      </c>
      <c r="N2304" s="1">
        <f>WEEKNUM(orders[[#This Row],[Order Date]])</f>
        <v>13</v>
      </c>
      <c r="O2304" s="1" t="str" cm="1">
        <f t="array" ref="O2304">_xlfn.IFS(orders[[#This Row],[Customer Gender]]="M","Male", orders[[#This Row],[Customer Gender]]="F","Female", orders[[#This Row],[Customer Gender]]="O","Other", TRUE,"Unknown")</f>
        <v>Male</v>
      </c>
    </row>
    <row r="2305" spans="1:15">
      <c r="A2305" s="1" t="s">
        <v>2406</v>
      </c>
      <c r="B2305" s="1" t="s">
        <v>26</v>
      </c>
      <c r="C2305" s="1">
        <v>2</v>
      </c>
      <c r="D2305" s="1">
        <v>83.9</v>
      </c>
      <c r="E2305" s="11">
        <v>167.8</v>
      </c>
      <c r="F2305" s="3">
        <v>45742</v>
      </c>
      <c r="G2305" s="3">
        <v>45745</v>
      </c>
      <c r="H2305" s="1" t="s">
        <v>27</v>
      </c>
      <c r="I2305" s="1" t="s">
        <v>18</v>
      </c>
      <c r="J2305" s="1">
        <v>4</v>
      </c>
      <c r="K2305" s="1" t="s">
        <v>19</v>
      </c>
      <c r="L2305" s="1" t="s">
        <v>33</v>
      </c>
      <c r="M2305" s="1">
        <f>orders[[#This Row],[Ship Date]]-orders[[#This Row],[Order Date]]</f>
        <v>3</v>
      </c>
      <c r="N2305" s="1">
        <f>WEEKNUM(orders[[#This Row],[Order Date]])</f>
        <v>13</v>
      </c>
      <c r="O2305" s="1" t="str" cm="1">
        <f t="array" ref="O2305">_xlfn.IFS(orders[[#This Row],[Customer Gender]]="M","Male", orders[[#This Row],[Customer Gender]]="F","Female", orders[[#This Row],[Customer Gender]]="O","Other", TRUE,"Unknown")</f>
        <v>Female</v>
      </c>
    </row>
    <row r="2306" spans="1:15">
      <c r="A2306" s="1" t="s">
        <v>2407</v>
      </c>
      <c r="B2306" s="1" t="s">
        <v>44</v>
      </c>
      <c r="C2306" s="1">
        <v>2</v>
      </c>
      <c r="D2306" s="1">
        <v>16.7</v>
      </c>
      <c r="E2306" s="11">
        <v>33.4</v>
      </c>
      <c r="F2306" s="3">
        <v>45742</v>
      </c>
      <c r="G2306" s="3">
        <v>45746</v>
      </c>
      <c r="H2306" s="1" t="s">
        <v>27</v>
      </c>
      <c r="I2306" s="1" t="s">
        <v>18</v>
      </c>
      <c r="J2306" s="1">
        <v>3</v>
      </c>
      <c r="K2306" s="1" t="s">
        <v>19</v>
      </c>
      <c r="L2306" s="1" t="s">
        <v>33</v>
      </c>
      <c r="M2306" s="1">
        <f>orders[[#This Row],[Ship Date]]-orders[[#This Row],[Order Date]]</f>
        <v>4</v>
      </c>
      <c r="N2306" s="1">
        <f>WEEKNUM(orders[[#This Row],[Order Date]])</f>
        <v>13</v>
      </c>
      <c r="O2306" s="1" t="str" cm="1">
        <f t="array" ref="O2306">_xlfn.IFS(orders[[#This Row],[Customer Gender]]="M","Male", orders[[#This Row],[Customer Gender]]="F","Female", orders[[#This Row],[Customer Gender]]="O","Other", TRUE,"Unknown")</f>
        <v>Female</v>
      </c>
    </row>
    <row r="2307" spans="1:15">
      <c r="A2307" s="1" t="s">
        <v>2408</v>
      </c>
      <c r="B2307" s="1" t="s">
        <v>46</v>
      </c>
      <c r="C2307" s="1">
        <v>2</v>
      </c>
      <c r="D2307" s="1">
        <v>72.900000000000006</v>
      </c>
      <c r="E2307" s="11">
        <v>145.80000000000001</v>
      </c>
      <c r="F2307" s="3">
        <v>45742</v>
      </c>
      <c r="G2307" s="3">
        <v>45743</v>
      </c>
      <c r="H2307" s="1" t="s">
        <v>23</v>
      </c>
      <c r="I2307" s="1" t="s">
        <v>40</v>
      </c>
      <c r="J2307" s="1">
        <v>3</v>
      </c>
      <c r="K2307" s="1" t="s">
        <v>19</v>
      </c>
      <c r="L2307" s="1" t="s">
        <v>33</v>
      </c>
      <c r="M2307" s="1">
        <f>orders[[#This Row],[Ship Date]]-orders[[#This Row],[Order Date]]</f>
        <v>1</v>
      </c>
      <c r="N2307" s="1">
        <f>WEEKNUM(orders[[#This Row],[Order Date]])</f>
        <v>13</v>
      </c>
      <c r="O2307" s="1" t="str" cm="1">
        <f t="array" ref="O2307">_xlfn.IFS(orders[[#This Row],[Customer Gender]]="M","Male", orders[[#This Row],[Customer Gender]]="F","Female", orders[[#This Row],[Customer Gender]]="O","Other", TRUE,"Unknown")</f>
        <v>Male</v>
      </c>
    </row>
    <row r="2308" spans="1:15">
      <c r="A2308" s="1" t="s">
        <v>2409</v>
      </c>
      <c r="B2308" s="1" t="s">
        <v>37</v>
      </c>
      <c r="C2308" s="1">
        <v>2</v>
      </c>
      <c r="D2308" s="1">
        <v>50.2</v>
      </c>
      <c r="E2308" s="11">
        <v>100.4</v>
      </c>
      <c r="F2308" s="3">
        <v>45742</v>
      </c>
      <c r="G2308" s="3">
        <v>45744</v>
      </c>
      <c r="H2308" s="1" t="s">
        <v>27</v>
      </c>
      <c r="I2308" s="1" t="s">
        <v>35</v>
      </c>
      <c r="J2308" s="1">
        <v>5</v>
      </c>
      <c r="K2308" s="1" t="s">
        <v>19</v>
      </c>
      <c r="L2308" s="1" t="s">
        <v>33</v>
      </c>
      <c r="M2308" s="1">
        <f>orders[[#This Row],[Ship Date]]-orders[[#This Row],[Order Date]]</f>
        <v>2</v>
      </c>
      <c r="N2308" s="1">
        <f>WEEKNUM(orders[[#This Row],[Order Date]])</f>
        <v>13</v>
      </c>
      <c r="O2308" s="1" t="str" cm="1">
        <f t="array" ref="O2308">_xlfn.IFS(orders[[#This Row],[Customer Gender]]="M","Male", orders[[#This Row],[Customer Gender]]="F","Female", orders[[#This Row],[Customer Gender]]="O","Other", TRUE,"Unknown")</f>
        <v>Female</v>
      </c>
    </row>
    <row r="2309" spans="1:15">
      <c r="A2309" s="1" t="s">
        <v>2410</v>
      </c>
      <c r="B2309" s="1" t="s">
        <v>30</v>
      </c>
      <c r="C2309" s="1">
        <v>2</v>
      </c>
      <c r="D2309" s="1">
        <v>34.200000000000003</v>
      </c>
      <c r="E2309" s="11">
        <v>68.400000000000006</v>
      </c>
      <c r="F2309" s="3">
        <v>45742</v>
      </c>
      <c r="G2309" s="3">
        <v>45752</v>
      </c>
      <c r="H2309" s="1" t="s">
        <v>17</v>
      </c>
      <c r="I2309" s="1" t="s">
        <v>35</v>
      </c>
      <c r="J2309" s="1">
        <v>4</v>
      </c>
      <c r="K2309" s="1" t="s">
        <v>19</v>
      </c>
      <c r="L2309" s="1" t="s">
        <v>33</v>
      </c>
      <c r="M2309" s="1">
        <f>orders[[#This Row],[Ship Date]]-orders[[#This Row],[Order Date]]</f>
        <v>10</v>
      </c>
      <c r="N2309" s="1">
        <f>WEEKNUM(orders[[#This Row],[Order Date]])</f>
        <v>13</v>
      </c>
      <c r="O2309" s="1" t="str" cm="1">
        <f t="array" ref="O2309">_xlfn.IFS(orders[[#This Row],[Customer Gender]]="M","Male", orders[[#This Row],[Customer Gender]]="F","Female", orders[[#This Row],[Customer Gender]]="O","Other", TRUE,"Unknown")</f>
        <v>Unknown</v>
      </c>
    </row>
    <row r="2310" spans="1:15">
      <c r="A2310" s="1" t="s">
        <v>2411</v>
      </c>
      <c r="B2310" s="1" t="s">
        <v>37</v>
      </c>
      <c r="C2310" s="1">
        <v>2</v>
      </c>
      <c r="D2310" s="1">
        <v>107.9</v>
      </c>
      <c r="E2310" s="11">
        <v>215.8</v>
      </c>
      <c r="F2310" s="3">
        <v>45742</v>
      </c>
      <c r="G2310" s="3">
        <v>45742</v>
      </c>
      <c r="H2310" s="1" t="s">
        <v>23</v>
      </c>
      <c r="I2310" s="1" t="s">
        <v>35</v>
      </c>
      <c r="J2310" s="1">
        <v>2</v>
      </c>
      <c r="K2310" s="1" t="s">
        <v>19</v>
      </c>
      <c r="L2310" s="1" t="s">
        <v>33</v>
      </c>
      <c r="M2310" s="1">
        <f>orders[[#This Row],[Ship Date]]-orders[[#This Row],[Order Date]]</f>
        <v>0</v>
      </c>
      <c r="N2310" s="1">
        <f>WEEKNUM(orders[[#This Row],[Order Date]])</f>
        <v>13</v>
      </c>
      <c r="O2310" s="1" t="str" cm="1">
        <f t="array" ref="O2310">_xlfn.IFS(orders[[#This Row],[Customer Gender]]="M","Male", orders[[#This Row],[Customer Gender]]="F","Female", orders[[#This Row],[Customer Gender]]="O","Other", TRUE,"Unknown")</f>
        <v>Male</v>
      </c>
    </row>
    <row r="2311" spans="1:15">
      <c r="A2311" s="1" t="s">
        <v>2412</v>
      </c>
      <c r="B2311" s="1" t="s">
        <v>16</v>
      </c>
      <c r="C2311" s="1">
        <v>3</v>
      </c>
      <c r="D2311" s="1">
        <v>17.5</v>
      </c>
      <c r="E2311" s="11">
        <v>52.5</v>
      </c>
      <c r="F2311" s="3">
        <v>45742</v>
      </c>
      <c r="G2311" s="3">
        <v>45744</v>
      </c>
      <c r="H2311" s="1" t="s">
        <v>23</v>
      </c>
      <c r="I2311" s="1" t="s">
        <v>70</v>
      </c>
      <c r="J2311" s="1">
        <v>4</v>
      </c>
      <c r="K2311" s="1" t="s">
        <v>19</v>
      </c>
      <c r="L2311" s="1" t="s">
        <v>33</v>
      </c>
      <c r="M2311" s="1">
        <f>orders[[#This Row],[Ship Date]]-orders[[#This Row],[Order Date]]</f>
        <v>2</v>
      </c>
      <c r="N2311" s="1">
        <f>WEEKNUM(orders[[#This Row],[Order Date]])</f>
        <v>13</v>
      </c>
      <c r="O2311" s="1" t="str" cm="1">
        <f t="array" ref="O2311">_xlfn.IFS(orders[[#This Row],[Customer Gender]]="M","Male", orders[[#This Row],[Customer Gender]]="F","Female", orders[[#This Row],[Customer Gender]]="O","Other", TRUE,"Unknown")</f>
        <v>Male</v>
      </c>
    </row>
    <row r="2312" spans="1:15">
      <c r="A2312" s="1" t="s">
        <v>2413</v>
      </c>
      <c r="B2312" s="1" t="s">
        <v>76</v>
      </c>
      <c r="C2312" s="1">
        <v>15</v>
      </c>
      <c r="D2312" s="1">
        <v>44.7</v>
      </c>
      <c r="E2312" s="11">
        <v>670.5</v>
      </c>
      <c r="F2312" s="3">
        <v>45742</v>
      </c>
      <c r="G2312" s="3">
        <v>45743</v>
      </c>
      <c r="H2312" s="1" t="s">
        <v>23</v>
      </c>
      <c r="I2312" s="1" t="s">
        <v>18</v>
      </c>
      <c r="J2312" s="1">
        <v>3</v>
      </c>
      <c r="K2312" s="1" t="s">
        <v>19</v>
      </c>
      <c r="L2312" s="1" t="s">
        <v>33</v>
      </c>
      <c r="M2312" s="1">
        <f>orders[[#This Row],[Ship Date]]-orders[[#This Row],[Order Date]]</f>
        <v>1</v>
      </c>
      <c r="N2312" s="1">
        <f>WEEKNUM(orders[[#This Row],[Order Date]])</f>
        <v>13</v>
      </c>
      <c r="O2312" s="1" t="str" cm="1">
        <f t="array" ref="O2312">_xlfn.IFS(orders[[#This Row],[Customer Gender]]="M","Male", orders[[#This Row],[Customer Gender]]="F","Female", orders[[#This Row],[Customer Gender]]="O","Other", TRUE,"Unknown")</f>
        <v>Male</v>
      </c>
    </row>
    <row r="2313" spans="1:15">
      <c r="A2313" s="1" t="s">
        <v>2414</v>
      </c>
      <c r="B2313" s="1" t="s">
        <v>69</v>
      </c>
      <c r="C2313" s="1">
        <v>6</v>
      </c>
      <c r="D2313" s="1">
        <v>92.7</v>
      </c>
      <c r="E2313" s="11">
        <v>556.20000000000005</v>
      </c>
      <c r="F2313" s="3">
        <v>45742</v>
      </c>
      <c r="G2313" s="3">
        <v>45744</v>
      </c>
      <c r="H2313" s="1" t="s">
        <v>27</v>
      </c>
      <c r="I2313" s="1" t="s">
        <v>40</v>
      </c>
      <c r="J2313" s="1">
        <v>3</v>
      </c>
      <c r="K2313" s="1" t="s">
        <v>19</v>
      </c>
      <c r="L2313" s="1" t="s">
        <v>33</v>
      </c>
      <c r="M2313" s="1">
        <f>orders[[#This Row],[Ship Date]]-orders[[#This Row],[Order Date]]</f>
        <v>2</v>
      </c>
      <c r="N2313" s="1">
        <f>WEEKNUM(orders[[#This Row],[Order Date]])</f>
        <v>13</v>
      </c>
      <c r="O2313" s="1" t="str" cm="1">
        <f t="array" ref="O2313">_xlfn.IFS(orders[[#This Row],[Customer Gender]]="M","Male", orders[[#This Row],[Customer Gender]]="F","Female", orders[[#This Row],[Customer Gender]]="O","Other", TRUE,"Unknown")</f>
        <v>Female</v>
      </c>
    </row>
    <row r="2314" spans="1:15">
      <c r="A2314" s="1" t="s">
        <v>2415</v>
      </c>
      <c r="B2314" s="1" t="s">
        <v>42</v>
      </c>
      <c r="C2314" s="1">
        <v>3</v>
      </c>
      <c r="D2314" s="1">
        <v>48.8</v>
      </c>
      <c r="E2314" s="11">
        <v>146.39999999999998</v>
      </c>
      <c r="F2314" s="3">
        <v>45742</v>
      </c>
      <c r="G2314" s="3">
        <v>45744</v>
      </c>
      <c r="H2314" s="1" t="s">
        <v>27</v>
      </c>
      <c r="I2314" s="1" t="s">
        <v>40</v>
      </c>
      <c r="J2314" s="1">
        <v>4</v>
      </c>
      <c r="K2314" s="1" t="s">
        <v>19</v>
      </c>
      <c r="L2314" s="1" t="s">
        <v>33</v>
      </c>
      <c r="M2314" s="1">
        <f>orders[[#This Row],[Ship Date]]-orders[[#This Row],[Order Date]]</f>
        <v>2</v>
      </c>
      <c r="N2314" s="1">
        <f>WEEKNUM(orders[[#This Row],[Order Date]])</f>
        <v>13</v>
      </c>
      <c r="O2314" s="1" t="str" cm="1">
        <f t="array" ref="O2314">_xlfn.IFS(orders[[#This Row],[Customer Gender]]="M","Male", orders[[#This Row],[Customer Gender]]="F","Female", orders[[#This Row],[Customer Gender]]="O","Other", TRUE,"Unknown")</f>
        <v>Female</v>
      </c>
    </row>
    <row r="2315" spans="1:15">
      <c r="A2315" s="1" t="s">
        <v>2416</v>
      </c>
      <c r="B2315" s="1" t="s">
        <v>32</v>
      </c>
      <c r="C2315" s="1">
        <v>16</v>
      </c>
      <c r="D2315" s="1">
        <v>21.3</v>
      </c>
      <c r="E2315" s="11">
        <v>340.8</v>
      </c>
      <c r="F2315" s="3">
        <v>45742</v>
      </c>
      <c r="G2315" s="3">
        <v>45746</v>
      </c>
      <c r="H2315" s="1" t="s">
        <v>27</v>
      </c>
      <c r="I2315" s="1" t="s">
        <v>51</v>
      </c>
      <c r="J2315" s="1">
        <v>1</v>
      </c>
      <c r="K2315" s="1" t="s">
        <v>19</v>
      </c>
      <c r="L2315" s="1" t="s">
        <v>33</v>
      </c>
      <c r="M2315" s="1">
        <f>orders[[#This Row],[Ship Date]]-orders[[#This Row],[Order Date]]</f>
        <v>4</v>
      </c>
      <c r="N2315" s="1">
        <f>WEEKNUM(orders[[#This Row],[Order Date]])</f>
        <v>13</v>
      </c>
      <c r="O2315" s="1" t="str" cm="1">
        <f t="array" ref="O2315">_xlfn.IFS(orders[[#This Row],[Customer Gender]]="M","Male", orders[[#This Row],[Customer Gender]]="F","Female", orders[[#This Row],[Customer Gender]]="O","Other", TRUE,"Unknown")</f>
        <v>Female</v>
      </c>
    </row>
    <row r="2316" spans="1:15">
      <c r="A2316" s="1" t="s">
        <v>2417</v>
      </c>
      <c r="B2316" s="1" t="s">
        <v>128</v>
      </c>
      <c r="C2316" s="1">
        <v>1</v>
      </c>
      <c r="D2316" s="1">
        <v>52.5</v>
      </c>
      <c r="E2316" s="11">
        <v>52.5</v>
      </c>
      <c r="F2316" s="3">
        <v>45742</v>
      </c>
      <c r="G2316" s="3">
        <v>45743</v>
      </c>
      <c r="H2316" s="1" t="s">
        <v>27</v>
      </c>
      <c r="I2316" s="1" t="s">
        <v>18</v>
      </c>
      <c r="J2316" s="1">
        <v>4</v>
      </c>
      <c r="K2316" s="1" t="s">
        <v>19</v>
      </c>
      <c r="L2316" s="1" t="s">
        <v>33</v>
      </c>
      <c r="M2316" s="1">
        <f>orders[[#This Row],[Ship Date]]-orders[[#This Row],[Order Date]]</f>
        <v>1</v>
      </c>
      <c r="N2316" s="1">
        <f>WEEKNUM(orders[[#This Row],[Order Date]])</f>
        <v>13</v>
      </c>
      <c r="O2316" s="1" t="str" cm="1">
        <f t="array" ref="O2316">_xlfn.IFS(orders[[#This Row],[Customer Gender]]="M","Male", orders[[#This Row],[Customer Gender]]="F","Female", orders[[#This Row],[Customer Gender]]="O","Other", TRUE,"Unknown")</f>
        <v>Female</v>
      </c>
    </row>
    <row r="2317" spans="1:15">
      <c r="A2317" s="1" t="s">
        <v>2418</v>
      </c>
      <c r="B2317" s="1" t="s">
        <v>22</v>
      </c>
      <c r="C2317" s="1">
        <v>2</v>
      </c>
      <c r="D2317" s="1">
        <v>92.4</v>
      </c>
      <c r="E2317" s="11">
        <v>184.8</v>
      </c>
      <c r="F2317" s="3">
        <v>45742</v>
      </c>
      <c r="G2317" s="3">
        <v>45748</v>
      </c>
      <c r="H2317" s="1" t="s">
        <v>27</v>
      </c>
      <c r="I2317" s="1" t="s">
        <v>18</v>
      </c>
      <c r="J2317" s="1">
        <v>5</v>
      </c>
      <c r="K2317" s="1" t="s">
        <v>19</v>
      </c>
      <c r="L2317" s="1" t="s">
        <v>33</v>
      </c>
      <c r="M2317" s="1">
        <f>orders[[#This Row],[Ship Date]]-orders[[#This Row],[Order Date]]</f>
        <v>6</v>
      </c>
      <c r="N2317" s="1">
        <f>WEEKNUM(orders[[#This Row],[Order Date]])</f>
        <v>13</v>
      </c>
      <c r="O2317" s="1" t="str" cm="1">
        <f t="array" ref="O2317">_xlfn.IFS(orders[[#This Row],[Customer Gender]]="M","Male", orders[[#This Row],[Customer Gender]]="F","Female", orders[[#This Row],[Customer Gender]]="O","Other", TRUE,"Unknown")</f>
        <v>Female</v>
      </c>
    </row>
    <row r="2318" spans="1:15">
      <c r="A2318" s="1" t="s">
        <v>2419</v>
      </c>
      <c r="B2318" s="1" t="s">
        <v>32</v>
      </c>
      <c r="C2318" s="1">
        <v>11</v>
      </c>
      <c r="D2318" s="1">
        <v>58.3</v>
      </c>
      <c r="E2318" s="11">
        <v>641.29999999999995</v>
      </c>
      <c r="F2318" s="3">
        <v>45742</v>
      </c>
      <c r="G2318" s="3">
        <v>45744</v>
      </c>
      <c r="H2318" s="1" t="s">
        <v>23</v>
      </c>
      <c r="I2318" s="1" t="s">
        <v>35</v>
      </c>
      <c r="J2318" s="1">
        <v>5</v>
      </c>
      <c r="K2318" s="1" t="s">
        <v>19</v>
      </c>
      <c r="L2318" s="1" t="s">
        <v>33</v>
      </c>
      <c r="M2318" s="1">
        <f>orders[[#This Row],[Ship Date]]-orders[[#This Row],[Order Date]]</f>
        <v>2</v>
      </c>
      <c r="N2318" s="1">
        <f>WEEKNUM(orders[[#This Row],[Order Date]])</f>
        <v>13</v>
      </c>
      <c r="O2318" s="1" t="str" cm="1">
        <f t="array" ref="O2318">_xlfn.IFS(orders[[#This Row],[Customer Gender]]="M","Male", orders[[#This Row],[Customer Gender]]="F","Female", orders[[#This Row],[Customer Gender]]="O","Other", TRUE,"Unknown")</f>
        <v>Male</v>
      </c>
    </row>
    <row r="2319" spans="1:15">
      <c r="A2319" s="1" t="s">
        <v>2420</v>
      </c>
      <c r="B2319" s="1" t="s">
        <v>39</v>
      </c>
      <c r="C2319" s="1">
        <v>23</v>
      </c>
      <c r="D2319" s="1">
        <v>152.6</v>
      </c>
      <c r="E2319" s="11">
        <v>3509.7999999999997</v>
      </c>
      <c r="F2319" s="3">
        <v>45743</v>
      </c>
      <c r="G2319" s="3">
        <v>45745</v>
      </c>
      <c r="H2319" s="1" t="s">
        <v>17</v>
      </c>
      <c r="I2319" s="1" t="s">
        <v>18</v>
      </c>
      <c r="J2319" s="1">
        <v>4</v>
      </c>
      <c r="K2319" s="1" t="s">
        <v>19</v>
      </c>
      <c r="L2319" s="1" t="s">
        <v>33</v>
      </c>
      <c r="M2319" s="1">
        <f>orders[[#This Row],[Ship Date]]-orders[[#This Row],[Order Date]]</f>
        <v>2</v>
      </c>
      <c r="N2319" s="1">
        <f>WEEKNUM(orders[[#This Row],[Order Date]])</f>
        <v>13</v>
      </c>
      <c r="O2319" s="1" t="str" cm="1">
        <f t="array" ref="O2319">_xlfn.IFS(orders[[#This Row],[Customer Gender]]="M","Male", orders[[#This Row],[Customer Gender]]="F","Female", orders[[#This Row],[Customer Gender]]="O","Other", TRUE,"Unknown")</f>
        <v>Unknown</v>
      </c>
    </row>
    <row r="2320" spans="1:15">
      <c r="A2320" s="1" t="s">
        <v>2421</v>
      </c>
      <c r="B2320" s="1" t="s">
        <v>44</v>
      </c>
      <c r="C2320" s="1">
        <v>2</v>
      </c>
      <c r="D2320" s="1">
        <v>26</v>
      </c>
      <c r="E2320" s="11">
        <v>52</v>
      </c>
      <c r="F2320" s="3">
        <v>45743</v>
      </c>
      <c r="G2320" s="3">
        <v>45743</v>
      </c>
      <c r="H2320" s="1" t="s">
        <v>17</v>
      </c>
      <c r="I2320" s="1" t="s">
        <v>18</v>
      </c>
      <c r="J2320" s="1">
        <v>3</v>
      </c>
      <c r="K2320" s="1" t="s">
        <v>19</v>
      </c>
      <c r="L2320" s="1" t="s">
        <v>33</v>
      </c>
      <c r="M2320" s="1">
        <f>orders[[#This Row],[Ship Date]]-orders[[#This Row],[Order Date]]</f>
        <v>0</v>
      </c>
      <c r="N2320" s="1">
        <f>WEEKNUM(orders[[#This Row],[Order Date]])</f>
        <v>13</v>
      </c>
      <c r="O2320" s="1" t="str" cm="1">
        <f t="array" ref="O2320">_xlfn.IFS(orders[[#This Row],[Customer Gender]]="M","Male", orders[[#This Row],[Customer Gender]]="F","Female", orders[[#This Row],[Customer Gender]]="O","Other", TRUE,"Unknown")</f>
        <v>Unknown</v>
      </c>
    </row>
    <row r="2321" spans="1:15">
      <c r="A2321" s="1" t="s">
        <v>2422</v>
      </c>
      <c r="B2321" s="1" t="s">
        <v>22</v>
      </c>
      <c r="C2321" s="1">
        <v>4</v>
      </c>
      <c r="D2321" s="1">
        <v>33.1</v>
      </c>
      <c r="E2321" s="11">
        <v>132.4</v>
      </c>
      <c r="F2321" s="3">
        <v>45743</v>
      </c>
      <c r="G2321" s="3">
        <v>45743</v>
      </c>
      <c r="H2321" s="1" t="s">
        <v>23</v>
      </c>
      <c r="I2321" s="1" t="s">
        <v>40</v>
      </c>
      <c r="J2321" s="1">
        <v>2</v>
      </c>
      <c r="K2321" s="1" t="s">
        <v>19</v>
      </c>
      <c r="L2321" s="1" t="s">
        <v>52</v>
      </c>
      <c r="M2321" s="1">
        <f>orders[[#This Row],[Ship Date]]-orders[[#This Row],[Order Date]]</f>
        <v>0</v>
      </c>
      <c r="N2321" s="1">
        <f>WEEKNUM(orders[[#This Row],[Order Date]])</f>
        <v>13</v>
      </c>
      <c r="O2321" s="1" t="str" cm="1">
        <f t="array" ref="O2321">_xlfn.IFS(orders[[#This Row],[Customer Gender]]="M","Male", orders[[#This Row],[Customer Gender]]="F","Female", orders[[#This Row],[Customer Gender]]="O","Other", TRUE,"Unknown")</f>
        <v>Male</v>
      </c>
    </row>
    <row r="2322" spans="1:15">
      <c r="A2322" s="1" t="s">
        <v>2423</v>
      </c>
      <c r="B2322" s="1" t="s">
        <v>146</v>
      </c>
      <c r="C2322" s="1">
        <v>1</v>
      </c>
      <c r="D2322" s="1">
        <v>51.4</v>
      </c>
      <c r="E2322" s="11">
        <v>51.4</v>
      </c>
      <c r="F2322" s="3">
        <v>45743</v>
      </c>
      <c r="G2322" s="3">
        <v>45745</v>
      </c>
      <c r="H2322" s="1" t="s">
        <v>27</v>
      </c>
      <c r="I2322" s="1" t="s">
        <v>35</v>
      </c>
      <c r="J2322" s="1">
        <v>3</v>
      </c>
      <c r="K2322" s="1" t="s">
        <v>19</v>
      </c>
      <c r="L2322" s="1" t="s">
        <v>52</v>
      </c>
      <c r="M2322" s="1">
        <f>orders[[#This Row],[Ship Date]]-orders[[#This Row],[Order Date]]</f>
        <v>2</v>
      </c>
      <c r="N2322" s="1">
        <f>WEEKNUM(orders[[#This Row],[Order Date]])</f>
        <v>13</v>
      </c>
      <c r="O2322" s="1" t="str" cm="1">
        <f t="array" ref="O2322">_xlfn.IFS(orders[[#This Row],[Customer Gender]]="M","Male", orders[[#This Row],[Customer Gender]]="F","Female", orders[[#This Row],[Customer Gender]]="O","Other", TRUE,"Unknown")</f>
        <v>Female</v>
      </c>
    </row>
    <row r="2323" spans="1:15">
      <c r="A2323" s="1" t="s">
        <v>2424</v>
      </c>
      <c r="B2323" s="1" t="s">
        <v>44</v>
      </c>
      <c r="C2323" s="1">
        <v>2</v>
      </c>
      <c r="D2323" s="1">
        <v>30.2</v>
      </c>
      <c r="E2323" s="11">
        <v>60.4</v>
      </c>
      <c r="F2323" s="3">
        <v>45743</v>
      </c>
      <c r="G2323" s="3">
        <v>45744</v>
      </c>
      <c r="H2323" s="1" t="s">
        <v>27</v>
      </c>
      <c r="I2323" s="1" t="s">
        <v>40</v>
      </c>
      <c r="J2323" s="1">
        <v>5</v>
      </c>
      <c r="K2323" s="1" t="s">
        <v>19</v>
      </c>
      <c r="L2323" s="1" t="s">
        <v>55</v>
      </c>
      <c r="M2323" s="1">
        <f>orders[[#This Row],[Ship Date]]-orders[[#This Row],[Order Date]]</f>
        <v>1</v>
      </c>
      <c r="N2323" s="1">
        <f>WEEKNUM(orders[[#This Row],[Order Date]])</f>
        <v>13</v>
      </c>
      <c r="O2323" s="1" t="str" cm="1">
        <f t="array" ref="O2323">_xlfn.IFS(orders[[#This Row],[Customer Gender]]="M","Male", orders[[#This Row],[Customer Gender]]="F","Female", orders[[#This Row],[Customer Gender]]="O","Other", TRUE,"Unknown")</f>
        <v>Female</v>
      </c>
    </row>
    <row r="2324" spans="1:15">
      <c r="A2324" s="1" t="s">
        <v>2425</v>
      </c>
      <c r="B2324" s="1" t="s">
        <v>26</v>
      </c>
      <c r="C2324" s="1">
        <v>6</v>
      </c>
      <c r="D2324" s="1">
        <v>97</v>
      </c>
      <c r="E2324" s="11">
        <v>582</v>
      </c>
      <c r="F2324" s="3">
        <v>45743</v>
      </c>
      <c r="G2324" s="3">
        <v>45747</v>
      </c>
      <c r="H2324" s="1" t="s">
        <v>27</v>
      </c>
      <c r="I2324" s="1" t="s">
        <v>18</v>
      </c>
      <c r="J2324" s="1">
        <v>5</v>
      </c>
      <c r="K2324" s="1" t="s">
        <v>19</v>
      </c>
      <c r="L2324" s="1" t="s">
        <v>59</v>
      </c>
      <c r="M2324" s="1">
        <f>orders[[#This Row],[Ship Date]]-orders[[#This Row],[Order Date]]</f>
        <v>4</v>
      </c>
      <c r="N2324" s="1">
        <f>WEEKNUM(orders[[#This Row],[Order Date]])</f>
        <v>13</v>
      </c>
      <c r="O2324" s="1" t="str" cm="1">
        <f t="array" ref="O2324">_xlfn.IFS(orders[[#This Row],[Customer Gender]]="M","Male", orders[[#This Row],[Customer Gender]]="F","Female", orders[[#This Row],[Customer Gender]]="O","Other", TRUE,"Unknown")</f>
        <v>Female</v>
      </c>
    </row>
    <row r="2325" spans="1:15">
      <c r="A2325" s="1" t="s">
        <v>2426</v>
      </c>
      <c r="B2325" s="1" t="s">
        <v>26</v>
      </c>
      <c r="C2325" s="1">
        <v>1</v>
      </c>
      <c r="D2325" s="1">
        <v>76.900000000000006</v>
      </c>
      <c r="E2325" s="11">
        <v>76.900000000000006</v>
      </c>
      <c r="F2325" s="3">
        <v>45743</v>
      </c>
      <c r="G2325" s="3">
        <v>45744</v>
      </c>
      <c r="H2325" s="1" t="s">
        <v>23</v>
      </c>
      <c r="I2325" s="1" t="s">
        <v>35</v>
      </c>
      <c r="J2325" s="1">
        <v>5</v>
      </c>
      <c r="K2325" s="1" t="s">
        <v>19</v>
      </c>
      <c r="L2325" s="1" t="s">
        <v>62</v>
      </c>
      <c r="M2325" s="1">
        <f>orders[[#This Row],[Ship Date]]-orders[[#This Row],[Order Date]]</f>
        <v>1</v>
      </c>
      <c r="N2325" s="1">
        <f>WEEKNUM(orders[[#This Row],[Order Date]])</f>
        <v>13</v>
      </c>
      <c r="O2325" s="1" t="str" cm="1">
        <f t="array" ref="O2325">_xlfn.IFS(orders[[#This Row],[Customer Gender]]="M","Male", orders[[#This Row],[Customer Gender]]="F","Female", orders[[#This Row],[Customer Gender]]="O","Other", TRUE,"Unknown")</f>
        <v>Male</v>
      </c>
    </row>
    <row r="2326" spans="1:15">
      <c r="A2326" s="1" t="s">
        <v>2427</v>
      </c>
      <c r="B2326" s="1" t="s">
        <v>42</v>
      </c>
      <c r="C2326" s="1">
        <v>6</v>
      </c>
      <c r="D2326" s="1">
        <v>36.1</v>
      </c>
      <c r="E2326" s="11">
        <v>216.60000000000002</v>
      </c>
      <c r="F2326" s="3">
        <v>45743</v>
      </c>
      <c r="G2326" s="3">
        <v>45747</v>
      </c>
      <c r="H2326" s="1" t="s">
        <v>27</v>
      </c>
      <c r="I2326" s="1" t="s">
        <v>18</v>
      </c>
      <c r="J2326" s="1">
        <v>4</v>
      </c>
      <c r="K2326" s="1" t="s">
        <v>19</v>
      </c>
      <c r="L2326" s="1" t="s">
        <v>62</v>
      </c>
      <c r="M2326" s="1">
        <f>orders[[#This Row],[Ship Date]]-orders[[#This Row],[Order Date]]</f>
        <v>4</v>
      </c>
      <c r="N2326" s="1">
        <f>WEEKNUM(orders[[#This Row],[Order Date]])</f>
        <v>13</v>
      </c>
      <c r="O2326" s="1" t="str" cm="1">
        <f t="array" ref="O2326">_xlfn.IFS(orders[[#This Row],[Customer Gender]]="M","Male", orders[[#This Row],[Customer Gender]]="F","Female", orders[[#This Row],[Customer Gender]]="O","Other", TRUE,"Unknown")</f>
        <v>Female</v>
      </c>
    </row>
    <row r="2327" spans="1:15">
      <c r="A2327" s="1" t="s">
        <v>2428</v>
      </c>
      <c r="B2327" s="1" t="s">
        <v>22</v>
      </c>
      <c r="C2327" s="1">
        <v>7</v>
      </c>
      <c r="D2327" s="1">
        <v>34.4</v>
      </c>
      <c r="E2327" s="11">
        <v>240.79999999999998</v>
      </c>
      <c r="F2327" s="3">
        <v>45743</v>
      </c>
      <c r="G2327" s="3">
        <v>45743</v>
      </c>
      <c r="H2327" s="1" t="s">
        <v>27</v>
      </c>
      <c r="I2327" s="1" t="s">
        <v>40</v>
      </c>
      <c r="J2327" s="1">
        <v>3</v>
      </c>
      <c r="K2327" s="1" t="s">
        <v>19</v>
      </c>
      <c r="L2327" s="1" t="s">
        <v>77</v>
      </c>
      <c r="M2327" s="1">
        <f>orders[[#This Row],[Ship Date]]-orders[[#This Row],[Order Date]]</f>
        <v>0</v>
      </c>
      <c r="N2327" s="1">
        <f>WEEKNUM(orders[[#This Row],[Order Date]])</f>
        <v>13</v>
      </c>
      <c r="O2327" s="1" t="str" cm="1">
        <f t="array" ref="O2327">_xlfn.IFS(orders[[#This Row],[Customer Gender]]="M","Male", orders[[#This Row],[Customer Gender]]="F","Female", orders[[#This Row],[Customer Gender]]="O","Other", TRUE,"Unknown")</f>
        <v>Female</v>
      </c>
    </row>
    <row r="2328" spans="1:15">
      <c r="A2328" s="1" t="s">
        <v>2429</v>
      </c>
      <c r="B2328" s="1" t="s">
        <v>22</v>
      </c>
      <c r="C2328" s="1">
        <v>28</v>
      </c>
      <c r="D2328" s="1">
        <v>53.4</v>
      </c>
      <c r="E2328" s="11">
        <v>1495.2</v>
      </c>
      <c r="F2328" s="3">
        <v>45743</v>
      </c>
      <c r="G2328" s="3">
        <v>45745</v>
      </c>
      <c r="H2328" s="1" t="s">
        <v>27</v>
      </c>
      <c r="I2328" s="1" t="s">
        <v>35</v>
      </c>
      <c r="J2328" s="1">
        <v>4</v>
      </c>
      <c r="K2328" s="1" t="s">
        <v>19</v>
      </c>
      <c r="L2328" s="1" t="s">
        <v>108</v>
      </c>
      <c r="M2328" s="1">
        <f>orders[[#This Row],[Ship Date]]-orders[[#This Row],[Order Date]]</f>
        <v>2</v>
      </c>
      <c r="N2328" s="1">
        <f>WEEKNUM(orders[[#This Row],[Order Date]])</f>
        <v>13</v>
      </c>
      <c r="O2328" s="1" t="str" cm="1">
        <f t="array" ref="O2328">_xlfn.IFS(orders[[#This Row],[Customer Gender]]="M","Male", orders[[#This Row],[Customer Gender]]="F","Female", orders[[#This Row],[Customer Gender]]="O","Other", TRUE,"Unknown")</f>
        <v>Female</v>
      </c>
    </row>
    <row r="2329" spans="1:15">
      <c r="A2329" s="1" t="s">
        <v>2430</v>
      </c>
      <c r="B2329" s="1" t="s">
        <v>26</v>
      </c>
      <c r="C2329" s="1">
        <v>1</v>
      </c>
      <c r="D2329" s="1">
        <v>77.599999999999994</v>
      </c>
      <c r="E2329" s="11">
        <v>77.599999999999994</v>
      </c>
      <c r="F2329" s="3">
        <v>45743</v>
      </c>
      <c r="G2329" s="3">
        <v>45744</v>
      </c>
      <c r="H2329" s="1" t="s">
        <v>27</v>
      </c>
      <c r="I2329" s="1" t="s">
        <v>18</v>
      </c>
      <c r="J2329" s="1">
        <v>3</v>
      </c>
      <c r="K2329" s="1" t="s">
        <v>19</v>
      </c>
      <c r="L2329" s="1" t="s">
        <v>110</v>
      </c>
      <c r="M2329" s="1">
        <f>orders[[#This Row],[Ship Date]]-orders[[#This Row],[Order Date]]</f>
        <v>1</v>
      </c>
      <c r="N2329" s="1">
        <f>WEEKNUM(orders[[#This Row],[Order Date]])</f>
        <v>13</v>
      </c>
      <c r="O2329" s="1" t="str" cm="1">
        <f t="array" ref="O2329">_xlfn.IFS(orders[[#This Row],[Customer Gender]]="M","Male", orders[[#This Row],[Customer Gender]]="F","Female", orders[[#This Row],[Customer Gender]]="O","Other", TRUE,"Unknown")</f>
        <v>Female</v>
      </c>
    </row>
    <row r="2330" spans="1:15">
      <c r="A2330" s="1" t="s">
        <v>2431</v>
      </c>
      <c r="B2330" s="1" t="s">
        <v>22</v>
      </c>
      <c r="C2330" s="1">
        <v>3</v>
      </c>
      <c r="D2330" s="1">
        <v>71.7</v>
      </c>
      <c r="E2330" s="11">
        <v>215.10000000000002</v>
      </c>
      <c r="F2330" s="3">
        <v>45743</v>
      </c>
      <c r="G2330" s="3">
        <v>45746</v>
      </c>
      <c r="H2330" s="1" t="s">
        <v>27</v>
      </c>
      <c r="I2330" s="1" t="s">
        <v>35</v>
      </c>
      <c r="J2330" s="1">
        <v>4</v>
      </c>
      <c r="K2330" s="1" t="s">
        <v>19</v>
      </c>
      <c r="L2330" s="1" t="s">
        <v>110</v>
      </c>
      <c r="M2330" s="1">
        <f>orders[[#This Row],[Ship Date]]-orders[[#This Row],[Order Date]]</f>
        <v>3</v>
      </c>
      <c r="N2330" s="1">
        <f>WEEKNUM(orders[[#This Row],[Order Date]])</f>
        <v>13</v>
      </c>
      <c r="O2330" s="1" t="str" cm="1">
        <f t="array" ref="O2330">_xlfn.IFS(orders[[#This Row],[Customer Gender]]="M","Male", orders[[#This Row],[Customer Gender]]="F","Female", orders[[#This Row],[Customer Gender]]="O","Other", TRUE,"Unknown")</f>
        <v>Female</v>
      </c>
    </row>
    <row r="2331" spans="1:15">
      <c r="A2331" s="1" t="s">
        <v>2432</v>
      </c>
      <c r="B2331" s="1" t="s">
        <v>30</v>
      </c>
      <c r="C2331" s="1">
        <v>3</v>
      </c>
      <c r="D2331" s="1">
        <v>80.599999999999994</v>
      </c>
      <c r="E2331" s="11">
        <v>241.79999999999998</v>
      </c>
      <c r="F2331" s="3">
        <v>45743</v>
      </c>
      <c r="G2331" s="3">
        <v>45744</v>
      </c>
      <c r="H2331" s="1" t="s">
        <v>23</v>
      </c>
      <c r="I2331" s="1" t="s">
        <v>70</v>
      </c>
      <c r="J2331" s="1">
        <v>3</v>
      </c>
      <c r="K2331" s="1" t="s">
        <v>19</v>
      </c>
      <c r="L2331" s="1" t="s">
        <v>110</v>
      </c>
      <c r="M2331" s="1">
        <f>orders[[#This Row],[Ship Date]]-orders[[#This Row],[Order Date]]</f>
        <v>1</v>
      </c>
      <c r="N2331" s="1">
        <f>WEEKNUM(orders[[#This Row],[Order Date]])</f>
        <v>13</v>
      </c>
      <c r="O2331" s="1" t="str" cm="1">
        <f t="array" ref="O2331">_xlfn.IFS(orders[[#This Row],[Customer Gender]]="M","Male", orders[[#This Row],[Customer Gender]]="F","Female", orders[[#This Row],[Customer Gender]]="O","Other", TRUE,"Unknown")</f>
        <v>Male</v>
      </c>
    </row>
    <row r="2332" spans="1:15">
      <c r="A2332" s="1" t="s">
        <v>2433</v>
      </c>
      <c r="B2332" s="1" t="s">
        <v>22</v>
      </c>
      <c r="C2332" s="1">
        <v>15</v>
      </c>
      <c r="D2332" s="1">
        <v>70</v>
      </c>
      <c r="E2332" s="11">
        <v>1050</v>
      </c>
      <c r="F2332" s="3">
        <v>45743</v>
      </c>
      <c r="G2332" s="3">
        <v>45745</v>
      </c>
      <c r="H2332" s="1" t="s">
        <v>23</v>
      </c>
      <c r="I2332" s="1" t="s">
        <v>18</v>
      </c>
      <c r="J2332" s="1">
        <v>4</v>
      </c>
      <c r="K2332" s="1" t="s">
        <v>19</v>
      </c>
      <c r="L2332" s="1" t="s">
        <v>113</v>
      </c>
      <c r="M2332" s="1">
        <f>orders[[#This Row],[Ship Date]]-orders[[#This Row],[Order Date]]</f>
        <v>2</v>
      </c>
      <c r="N2332" s="1">
        <f>WEEKNUM(orders[[#This Row],[Order Date]])</f>
        <v>13</v>
      </c>
      <c r="O2332" s="1" t="str" cm="1">
        <f t="array" ref="O2332">_xlfn.IFS(orders[[#This Row],[Customer Gender]]="M","Male", orders[[#This Row],[Customer Gender]]="F","Female", orders[[#This Row],[Customer Gender]]="O","Other", TRUE,"Unknown")</f>
        <v>Male</v>
      </c>
    </row>
    <row r="2333" spans="1:15">
      <c r="A2333" s="1" t="s">
        <v>2434</v>
      </c>
      <c r="B2333" s="1" t="s">
        <v>32</v>
      </c>
      <c r="C2333" s="1">
        <v>6</v>
      </c>
      <c r="D2333" s="1">
        <v>27.3</v>
      </c>
      <c r="E2333" s="11">
        <v>163.80000000000001</v>
      </c>
      <c r="F2333" s="3">
        <v>45743</v>
      </c>
      <c r="G2333" s="3">
        <v>45745</v>
      </c>
      <c r="H2333" s="1" t="s">
        <v>27</v>
      </c>
      <c r="I2333" s="1" t="s">
        <v>35</v>
      </c>
      <c r="J2333" s="1">
        <v>3</v>
      </c>
      <c r="K2333" s="1" t="s">
        <v>19</v>
      </c>
      <c r="L2333" s="1" t="s">
        <v>28</v>
      </c>
      <c r="M2333" s="1">
        <f>orders[[#This Row],[Ship Date]]-orders[[#This Row],[Order Date]]</f>
        <v>2</v>
      </c>
      <c r="N2333" s="1">
        <f>WEEKNUM(orders[[#This Row],[Order Date]])</f>
        <v>13</v>
      </c>
      <c r="O2333" s="1" t="str" cm="1">
        <f t="array" ref="O2333">_xlfn.IFS(orders[[#This Row],[Customer Gender]]="M","Male", orders[[#This Row],[Customer Gender]]="F","Female", orders[[#This Row],[Customer Gender]]="O","Other", TRUE,"Unknown")</f>
        <v>Female</v>
      </c>
    </row>
    <row r="2334" spans="1:15">
      <c r="A2334" s="1" t="s">
        <v>2435</v>
      </c>
      <c r="B2334" s="1" t="s">
        <v>44</v>
      </c>
      <c r="C2334" s="1">
        <v>14</v>
      </c>
      <c r="D2334" s="1">
        <v>37.6</v>
      </c>
      <c r="E2334" s="11">
        <v>526.4</v>
      </c>
      <c r="F2334" s="3">
        <v>45743</v>
      </c>
      <c r="G2334" s="3">
        <v>45745</v>
      </c>
      <c r="H2334" s="1" t="s">
        <v>23</v>
      </c>
      <c r="I2334" s="1" t="s">
        <v>35</v>
      </c>
      <c r="J2334" s="1">
        <v>4</v>
      </c>
      <c r="K2334" s="1" t="s">
        <v>19</v>
      </c>
      <c r="L2334" s="1" t="s">
        <v>33</v>
      </c>
      <c r="M2334" s="1">
        <f>orders[[#This Row],[Ship Date]]-orders[[#This Row],[Order Date]]</f>
        <v>2</v>
      </c>
      <c r="N2334" s="1">
        <f>WEEKNUM(orders[[#This Row],[Order Date]])</f>
        <v>13</v>
      </c>
      <c r="O2334" s="1" t="str" cm="1">
        <f t="array" ref="O2334">_xlfn.IFS(orders[[#This Row],[Customer Gender]]="M","Male", orders[[#This Row],[Customer Gender]]="F","Female", orders[[#This Row],[Customer Gender]]="O","Other", TRUE,"Unknown")</f>
        <v>Male</v>
      </c>
    </row>
    <row r="2335" spans="1:15">
      <c r="A2335" s="1" t="s">
        <v>2436</v>
      </c>
      <c r="B2335" s="1" t="s">
        <v>37</v>
      </c>
      <c r="C2335" s="1">
        <v>3</v>
      </c>
      <c r="D2335" s="1">
        <v>36.6</v>
      </c>
      <c r="E2335" s="11">
        <v>109.80000000000001</v>
      </c>
      <c r="F2335" s="3">
        <v>45743</v>
      </c>
      <c r="G2335" s="3">
        <v>45745</v>
      </c>
      <c r="H2335" s="1" t="s">
        <v>27</v>
      </c>
      <c r="I2335" s="1" t="s">
        <v>70</v>
      </c>
      <c r="J2335" s="1">
        <v>4</v>
      </c>
      <c r="K2335" s="1" t="s">
        <v>19</v>
      </c>
      <c r="L2335" s="1" t="s">
        <v>33</v>
      </c>
      <c r="M2335" s="1">
        <f>orders[[#This Row],[Ship Date]]-orders[[#This Row],[Order Date]]</f>
        <v>2</v>
      </c>
      <c r="N2335" s="1">
        <f>WEEKNUM(orders[[#This Row],[Order Date]])</f>
        <v>13</v>
      </c>
      <c r="O2335" s="1" t="str" cm="1">
        <f t="array" ref="O2335">_xlfn.IFS(orders[[#This Row],[Customer Gender]]="M","Male", orders[[#This Row],[Customer Gender]]="F","Female", orders[[#This Row],[Customer Gender]]="O","Other", TRUE,"Unknown")</f>
        <v>Female</v>
      </c>
    </row>
    <row r="2336" spans="1:15">
      <c r="A2336" s="1" t="s">
        <v>2437</v>
      </c>
      <c r="B2336" s="1" t="s">
        <v>76</v>
      </c>
      <c r="C2336" s="1">
        <v>1</v>
      </c>
      <c r="D2336" s="1">
        <v>55.2</v>
      </c>
      <c r="E2336" s="11">
        <v>55.2</v>
      </c>
      <c r="F2336" s="3">
        <v>45743</v>
      </c>
      <c r="G2336" s="3">
        <v>45745</v>
      </c>
      <c r="H2336" s="1" t="s">
        <v>23</v>
      </c>
      <c r="I2336" s="1" t="s">
        <v>51</v>
      </c>
      <c r="J2336" s="1">
        <v>4</v>
      </c>
      <c r="K2336" s="1" t="s">
        <v>19</v>
      </c>
      <c r="L2336" s="1" t="s">
        <v>33</v>
      </c>
      <c r="M2336" s="1">
        <f>orders[[#This Row],[Ship Date]]-orders[[#This Row],[Order Date]]</f>
        <v>2</v>
      </c>
      <c r="N2336" s="1">
        <f>WEEKNUM(orders[[#This Row],[Order Date]])</f>
        <v>13</v>
      </c>
      <c r="O2336" s="1" t="str" cm="1">
        <f t="array" ref="O2336">_xlfn.IFS(orders[[#This Row],[Customer Gender]]="M","Male", orders[[#This Row],[Customer Gender]]="F","Female", orders[[#This Row],[Customer Gender]]="O","Other", TRUE,"Unknown")</f>
        <v>Male</v>
      </c>
    </row>
    <row r="2337" spans="1:15">
      <c r="A2337" s="1" t="s">
        <v>2438</v>
      </c>
      <c r="B2337" s="1" t="s">
        <v>39</v>
      </c>
      <c r="C2337" s="1">
        <v>5</v>
      </c>
      <c r="D2337" s="1">
        <v>59.9</v>
      </c>
      <c r="E2337" s="11">
        <v>299.5</v>
      </c>
      <c r="F2337" s="3">
        <v>45743</v>
      </c>
      <c r="G2337" s="3">
        <v>45745</v>
      </c>
      <c r="H2337" s="1" t="s">
        <v>23</v>
      </c>
      <c r="I2337" s="1" t="s">
        <v>18</v>
      </c>
      <c r="J2337" s="1">
        <v>4</v>
      </c>
      <c r="K2337" s="1" t="s">
        <v>19</v>
      </c>
      <c r="L2337" s="1" t="s">
        <v>33</v>
      </c>
      <c r="M2337" s="1">
        <f>orders[[#This Row],[Ship Date]]-orders[[#This Row],[Order Date]]</f>
        <v>2</v>
      </c>
      <c r="N2337" s="1">
        <f>WEEKNUM(orders[[#This Row],[Order Date]])</f>
        <v>13</v>
      </c>
      <c r="O2337" s="1" t="str" cm="1">
        <f t="array" ref="O2337">_xlfn.IFS(orders[[#This Row],[Customer Gender]]="M","Male", orders[[#This Row],[Customer Gender]]="F","Female", orders[[#This Row],[Customer Gender]]="O","Other", TRUE,"Unknown")</f>
        <v>Male</v>
      </c>
    </row>
    <row r="2338" spans="1:15">
      <c r="A2338" s="1" t="s">
        <v>2439</v>
      </c>
      <c r="B2338" s="1" t="s">
        <v>39</v>
      </c>
      <c r="C2338" s="1">
        <v>1</v>
      </c>
      <c r="D2338" s="1">
        <v>44</v>
      </c>
      <c r="E2338" s="11">
        <v>44</v>
      </c>
      <c r="F2338" s="3">
        <v>45743</v>
      </c>
      <c r="G2338" s="3">
        <v>45744</v>
      </c>
      <c r="H2338" s="1" t="s">
        <v>27</v>
      </c>
      <c r="I2338" s="1" t="s">
        <v>40</v>
      </c>
      <c r="J2338" s="1">
        <v>5</v>
      </c>
      <c r="K2338" s="1" t="s">
        <v>19</v>
      </c>
      <c r="L2338" s="1" t="s">
        <v>33</v>
      </c>
      <c r="M2338" s="1">
        <f>orders[[#This Row],[Ship Date]]-orders[[#This Row],[Order Date]]</f>
        <v>1</v>
      </c>
      <c r="N2338" s="1">
        <f>WEEKNUM(orders[[#This Row],[Order Date]])</f>
        <v>13</v>
      </c>
      <c r="O2338" s="1" t="str" cm="1">
        <f t="array" ref="O2338">_xlfn.IFS(orders[[#This Row],[Customer Gender]]="M","Male", orders[[#This Row],[Customer Gender]]="F","Female", orders[[#This Row],[Customer Gender]]="O","Other", TRUE,"Unknown")</f>
        <v>Female</v>
      </c>
    </row>
    <row r="2339" spans="1:15">
      <c r="A2339" s="1" t="s">
        <v>2440</v>
      </c>
      <c r="B2339" s="1" t="s">
        <v>46</v>
      </c>
      <c r="C2339" s="1">
        <v>2</v>
      </c>
      <c r="D2339" s="1">
        <v>68.7</v>
      </c>
      <c r="E2339" s="11">
        <v>137.4</v>
      </c>
      <c r="F2339" s="3">
        <v>45743</v>
      </c>
      <c r="G2339" s="3">
        <v>45743</v>
      </c>
      <c r="H2339" s="1" t="s">
        <v>23</v>
      </c>
      <c r="I2339" s="1" t="s">
        <v>18</v>
      </c>
      <c r="J2339" s="1">
        <v>4</v>
      </c>
      <c r="K2339" s="1" t="s">
        <v>19</v>
      </c>
      <c r="L2339" s="1" t="s">
        <v>33</v>
      </c>
      <c r="M2339" s="1">
        <f>orders[[#This Row],[Ship Date]]-orders[[#This Row],[Order Date]]</f>
        <v>0</v>
      </c>
      <c r="N2339" s="1">
        <f>WEEKNUM(orders[[#This Row],[Order Date]])</f>
        <v>13</v>
      </c>
      <c r="O2339" s="1" t="str" cm="1">
        <f t="array" ref="O2339">_xlfn.IFS(orders[[#This Row],[Customer Gender]]="M","Male", orders[[#This Row],[Customer Gender]]="F","Female", orders[[#This Row],[Customer Gender]]="O","Other", TRUE,"Unknown")</f>
        <v>Male</v>
      </c>
    </row>
    <row r="2340" spans="1:15">
      <c r="A2340" s="1" t="s">
        <v>2441</v>
      </c>
      <c r="B2340" s="1" t="s">
        <v>37</v>
      </c>
      <c r="C2340" s="1">
        <v>2</v>
      </c>
      <c r="D2340" s="1">
        <v>61.6</v>
      </c>
      <c r="E2340" s="11">
        <v>123.2</v>
      </c>
      <c r="F2340" s="3">
        <v>45743</v>
      </c>
      <c r="G2340" s="3">
        <v>45747</v>
      </c>
      <c r="H2340" s="1" t="s">
        <v>23</v>
      </c>
      <c r="I2340" s="1" t="s">
        <v>51</v>
      </c>
      <c r="J2340" s="1">
        <v>3</v>
      </c>
      <c r="K2340" s="1" t="s">
        <v>19</v>
      </c>
      <c r="L2340" s="1" t="s">
        <v>33</v>
      </c>
      <c r="M2340" s="1">
        <f>orders[[#This Row],[Ship Date]]-orders[[#This Row],[Order Date]]</f>
        <v>4</v>
      </c>
      <c r="N2340" s="1">
        <f>WEEKNUM(orders[[#This Row],[Order Date]])</f>
        <v>13</v>
      </c>
      <c r="O2340" s="1" t="str" cm="1">
        <f t="array" ref="O2340">_xlfn.IFS(orders[[#This Row],[Customer Gender]]="M","Male", orders[[#This Row],[Customer Gender]]="F","Female", orders[[#This Row],[Customer Gender]]="O","Other", TRUE,"Unknown")</f>
        <v>Male</v>
      </c>
    </row>
    <row r="2341" spans="1:15">
      <c r="A2341" s="1" t="s">
        <v>2442</v>
      </c>
      <c r="B2341" s="1" t="s">
        <v>42</v>
      </c>
      <c r="C2341" s="1">
        <v>7</v>
      </c>
      <c r="D2341" s="1">
        <v>51.8</v>
      </c>
      <c r="E2341" s="11">
        <v>362.59999999999997</v>
      </c>
      <c r="F2341" s="3">
        <v>45743</v>
      </c>
      <c r="G2341" s="3">
        <v>45744</v>
      </c>
      <c r="H2341" s="1" t="s">
        <v>23</v>
      </c>
      <c r="I2341" s="1" t="s">
        <v>18</v>
      </c>
      <c r="J2341" s="1">
        <v>4</v>
      </c>
      <c r="K2341" s="1" t="s">
        <v>19</v>
      </c>
      <c r="L2341" s="1" t="s">
        <v>33</v>
      </c>
      <c r="M2341" s="1">
        <f>orders[[#This Row],[Ship Date]]-orders[[#This Row],[Order Date]]</f>
        <v>1</v>
      </c>
      <c r="N2341" s="1">
        <f>WEEKNUM(orders[[#This Row],[Order Date]])</f>
        <v>13</v>
      </c>
      <c r="O2341" s="1" t="str" cm="1">
        <f t="array" ref="O2341">_xlfn.IFS(orders[[#This Row],[Customer Gender]]="M","Male", orders[[#This Row],[Customer Gender]]="F","Female", orders[[#This Row],[Customer Gender]]="O","Other", TRUE,"Unknown")</f>
        <v>Male</v>
      </c>
    </row>
    <row r="2342" spans="1:15">
      <c r="A2342" s="1" t="s">
        <v>2443</v>
      </c>
      <c r="B2342" s="1" t="s">
        <v>44</v>
      </c>
      <c r="C2342" s="1">
        <v>10</v>
      </c>
      <c r="D2342" s="1">
        <v>46.2</v>
      </c>
      <c r="E2342" s="11">
        <v>462</v>
      </c>
      <c r="F2342" s="3">
        <v>45743</v>
      </c>
      <c r="G2342" s="3">
        <v>45745</v>
      </c>
      <c r="H2342" s="1" t="s">
        <v>23</v>
      </c>
      <c r="I2342" s="1" t="s">
        <v>35</v>
      </c>
      <c r="J2342" s="1">
        <v>5</v>
      </c>
      <c r="K2342" s="1" t="s">
        <v>19</v>
      </c>
      <c r="L2342" s="1" t="s">
        <v>33</v>
      </c>
      <c r="M2342" s="1">
        <f>orders[[#This Row],[Ship Date]]-orders[[#This Row],[Order Date]]</f>
        <v>2</v>
      </c>
      <c r="N2342" s="1">
        <f>WEEKNUM(orders[[#This Row],[Order Date]])</f>
        <v>13</v>
      </c>
      <c r="O2342" s="1" t="str" cm="1">
        <f t="array" ref="O2342">_xlfn.IFS(orders[[#This Row],[Customer Gender]]="M","Male", orders[[#This Row],[Customer Gender]]="F","Female", orders[[#This Row],[Customer Gender]]="O","Other", TRUE,"Unknown")</f>
        <v>Male</v>
      </c>
    </row>
    <row r="2343" spans="1:15">
      <c r="A2343" s="1" t="s">
        <v>2444</v>
      </c>
      <c r="B2343" s="1" t="s">
        <v>16</v>
      </c>
      <c r="C2343" s="1">
        <v>2</v>
      </c>
      <c r="D2343" s="1">
        <v>19.399999999999999</v>
      </c>
      <c r="E2343" s="11">
        <v>38.799999999999997</v>
      </c>
      <c r="F2343" s="3">
        <v>45743</v>
      </c>
      <c r="G2343" s="3">
        <v>45745</v>
      </c>
      <c r="H2343" s="1" t="s">
        <v>27</v>
      </c>
      <c r="I2343" s="1" t="s">
        <v>35</v>
      </c>
      <c r="J2343" s="1">
        <v>5</v>
      </c>
      <c r="K2343" s="1" t="s">
        <v>19</v>
      </c>
      <c r="L2343" s="1" t="s">
        <v>55</v>
      </c>
      <c r="M2343" s="1">
        <f>orders[[#This Row],[Ship Date]]-orders[[#This Row],[Order Date]]</f>
        <v>2</v>
      </c>
      <c r="N2343" s="1">
        <f>WEEKNUM(orders[[#This Row],[Order Date]])</f>
        <v>13</v>
      </c>
      <c r="O2343" s="1" t="str" cm="1">
        <f t="array" ref="O2343">_xlfn.IFS(orders[[#This Row],[Customer Gender]]="M","Male", orders[[#This Row],[Customer Gender]]="F","Female", orders[[#This Row],[Customer Gender]]="O","Other", TRUE,"Unknown")</f>
        <v>Female</v>
      </c>
    </row>
    <row r="2344" spans="1:15">
      <c r="A2344" s="1" t="s">
        <v>2445</v>
      </c>
      <c r="B2344" s="1" t="s">
        <v>67</v>
      </c>
      <c r="C2344" s="1">
        <v>3</v>
      </c>
      <c r="D2344" s="1">
        <v>52.1</v>
      </c>
      <c r="E2344" s="11">
        <v>156.30000000000001</v>
      </c>
      <c r="F2344" s="3">
        <v>45743</v>
      </c>
      <c r="G2344" s="3">
        <v>45746</v>
      </c>
      <c r="H2344" s="1" t="s">
        <v>23</v>
      </c>
      <c r="I2344" s="1" t="s">
        <v>51</v>
      </c>
      <c r="J2344" s="1">
        <v>1</v>
      </c>
      <c r="K2344" s="1" t="s">
        <v>19</v>
      </c>
      <c r="L2344" s="1" t="s">
        <v>55</v>
      </c>
      <c r="M2344" s="1">
        <f>orders[[#This Row],[Ship Date]]-orders[[#This Row],[Order Date]]</f>
        <v>3</v>
      </c>
      <c r="N2344" s="1">
        <f>WEEKNUM(orders[[#This Row],[Order Date]])</f>
        <v>13</v>
      </c>
      <c r="O2344" s="1" t="str" cm="1">
        <f t="array" ref="O2344">_xlfn.IFS(orders[[#This Row],[Customer Gender]]="M","Male", orders[[#This Row],[Customer Gender]]="F","Female", orders[[#This Row],[Customer Gender]]="O","Other", TRUE,"Unknown")</f>
        <v>Male</v>
      </c>
    </row>
    <row r="2345" spans="1:15">
      <c r="A2345" s="1" t="s">
        <v>2446</v>
      </c>
      <c r="B2345" s="1" t="s">
        <v>39</v>
      </c>
      <c r="C2345" s="1">
        <v>1</v>
      </c>
      <c r="D2345" s="1">
        <v>74.900000000000006</v>
      </c>
      <c r="E2345" s="11">
        <v>74.900000000000006</v>
      </c>
      <c r="F2345" s="3">
        <v>45743</v>
      </c>
      <c r="G2345" s="3">
        <v>45745</v>
      </c>
      <c r="H2345" s="1" t="s">
        <v>89</v>
      </c>
      <c r="I2345" s="1" t="s">
        <v>18</v>
      </c>
      <c r="J2345" s="1">
        <v>4</v>
      </c>
      <c r="K2345" s="1" t="s">
        <v>19</v>
      </c>
      <c r="L2345" s="1" t="s">
        <v>59</v>
      </c>
      <c r="M2345" s="1">
        <f>orders[[#This Row],[Ship Date]]-orders[[#This Row],[Order Date]]</f>
        <v>2</v>
      </c>
      <c r="N2345" s="1">
        <f>WEEKNUM(orders[[#This Row],[Order Date]])</f>
        <v>13</v>
      </c>
      <c r="O2345" s="1" t="str" cm="1">
        <f t="array" ref="O2345">_xlfn.IFS(orders[[#This Row],[Customer Gender]]="M","Male", orders[[#This Row],[Customer Gender]]="F","Female", orders[[#This Row],[Customer Gender]]="O","Other", TRUE,"Unknown")</f>
        <v>Other</v>
      </c>
    </row>
    <row r="2346" spans="1:15">
      <c r="A2346" s="1" t="s">
        <v>2447</v>
      </c>
      <c r="B2346" s="1" t="s">
        <v>46</v>
      </c>
      <c r="C2346" s="1">
        <v>7</v>
      </c>
      <c r="D2346" s="1">
        <v>49.6</v>
      </c>
      <c r="E2346" s="11">
        <v>347.2</v>
      </c>
      <c r="F2346" s="3">
        <v>45743</v>
      </c>
      <c r="G2346" s="3">
        <v>45746</v>
      </c>
      <c r="H2346" s="1" t="s">
        <v>27</v>
      </c>
      <c r="I2346" s="1" t="s">
        <v>70</v>
      </c>
      <c r="J2346" s="1">
        <v>4</v>
      </c>
      <c r="K2346" s="1" t="s">
        <v>19</v>
      </c>
      <c r="L2346" s="1" t="s">
        <v>62</v>
      </c>
      <c r="M2346" s="1">
        <f>orders[[#This Row],[Ship Date]]-orders[[#This Row],[Order Date]]</f>
        <v>3</v>
      </c>
      <c r="N2346" s="1">
        <f>WEEKNUM(orders[[#This Row],[Order Date]])</f>
        <v>13</v>
      </c>
      <c r="O2346" s="1" t="str" cm="1">
        <f t="array" ref="O2346">_xlfn.IFS(orders[[#This Row],[Customer Gender]]="M","Male", orders[[#This Row],[Customer Gender]]="F","Female", orders[[#This Row],[Customer Gender]]="O","Other", TRUE,"Unknown")</f>
        <v>Female</v>
      </c>
    </row>
    <row r="2347" spans="1:15">
      <c r="A2347" s="1" t="s">
        <v>2448</v>
      </c>
      <c r="B2347" s="1" t="s">
        <v>128</v>
      </c>
      <c r="C2347" s="1">
        <v>4</v>
      </c>
      <c r="D2347" s="1">
        <v>82.8</v>
      </c>
      <c r="E2347" s="11">
        <v>331.2</v>
      </c>
      <c r="F2347" s="3">
        <v>45744</v>
      </c>
      <c r="G2347" s="3">
        <v>45747</v>
      </c>
      <c r="H2347" s="1" t="s">
        <v>27</v>
      </c>
      <c r="I2347" s="1" t="s">
        <v>70</v>
      </c>
      <c r="J2347" s="1">
        <v>4</v>
      </c>
      <c r="K2347" s="1" t="s">
        <v>19</v>
      </c>
      <c r="L2347" s="1" t="s">
        <v>62</v>
      </c>
      <c r="M2347" s="1">
        <f>orders[[#This Row],[Ship Date]]-orders[[#This Row],[Order Date]]</f>
        <v>3</v>
      </c>
      <c r="N2347" s="1">
        <f>WEEKNUM(orders[[#This Row],[Order Date]])</f>
        <v>13</v>
      </c>
      <c r="O2347" s="1" t="str" cm="1">
        <f t="array" ref="O2347">_xlfn.IFS(orders[[#This Row],[Customer Gender]]="M","Male", orders[[#This Row],[Customer Gender]]="F","Female", orders[[#This Row],[Customer Gender]]="O","Other", TRUE,"Unknown")</f>
        <v>Female</v>
      </c>
    </row>
    <row r="2348" spans="1:15">
      <c r="A2348" s="1" t="s">
        <v>2449</v>
      </c>
      <c r="B2348" s="1" t="s">
        <v>26</v>
      </c>
      <c r="C2348" s="1">
        <v>1</v>
      </c>
      <c r="D2348" s="1">
        <v>97.7</v>
      </c>
      <c r="E2348" s="11">
        <v>97.7</v>
      </c>
      <c r="F2348" s="3">
        <v>45744</v>
      </c>
      <c r="G2348" s="3">
        <v>45745</v>
      </c>
      <c r="H2348" s="1" t="s">
        <v>27</v>
      </c>
      <c r="I2348" s="1" t="s">
        <v>35</v>
      </c>
      <c r="J2348" s="1">
        <v>4</v>
      </c>
      <c r="K2348" s="1" t="s">
        <v>19</v>
      </c>
      <c r="L2348" s="1" t="s">
        <v>62</v>
      </c>
      <c r="M2348" s="1">
        <f>orders[[#This Row],[Ship Date]]-orders[[#This Row],[Order Date]]</f>
        <v>1</v>
      </c>
      <c r="N2348" s="1">
        <f>WEEKNUM(orders[[#This Row],[Order Date]])</f>
        <v>13</v>
      </c>
      <c r="O2348" s="1" t="str" cm="1">
        <f t="array" ref="O2348">_xlfn.IFS(orders[[#This Row],[Customer Gender]]="M","Male", orders[[#This Row],[Customer Gender]]="F","Female", orders[[#This Row],[Customer Gender]]="O","Other", TRUE,"Unknown")</f>
        <v>Female</v>
      </c>
    </row>
    <row r="2349" spans="1:15">
      <c r="A2349" s="1" t="s">
        <v>2450</v>
      </c>
      <c r="B2349" s="1" t="s">
        <v>39</v>
      </c>
      <c r="C2349" s="1">
        <v>5</v>
      </c>
      <c r="D2349" s="1">
        <v>83.6</v>
      </c>
      <c r="E2349" s="11">
        <v>418</v>
      </c>
      <c r="F2349" s="3">
        <v>45744</v>
      </c>
      <c r="G2349" s="3">
        <v>45745</v>
      </c>
      <c r="H2349" s="1" t="s">
        <v>27</v>
      </c>
      <c r="I2349" s="1" t="s">
        <v>70</v>
      </c>
      <c r="J2349" s="1">
        <v>4</v>
      </c>
      <c r="K2349" s="1" t="s">
        <v>19</v>
      </c>
      <c r="L2349" s="1" t="s">
        <v>62</v>
      </c>
      <c r="M2349" s="1">
        <f>orders[[#This Row],[Ship Date]]-orders[[#This Row],[Order Date]]</f>
        <v>1</v>
      </c>
      <c r="N2349" s="1">
        <f>WEEKNUM(orders[[#This Row],[Order Date]])</f>
        <v>13</v>
      </c>
      <c r="O2349" s="1" t="str" cm="1">
        <f t="array" ref="O2349">_xlfn.IFS(orders[[#This Row],[Customer Gender]]="M","Male", orders[[#This Row],[Customer Gender]]="F","Female", orders[[#This Row],[Customer Gender]]="O","Other", TRUE,"Unknown")</f>
        <v>Female</v>
      </c>
    </row>
    <row r="2350" spans="1:15">
      <c r="A2350" s="1" t="s">
        <v>2451</v>
      </c>
      <c r="B2350" s="1" t="s">
        <v>44</v>
      </c>
      <c r="C2350" s="1">
        <v>5</v>
      </c>
      <c r="D2350" s="1">
        <v>23.5</v>
      </c>
      <c r="E2350" s="11">
        <v>117.5</v>
      </c>
      <c r="F2350" s="3">
        <v>45744</v>
      </c>
      <c r="G2350" s="3">
        <v>45748</v>
      </c>
      <c r="H2350" s="1" t="s">
        <v>89</v>
      </c>
      <c r="I2350" s="1" t="s">
        <v>18</v>
      </c>
      <c r="J2350" s="1">
        <v>4</v>
      </c>
      <c r="K2350" s="1" t="s">
        <v>19</v>
      </c>
      <c r="L2350" s="1" t="s">
        <v>62</v>
      </c>
      <c r="M2350" s="1">
        <f>orders[[#This Row],[Ship Date]]-orders[[#This Row],[Order Date]]</f>
        <v>4</v>
      </c>
      <c r="N2350" s="1">
        <f>WEEKNUM(orders[[#This Row],[Order Date]])</f>
        <v>13</v>
      </c>
      <c r="O2350" s="1" t="str" cm="1">
        <f t="array" ref="O2350">_xlfn.IFS(orders[[#This Row],[Customer Gender]]="M","Male", orders[[#This Row],[Customer Gender]]="F","Female", orders[[#This Row],[Customer Gender]]="O","Other", TRUE,"Unknown")</f>
        <v>Other</v>
      </c>
    </row>
    <row r="2351" spans="1:15">
      <c r="A2351" s="1" t="s">
        <v>2452</v>
      </c>
      <c r="B2351" s="1" t="s">
        <v>46</v>
      </c>
      <c r="C2351" s="1">
        <v>3</v>
      </c>
      <c r="D2351" s="1">
        <v>44.6</v>
      </c>
      <c r="E2351" s="11">
        <v>133.80000000000001</v>
      </c>
      <c r="F2351" s="3">
        <v>45744</v>
      </c>
      <c r="G2351" s="3">
        <v>45747</v>
      </c>
      <c r="H2351" s="1" t="s">
        <v>27</v>
      </c>
      <c r="I2351" s="1" t="s">
        <v>70</v>
      </c>
      <c r="J2351" s="1">
        <v>3</v>
      </c>
      <c r="K2351" s="1" t="s">
        <v>19</v>
      </c>
      <c r="L2351" s="1" t="s">
        <v>201</v>
      </c>
      <c r="M2351" s="1">
        <f>orders[[#This Row],[Ship Date]]-orders[[#This Row],[Order Date]]</f>
        <v>3</v>
      </c>
      <c r="N2351" s="1">
        <f>WEEKNUM(orders[[#This Row],[Order Date]])</f>
        <v>13</v>
      </c>
      <c r="O2351" s="1" t="str" cm="1">
        <f t="array" ref="O2351">_xlfn.IFS(orders[[#This Row],[Customer Gender]]="M","Male", orders[[#This Row],[Customer Gender]]="F","Female", orders[[#This Row],[Customer Gender]]="O","Other", TRUE,"Unknown")</f>
        <v>Female</v>
      </c>
    </row>
    <row r="2352" spans="1:15">
      <c r="A2352" s="1" t="s">
        <v>2453</v>
      </c>
      <c r="B2352" s="1" t="s">
        <v>16</v>
      </c>
      <c r="C2352" s="1">
        <v>3</v>
      </c>
      <c r="D2352" s="1">
        <v>20.100000000000001</v>
      </c>
      <c r="E2352" s="11">
        <v>60.300000000000004</v>
      </c>
      <c r="F2352" s="3">
        <v>45744</v>
      </c>
      <c r="G2352" s="3">
        <v>45746</v>
      </c>
      <c r="H2352" s="1" t="s">
        <v>27</v>
      </c>
      <c r="I2352" s="1" t="s">
        <v>51</v>
      </c>
      <c r="J2352" s="1">
        <v>2</v>
      </c>
      <c r="K2352" s="1" t="s">
        <v>19</v>
      </c>
      <c r="L2352" s="1" t="s">
        <v>77</v>
      </c>
      <c r="M2352" s="1">
        <f>orders[[#This Row],[Ship Date]]-orders[[#This Row],[Order Date]]</f>
        <v>2</v>
      </c>
      <c r="N2352" s="1">
        <f>WEEKNUM(orders[[#This Row],[Order Date]])</f>
        <v>13</v>
      </c>
      <c r="O2352" s="1" t="str" cm="1">
        <f t="array" ref="O2352">_xlfn.IFS(orders[[#This Row],[Customer Gender]]="M","Male", orders[[#This Row],[Customer Gender]]="F","Female", orders[[#This Row],[Customer Gender]]="O","Other", TRUE,"Unknown")</f>
        <v>Female</v>
      </c>
    </row>
    <row r="2353" spans="1:15">
      <c r="A2353" s="1" t="s">
        <v>2454</v>
      </c>
      <c r="B2353" s="1" t="s">
        <v>26</v>
      </c>
      <c r="C2353" s="1">
        <v>5</v>
      </c>
      <c r="D2353" s="1">
        <v>153.6</v>
      </c>
      <c r="E2353" s="11">
        <v>768</v>
      </c>
      <c r="F2353" s="3">
        <v>45744</v>
      </c>
      <c r="G2353" s="3">
        <v>45745</v>
      </c>
      <c r="H2353" s="1" t="s">
        <v>27</v>
      </c>
      <c r="I2353" s="1" t="s">
        <v>35</v>
      </c>
      <c r="J2353" s="1">
        <v>5</v>
      </c>
      <c r="K2353" s="1" t="s">
        <v>19</v>
      </c>
      <c r="L2353" s="1" t="s">
        <v>1116</v>
      </c>
      <c r="M2353" s="1">
        <f>orders[[#This Row],[Ship Date]]-orders[[#This Row],[Order Date]]</f>
        <v>1</v>
      </c>
      <c r="N2353" s="1">
        <f>WEEKNUM(orders[[#This Row],[Order Date]])</f>
        <v>13</v>
      </c>
      <c r="O2353" s="1" t="str" cm="1">
        <f t="array" ref="O2353">_xlfn.IFS(orders[[#This Row],[Customer Gender]]="M","Male", orders[[#This Row],[Customer Gender]]="F","Female", orders[[#This Row],[Customer Gender]]="O","Other", TRUE,"Unknown")</f>
        <v>Female</v>
      </c>
    </row>
    <row r="2354" spans="1:15">
      <c r="A2354" s="1" t="s">
        <v>2455</v>
      </c>
      <c r="B2354" s="1" t="s">
        <v>22</v>
      </c>
      <c r="C2354" s="1">
        <v>2</v>
      </c>
      <c r="D2354" s="1">
        <v>71.8</v>
      </c>
      <c r="E2354" s="11">
        <v>143.6</v>
      </c>
      <c r="F2354" s="3">
        <v>45744</v>
      </c>
      <c r="G2354" s="3">
        <v>45748</v>
      </c>
      <c r="H2354" s="1" t="s">
        <v>27</v>
      </c>
      <c r="I2354" s="1" t="s">
        <v>35</v>
      </c>
      <c r="J2354" s="1">
        <v>4</v>
      </c>
      <c r="K2354" s="1" t="s">
        <v>19</v>
      </c>
      <c r="L2354" s="1" t="s">
        <v>24</v>
      </c>
      <c r="M2354" s="1">
        <f>orders[[#This Row],[Ship Date]]-orders[[#This Row],[Order Date]]</f>
        <v>4</v>
      </c>
      <c r="N2354" s="1">
        <f>WEEKNUM(orders[[#This Row],[Order Date]])</f>
        <v>13</v>
      </c>
      <c r="O2354" s="1" t="str" cm="1">
        <f t="array" ref="O2354">_xlfn.IFS(orders[[#This Row],[Customer Gender]]="M","Male", orders[[#This Row],[Customer Gender]]="F","Female", orders[[#This Row],[Customer Gender]]="O","Other", TRUE,"Unknown")</f>
        <v>Female</v>
      </c>
    </row>
    <row r="2355" spans="1:15">
      <c r="A2355" s="1" t="s">
        <v>2456</v>
      </c>
      <c r="B2355" s="1" t="s">
        <v>54</v>
      </c>
      <c r="C2355" s="1">
        <v>1</v>
      </c>
      <c r="D2355" s="1">
        <v>64.7</v>
      </c>
      <c r="E2355" s="11">
        <v>64.7</v>
      </c>
      <c r="F2355" s="3">
        <v>45744</v>
      </c>
      <c r="G2355" s="3">
        <v>45746</v>
      </c>
      <c r="H2355" s="1" t="s">
        <v>17</v>
      </c>
      <c r="I2355" s="1" t="s">
        <v>18</v>
      </c>
      <c r="J2355" s="1">
        <v>3</v>
      </c>
      <c r="K2355" s="1" t="s">
        <v>19</v>
      </c>
      <c r="L2355" s="1" t="s">
        <v>24</v>
      </c>
      <c r="M2355" s="1">
        <f>orders[[#This Row],[Ship Date]]-orders[[#This Row],[Order Date]]</f>
        <v>2</v>
      </c>
      <c r="N2355" s="1">
        <f>WEEKNUM(orders[[#This Row],[Order Date]])</f>
        <v>13</v>
      </c>
      <c r="O2355" s="1" t="str" cm="1">
        <f t="array" ref="O2355">_xlfn.IFS(orders[[#This Row],[Customer Gender]]="M","Male", orders[[#This Row],[Customer Gender]]="F","Female", orders[[#This Row],[Customer Gender]]="O","Other", TRUE,"Unknown")</f>
        <v>Unknown</v>
      </c>
    </row>
    <row r="2356" spans="1:15">
      <c r="A2356" s="1" t="s">
        <v>2457</v>
      </c>
      <c r="B2356" s="1" t="s">
        <v>46</v>
      </c>
      <c r="C2356" s="1">
        <v>8</v>
      </c>
      <c r="D2356" s="1">
        <v>60.4</v>
      </c>
      <c r="E2356" s="11">
        <v>483.2</v>
      </c>
      <c r="F2356" s="3">
        <v>45744</v>
      </c>
      <c r="G2356" s="3">
        <v>45746</v>
      </c>
      <c r="H2356" s="1" t="s">
        <v>27</v>
      </c>
      <c r="I2356" s="1" t="s">
        <v>51</v>
      </c>
      <c r="J2356" s="1">
        <v>5</v>
      </c>
      <c r="K2356" s="1" t="s">
        <v>19</v>
      </c>
      <c r="L2356" s="1" t="s">
        <v>28</v>
      </c>
      <c r="M2356" s="1">
        <f>orders[[#This Row],[Ship Date]]-orders[[#This Row],[Order Date]]</f>
        <v>2</v>
      </c>
      <c r="N2356" s="1">
        <f>WEEKNUM(orders[[#This Row],[Order Date]])</f>
        <v>13</v>
      </c>
      <c r="O2356" s="1" t="str" cm="1">
        <f t="array" ref="O2356">_xlfn.IFS(orders[[#This Row],[Customer Gender]]="M","Male", orders[[#This Row],[Customer Gender]]="F","Female", orders[[#This Row],[Customer Gender]]="O","Other", TRUE,"Unknown")</f>
        <v>Female</v>
      </c>
    </row>
    <row r="2357" spans="1:15">
      <c r="A2357" s="1" t="s">
        <v>2458</v>
      </c>
      <c r="B2357" s="1" t="s">
        <v>39</v>
      </c>
      <c r="C2357" s="1">
        <v>4</v>
      </c>
      <c r="D2357" s="1">
        <v>86</v>
      </c>
      <c r="E2357" s="11">
        <v>344</v>
      </c>
      <c r="F2357" s="3">
        <v>45744</v>
      </c>
      <c r="G2357" s="3">
        <v>45747</v>
      </c>
      <c r="H2357" s="1" t="s">
        <v>27</v>
      </c>
      <c r="I2357" s="1" t="s">
        <v>40</v>
      </c>
      <c r="J2357" s="1">
        <v>5</v>
      </c>
      <c r="K2357" s="1" t="s">
        <v>19</v>
      </c>
      <c r="L2357" s="1" t="s">
        <v>147</v>
      </c>
      <c r="M2357" s="1">
        <f>orders[[#This Row],[Ship Date]]-orders[[#This Row],[Order Date]]</f>
        <v>3</v>
      </c>
      <c r="N2357" s="1">
        <f>WEEKNUM(orders[[#This Row],[Order Date]])</f>
        <v>13</v>
      </c>
      <c r="O2357" s="1" t="str" cm="1">
        <f t="array" ref="O2357">_xlfn.IFS(orders[[#This Row],[Customer Gender]]="M","Male", orders[[#This Row],[Customer Gender]]="F","Female", orders[[#This Row],[Customer Gender]]="O","Other", TRUE,"Unknown")</f>
        <v>Female</v>
      </c>
    </row>
    <row r="2358" spans="1:15">
      <c r="A2358" s="1" t="s">
        <v>2459</v>
      </c>
      <c r="B2358" s="1" t="s">
        <v>69</v>
      </c>
      <c r="C2358" s="1">
        <v>2</v>
      </c>
      <c r="D2358" s="1">
        <v>42.1</v>
      </c>
      <c r="E2358" s="11">
        <v>84.2</v>
      </c>
      <c r="F2358" s="3">
        <v>45744</v>
      </c>
      <c r="G2358" s="3">
        <v>45745</v>
      </c>
      <c r="H2358" s="1" t="s">
        <v>27</v>
      </c>
      <c r="I2358" s="1" t="s">
        <v>70</v>
      </c>
      <c r="J2358" s="1">
        <v>3</v>
      </c>
      <c r="K2358" s="1" t="s">
        <v>19</v>
      </c>
      <c r="L2358" s="1" t="s">
        <v>334</v>
      </c>
      <c r="M2358" s="1">
        <f>orders[[#This Row],[Ship Date]]-orders[[#This Row],[Order Date]]</f>
        <v>1</v>
      </c>
      <c r="N2358" s="1">
        <f>WEEKNUM(orders[[#This Row],[Order Date]])</f>
        <v>13</v>
      </c>
      <c r="O2358" s="1" t="str" cm="1">
        <f t="array" ref="O2358">_xlfn.IFS(orders[[#This Row],[Customer Gender]]="M","Male", orders[[#This Row],[Customer Gender]]="F","Female", orders[[#This Row],[Customer Gender]]="O","Other", TRUE,"Unknown")</f>
        <v>Female</v>
      </c>
    </row>
    <row r="2359" spans="1:15">
      <c r="A2359" s="1" t="s">
        <v>2460</v>
      </c>
      <c r="B2359" s="1" t="s">
        <v>128</v>
      </c>
      <c r="C2359" s="1">
        <v>9</v>
      </c>
      <c r="D2359" s="1">
        <v>51.1</v>
      </c>
      <c r="E2359" s="11">
        <v>459.90000000000003</v>
      </c>
      <c r="F2359" s="3">
        <v>45744</v>
      </c>
      <c r="G2359" s="3">
        <v>45745</v>
      </c>
      <c r="H2359" s="1" t="s">
        <v>23</v>
      </c>
      <c r="I2359" s="1" t="s">
        <v>40</v>
      </c>
      <c r="J2359" s="1">
        <v>3</v>
      </c>
      <c r="K2359" s="1" t="s">
        <v>19</v>
      </c>
      <c r="L2359" s="1" t="s">
        <v>33</v>
      </c>
      <c r="M2359" s="1">
        <f>orders[[#This Row],[Ship Date]]-orders[[#This Row],[Order Date]]</f>
        <v>1</v>
      </c>
      <c r="N2359" s="1">
        <f>WEEKNUM(orders[[#This Row],[Order Date]])</f>
        <v>13</v>
      </c>
      <c r="O2359" s="1" t="str" cm="1">
        <f t="array" ref="O2359">_xlfn.IFS(orders[[#This Row],[Customer Gender]]="M","Male", orders[[#This Row],[Customer Gender]]="F","Female", orders[[#This Row],[Customer Gender]]="O","Other", TRUE,"Unknown")</f>
        <v>Male</v>
      </c>
    </row>
    <row r="2360" spans="1:15">
      <c r="A2360" s="1" t="s">
        <v>2461</v>
      </c>
      <c r="B2360" s="1" t="s">
        <v>46</v>
      </c>
      <c r="C2360" s="1">
        <v>4</v>
      </c>
      <c r="D2360" s="1">
        <v>73.8</v>
      </c>
      <c r="E2360" s="11">
        <v>295.2</v>
      </c>
      <c r="F2360" s="3">
        <v>45744</v>
      </c>
      <c r="G2360" s="3">
        <v>45745</v>
      </c>
      <c r="H2360" s="1" t="s">
        <v>23</v>
      </c>
      <c r="I2360" s="1" t="s">
        <v>70</v>
      </c>
      <c r="J2360" s="1">
        <v>4</v>
      </c>
      <c r="K2360" s="1" t="s">
        <v>19</v>
      </c>
      <c r="L2360" s="1" t="s">
        <v>33</v>
      </c>
      <c r="M2360" s="1">
        <f>orders[[#This Row],[Ship Date]]-orders[[#This Row],[Order Date]]</f>
        <v>1</v>
      </c>
      <c r="N2360" s="1">
        <f>WEEKNUM(orders[[#This Row],[Order Date]])</f>
        <v>13</v>
      </c>
      <c r="O2360" s="1" t="str" cm="1">
        <f t="array" ref="O2360">_xlfn.IFS(orders[[#This Row],[Customer Gender]]="M","Male", orders[[#This Row],[Customer Gender]]="F","Female", orders[[#This Row],[Customer Gender]]="O","Other", TRUE,"Unknown")</f>
        <v>Male</v>
      </c>
    </row>
    <row r="2361" spans="1:15">
      <c r="A2361" s="1" t="s">
        <v>2462</v>
      </c>
      <c r="B2361" s="1" t="s">
        <v>44</v>
      </c>
      <c r="C2361" s="1">
        <v>5</v>
      </c>
      <c r="D2361" s="1">
        <v>27</v>
      </c>
      <c r="E2361" s="11">
        <v>135</v>
      </c>
      <c r="F2361" s="3">
        <v>45744</v>
      </c>
      <c r="G2361" s="3">
        <v>45747</v>
      </c>
      <c r="H2361" s="1" t="s">
        <v>27</v>
      </c>
      <c r="I2361" s="1" t="s">
        <v>40</v>
      </c>
      <c r="J2361" s="1">
        <v>5</v>
      </c>
      <c r="K2361" s="1" t="s">
        <v>19</v>
      </c>
      <c r="L2361" s="1" t="s">
        <v>33</v>
      </c>
      <c r="M2361" s="1">
        <f>orders[[#This Row],[Ship Date]]-orders[[#This Row],[Order Date]]</f>
        <v>3</v>
      </c>
      <c r="N2361" s="1">
        <f>WEEKNUM(orders[[#This Row],[Order Date]])</f>
        <v>13</v>
      </c>
      <c r="O2361" s="1" t="str" cm="1">
        <f t="array" ref="O2361">_xlfn.IFS(orders[[#This Row],[Customer Gender]]="M","Male", orders[[#This Row],[Customer Gender]]="F","Female", orders[[#This Row],[Customer Gender]]="O","Other", TRUE,"Unknown")</f>
        <v>Female</v>
      </c>
    </row>
    <row r="2362" spans="1:15">
      <c r="A2362" s="1" t="s">
        <v>2463</v>
      </c>
      <c r="B2362" s="1" t="s">
        <v>44</v>
      </c>
      <c r="C2362" s="1">
        <v>6</v>
      </c>
      <c r="D2362" s="1">
        <v>60.1</v>
      </c>
      <c r="E2362" s="11">
        <v>360.6</v>
      </c>
      <c r="F2362" s="3">
        <v>45744</v>
      </c>
      <c r="G2362" s="3">
        <v>45745</v>
      </c>
      <c r="H2362" s="1" t="s">
        <v>23</v>
      </c>
      <c r="I2362" s="1" t="s">
        <v>51</v>
      </c>
      <c r="J2362" s="1">
        <v>4</v>
      </c>
      <c r="K2362" s="1" t="s">
        <v>19</v>
      </c>
      <c r="L2362" s="1" t="s">
        <v>33</v>
      </c>
      <c r="M2362" s="1">
        <f>orders[[#This Row],[Ship Date]]-orders[[#This Row],[Order Date]]</f>
        <v>1</v>
      </c>
      <c r="N2362" s="1">
        <f>WEEKNUM(orders[[#This Row],[Order Date]])</f>
        <v>13</v>
      </c>
      <c r="O2362" s="1" t="str" cm="1">
        <f t="array" ref="O2362">_xlfn.IFS(orders[[#This Row],[Customer Gender]]="M","Male", orders[[#This Row],[Customer Gender]]="F","Female", orders[[#This Row],[Customer Gender]]="O","Other", TRUE,"Unknown")</f>
        <v>Male</v>
      </c>
    </row>
    <row r="2363" spans="1:15">
      <c r="A2363" s="1" t="s">
        <v>2464</v>
      </c>
      <c r="B2363" s="1" t="s">
        <v>26</v>
      </c>
      <c r="C2363" s="1">
        <v>7</v>
      </c>
      <c r="D2363" s="1">
        <v>94.1</v>
      </c>
      <c r="E2363" s="11">
        <v>658.69999999999993</v>
      </c>
      <c r="F2363" s="3">
        <v>45744</v>
      </c>
      <c r="G2363" s="3">
        <v>45746</v>
      </c>
      <c r="H2363" s="1" t="s">
        <v>27</v>
      </c>
      <c r="I2363" s="1" t="s">
        <v>70</v>
      </c>
      <c r="J2363" s="1">
        <v>3</v>
      </c>
      <c r="K2363" s="1" t="s">
        <v>19</v>
      </c>
      <c r="L2363" s="1" t="s">
        <v>33</v>
      </c>
      <c r="M2363" s="1">
        <f>orders[[#This Row],[Ship Date]]-orders[[#This Row],[Order Date]]</f>
        <v>2</v>
      </c>
      <c r="N2363" s="1">
        <f>WEEKNUM(orders[[#This Row],[Order Date]])</f>
        <v>13</v>
      </c>
      <c r="O2363" s="1" t="str" cm="1">
        <f t="array" ref="O2363">_xlfn.IFS(orders[[#This Row],[Customer Gender]]="M","Male", orders[[#This Row],[Customer Gender]]="F","Female", orders[[#This Row],[Customer Gender]]="O","Other", TRUE,"Unknown")</f>
        <v>Female</v>
      </c>
    </row>
    <row r="2364" spans="1:15">
      <c r="A2364" s="1" t="s">
        <v>2465</v>
      </c>
      <c r="B2364" s="1" t="s">
        <v>26</v>
      </c>
      <c r="C2364" s="1">
        <v>2</v>
      </c>
      <c r="D2364" s="1">
        <v>124.1</v>
      </c>
      <c r="E2364" s="11">
        <v>248.2</v>
      </c>
      <c r="F2364" s="3">
        <v>45744</v>
      </c>
      <c r="G2364" s="3">
        <v>45744</v>
      </c>
      <c r="H2364" s="1" t="s">
        <v>27</v>
      </c>
      <c r="I2364" s="1" t="s">
        <v>40</v>
      </c>
      <c r="J2364" s="1">
        <v>1</v>
      </c>
      <c r="K2364" s="1" t="s">
        <v>19</v>
      </c>
      <c r="L2364" s="1" t="s">
        <v>545</v>
      </c>
      <c r="M2364" s="1">
        <f>orders[[#This Row],[Ship Date]]-orders[[#This Row],[Order Date]]</f>
        <v>0</v>
      </c>
      <c r="N2364" s="1">
        <f>WEEKNUM(orders[[#This Row],[Order Date]])</f>
        <v>13</v>
      </c>
      <c r="O2364" s="1" t="str" cm="1">
        <f t="array" ref="O2364">_xlfn.IFS(orders[[#This Row],[Customer Gender]]="M","Male", orders[[#This Row],[Customer Gender]]="F","Female", orders[[#This Row],[Customer Gender]]="O","Other", TRUE,"Unknown")</f>
        <v>Female</v>
      </c>
    </row>
    <row r="2365" spans="1:15">
      <c r="A2365" s="1" t="s">
        <v>2466</v>
      </c>
      <c r="B2365" s="1" t="s">
        <v>44</v>
      </c>
      <c r="C2365" s="1">
        <v>4</v>
      </c>
      <c r="D2365" s="1">
        <v>16.899999999999999</v>
      </c>
      <c r="E2365" s="11">
        <v>67.599999999999994</v>
      </c>
      <c r="F2365" s="3">
        <v>45744</v>
      </c>
      <c r="G2365" s="3">
        <v>45747</v>
      </c>
      <c r="H2365" s="1" t="s">
        <v>23</v>
      </c>
      <c r="I2365" s="1" t="s">
        <v>51</v>
      </c>
      <c r="J2365" s="1">
        <v>4</v>
      </c>
      <c r="K2365" s="1" t="s">
        <v>19</v>
      </c>
      <c r="L2365" s="1" t="s">
        <v>55</v>
      </c>
      <c r="M2365" s="1">
        <f>orders[[#This Row],[Ship Date]]-orders[[#This Row],[Order Date]]</f>
        <v>3</v>
      </c>
      <c r="N2365" s="1">
        <f>WEEKNUM(orders[[#This Row],[Order Date]])</f>
        <v>13</v>
      </c>
      <c r="O2365" s="1" t="str" cm="1">
        <f t="array" ref="O2365">_xlfn.IFS(orders[[#This Row],[Customer Gender]]="M","Male", orders[[#This Row],[Customer Gender]]="F","Female", orders[[#This Row],[Customer Gender]]="O","Other", TRUE,"Unknown")</f>
        <v>Male</v>
      </c>
    </row>
    <row r="2366" spans="1:15">
      <c r="A2366" s="1" t="s">
        <v>2467</v>
      </c>
      <c r="B2366" s="1" t="s">
        <v>22</v>
      </c>
      <c r="C2366" s="1">
        <v>1</v>
      </c>
      <c r="D2366" s="1">
        <v>36.9</v>
      </c>
      <c r="E2366" s="11">
        <v>36.9</v>
      </c>
      <c r="F2366" s="3">
        <v>45744</v>
      </c>
      <c r="G2366" s="3">
        <v>45745</v>
      </c>
      <c r="H2366" s="1" t="s">
        <v>23</v>
      </c>
      <c r="I2366" s="1" t="s">
        <v>18</v>
      </c>
      <c r="J2366" s="1">
        <v>4</v>
      </c>
      <c r="K2366" s="1" t="s">
        <v>19</v>
      </c>
      <c r="L2366" s="1" t="s">
        <v>55</v>
      </c>
      <c r="M2366" s="1">
        <f>orders[[#This Row],[Ship Date]]-orders[[#This Row],[Order Date]]</f>
        <v>1</v>
      </c>
      <c r="N2366" s="1">
        <f>WEEKNUM(orders[[#This Row],[Order Date]])</f>
        <v>13</v>
      </c>
      <c r="O2366" s="1" t="str" cm="1">
        <f t="array" ref="O2366">_xlfn.IFS(orders[[#This Row],[Customer Gender]]="M","Male", orders[[#This Row],[Customer Gender]]="F","Female", orders[[#This Row],[Customer Gender]]="O","Other", TRUE,"Unknown")</f>
        <v>Male</v>
      </c>
    </row>
    <row r="2367" spans="1:15">
      <c r="A2367" s="1" t="s">
        <v>2468</v>
      </c>
      <c r="B2367" s="1" t="s">
        <v>46</v>
      </c>
      <c r="C2367" s="1">
        <v>2</v>
      </c>
      <c r="D2367" s="1">
        <v>22.6</v>
      </c>
      <c r="E2367" s="11">
        <v>45.2</v>
      </c>
      <c r="F2367" s="3">
        <v>45744</v>
      </c>
      <c r="G2367" s="3">
        <v>45757</v>
      </c>
      <c r="H2367" s="1" t="s">
        <v>27</v>
      </c>
      <c r="I2367" s="1" t="s">
        <v>40</v>
      </c>
      <c r="J2367" s="1">
        <v>3</v>
      </c>
      <c r="K2367" s="1" t="s">
        <v>19</v>
      </c>
      <c r="L2367" s="1" t="s">
        <v>62</v>
      </c>
      <c r="M2367" s="1">
        <f>orders[[#This Row],[Ship Date]]-orders[[#This Row],[Order Date]]</f>
        <v>13</v>
      </c>
      <c r="N2367" s="1">
        <f>WEEKNUM(orders[[#This Row],[Order Date]])</f>
        <v>13</v>
      </c>
      <c r="O2367" s="1" t="str" cm="1">
        <f t="array" ref="O2367">_xlfn.IFS(orders[[#This Row],[Customer Gender]]="M","Male", orders[[#This Row],[Customer Gender]]="F","Female", orders[[#This Row],[Customer Gender]]="O","Other", TRUE,"Unknown")</f>
        <v>Female</v>
      </c>
    </row>
    <row r="2368" spans="1:15">
      <c r="A2368" s="1" t="s">
        <v>2469</v>
      </c>
      <c r="B2368" s="1" t="s">
        <v>42</v>
      </c>
      <c r="C2368" s="1">
        <v>4</v>
      </c>
      <c r="D2368" s="1">
        <v>35</v>
      </c>
      <c r="E2368" s="11">
        <v>140</v>
      </c>
      <c r="F2368" s="3">
        <v>45744</v>
      </c>
      <c r="G2368" s="3">
        <v>45749</v>
      </c>
      <c r="H2368" s="1" t="s">
        <v>23</v>
      </c>
      <c r="I2368" s="1" t="s">
        <v>51</v>
      </c>
      <c r="J2368" s="1">
        <v>3</v>
      </c>
      <c r="K2368" s="1" t="s">
        <v>19</v>
      </c>
      <c r="L2368" s="1" t="s">
        <v>62</v>
      </c>
      <c r="M2368" s="1">
        <f>orders[[#This Row],[Ship Date]]-orders[[#This Row],[Order Date]]</f>
        <v>5</v>
      </c>
      <c r="N2368" s="1">
        <f>WEEKNUM(orders[[#This Row],[Order Date]])</f>
        <v>13</v>
      </c>
      <c r="O2368" s="1" t="str" cm="1">
        <f t="array" ref="O2368">_xlfn.IFS(orders[[#This Row],[Customer Gender]]="M","Male", orders[[#This Row],[Customer Gender]]="F","Female", orders[[#This Row],[Customer Gender]]="O","Other", TRUE,"Unknown")</f>
        <v>Male</v>
      </c>
    </row>
    <row r="2369" spans="1:15">
      <c r="A2369" s="1" t="s">
        <v>2470</v>
      </c>
      <c r="B2369" s="1" t="s">
        <v>46</v>
      </c>
      <c r="C2369" s="1">
        <v>6</v>
      </c>
      <c r="D2369" s="1">
        <v>63.6</v>
      </c>
      <c r="E2369" s="11">
        <v>381.6</v>
      </c>
      <c r="F2369" s="3">
        <v>45744</v>
      </c>
      <c r="G2369" s="3">
        <v>45751</v>
      </c>
      <c r="H2369" s="1" t="s">
        <v>17</v>
      </c>
      <c r="I2369" s="1" t="s">
        <v>35</v>
      </c>
      <c r="J2369" s="1">
        <v>5</v>
      </c>
      <c r="K2369" s="1" t="s">
        <v>19</v>
      </c>
      <c r="L2369" s="1" t="s">
        <v>62</v>
      </c>
      <c r="M2369" s="1">
        <f>orders[[#This Row],[Ship Date]]-orders[[#This Row],[Order Date]]</f>
        <v>7</v>
      </c>
      <c r="N2369" s="1">
        <f>WEEKNUM(orders[[#This Row],[Order Date]])</f>
        <v>13</v>
      </c>
      <c r="O2369" s="1" t="str" cm="1">
        <f t="array" ref="O2369">_xlfn.IFS(orders[[#This Row],[Customer Gender]]="M","Male", orders[[#This Row],[Customer Gender]]="F","Female", orders[[#This Row],[Customer Gender]]="O","Other", TRUE,"Unknown")</f>
        <v>Unknown</v>
      </c>
    </row>
    <row r="2370" spans="1:15">
      <c r="A2370" s="1" t="s">
        <v>2471</v>
      </c>
      <c r="B2370" s="1" t="s">
        <v>123</v>
      </c>
      <c r="C2370" s="1">
        <v>4</v>
      </c>
      <c r="D2370" s="1">
        <v>78.599999999999994</v>
      </c>
      <c r="E2370" s="11">
        <v>314.39999999999998</v>
      </c>
      <c r="F2370" s="3">
        <v>45744</v>
      </c>
      <c r="G2370" s="3">
        <v>45745</v>
      </c>
      <c r="H2370" s="1" t="s">
        <v>23</v>
      </c>
      <c r="I2370" s="1" t="s">
        <v>70</v>
      </c>
      <c r="J2370" s="1">
        <v>3</v>
      </c>
      <c r="K2370" s="1" t="s">
        <v>19</v>
      </c>
      <c r="L2370" s="1" t="s">
        <v>62</v>
      </c>
      <c r="M2370" s="1">
        <f>orders[[#This Row],[Ship Date]]-orders[[#This Row],[Order Date]]</f>
        <v>1</v>
      </c>
      <c r="N2370" s="1">
        <f>WEEKNUM(orders[[#This Row],[Order Date]])</f>
        <v>13</v>
      </c>
      <c r="O2370" s="1" t="str" cm="1">
        <f t="array" ref="O2370">_xlfn.IFS(orders[[#This Row],[Customer Gender]]="M","Male", orders[[#This Row],[Customer Gender]]="F","Female", orders[[#This Row],[Customer Gender]]="O","Other", TRUE,"Unknown")</f>
        <v>Male</v>
      </c>
    </row>
    <row r="2371" spans="1:15">
      <c r="A2371" s="1" t="s">
        <v>2472</v>
      </c>
      <c r="B2371" s="1" t="s">
        <v>30</v>
      </c>
      <c r="C2371" s="1">
        <v>2</v>
      </c>
      <c r="D2371" s="1">
        <v>38.5</v>
      </c>
      <c r="E2371" s="11">
        <v>77</v>
      </c>
      <c r="F2371" s="3">
        <v>45744</v>
      </c>
      <c r="G2371" s="3">
        <v>45745</v>
      </c>
      <c r="H2371" s="1" t="s">
        <v>23</v>
      </c>
      <c r="I2371" s="1" t="s">
        <v>18</v>
      </c>
      <c r="J2371" s="1">
        <v>5</v>
      </c>
      <c r="K2371" s="1" t="s">
        <v>19</v>
      </c>
      <c r="L2371" s="1" t="s">
        <v>62</v>
      </c>
      <c r="M2371" s="1">
        <f>orders[[#This Row],[Ship Date]]-orders[[#This Row],[Order Date]]</f>
        <v>1</v>
      </c>
      <c r="N2371" s="1">
        <f>WEEKNUM(orders[[#This Row],[Order Date]])</f>
        <v>13</v>
      </c>
      <c r="O2371" s="1" t="str" cm="1">
        <f t="array" ref="O2371">_xlfn.IFS(orders[[#This Row],[Customer Gender]]="M","Male", orders[[#This Row],[Customer Gender]]="F","Female", orders[[#This Row],[Customer Gender]]="O","Other", TRUE,"Unknown")</f>
        <v>Male</v>
      </c>
    </row>
    <row r="2372" spans="1:15">
      <c r="A2372" s="1" t="s">
        <v>2473</v>
      </c>
      <c r="B2372" s="1" t="s">
        <v>44</v>
      </c>
      <c r="C2372" s="1">
        <v>11</v>
      </c>
      <c r="D2372" s="1">
        <v>71.5</v>
      </c>
      <c r="E2372" s="11">
        <v>786.5</v>
      </c>
      <c r="F2372" s="3">
        <v>45744</v>
      </c>
      <c r="G2372" s="3">
        <v>45745</v>
      </c>
      <c r="H2372" s="1" t="s">
        <v>27</v>
      </c>
      <c r="I2372" s="1" t="s">
        <v>35</v>
      </c>
      <c r="J2372" s="1">
        <v>2</v>
      </c>
      <c r="K2372" s="1" t="s">
        <v>19</v>
      </c>
      <c r="L2372" s="1" t="s">
        <v>62</v>
      </c>
      <c r="M2372" s="1">
        <f>orders[[#This Row],[Ship Date]]-orders[[#This Row],[Order Date]]</f>
        <v>1</v>
      </c>
      <c r="N2372" s="1">
        <f>WEEKNUM(orders[[#This Row],[Order Date]])</f>
        <v>13</v>
      </c>
      <c r="O2372" s="1" t="str" cm="1">
        <f t="array" ref="O2372">_xlfn.IFS(orders[[#This Row],[Customer Gender]]="M","Male", orders[[#This Row],[Customer Gender]]="F","Female", orders[[#This Row],[Customer Gender]]="O","Other", TRUE,"Unknown")</f>
        <v>Female</v>
      </c>
    </row>
    <row r="2373" spans="1:15">
      <c r="A2373" s="1" t="s">
        <v>2474</v>
      </c>
      <c r="B2373" s="1" t="s">
        <v>39</v>
      </c>
      <c r="C2373" s="1">
        <v>4</v>
      </c>
      <c r="D2373" s="1">
        <v>121.4</v>
      </c>
      <c r="E2373" s="11">
        <v>485.6</v>
      </c>
      <c r="F2373" s="3">
        <v>45744</v>
      </c>
      <c r="G2373" s="3">
        <v>45748</v>
      </c>
      <c r="H2373" s="1" t="s">
        <v>23</v>
      </c>
      <c r="I2373" s="1" t="s">
        <v>35</v>
      </c>
      <c r="J2373" s="1">
        <v>5</v>
      </c>
      <c r="K2373" s="1" t="s">
        <v>19</v>
      </c>
      <c r="L2373" s="1" t="s">
        <v>103</v>
      </c>
      <c r="M2373" s="1">
        <f>orders[[#This Row],[Ship Date]]-orders[[#This Row],[Order Date]]</f>
        <v>4</v>
      </c>
      <c r="N2373" s="1">
        <f>WEEKNUM(orders[[#This Row],[Order Date]])</f>
        <v>13</v>
      </c>
      <c r="O2373" s="1" t="str" cm="1">
        <f t="array" ref="O2373">_xlfn.IFS(orders[[#This Row],[Customer Gender]]="M","Male", orders[[#This Row],[Customer Gender]]="F","Female", orders[[#This Row],[Customer Gender]]="O","Other", TRUE,"Unknown")</f>
        <v>Male</v>
      </c>
    </row>
    <row r="2374" spans="1:15">
      <c r="A2374" s="1" t="s">
        <v>2475</v>
      </c>
      <c r="B2374" s="1" t="s">
        <v>67</v>
      </c>
      <c r="C2374" s="1">
        <v>1</v>
      </c>
      <c r="D2374" s="1">
        <v>40.200000000000003</v>
      </c>
      <c r="E2374" s="11">
        <v>40.200000000000003</v>
      </c>
      <c r="F2374" s="3">
        <v>45744</v>
      </c>
      <c r="G2374" s="3">
        <v>45747</v>
      </c>
      <c r="H2374" s="1" t="s">
        <v>27</v>
      </c>
      <c r="I2374" s="1" t="s">
        <v>18</v>
      </c>
      <c r="J2374" s="1">
        <v>5</v>
      </c>
      <c r="K2374" s="1" t="s">
        <v>19</v>
      </c>
      <c r="L2374" s="1" t="s">
        <v>77</v>
      </c>
      <c r="M2374" s="1">
        <f>orders[[#This Row],[Ship Date]]-orders[[#This Row],[Order Date]]</f>
        <v>3</v>
      </c>
      <c r="N2374" s="1">
        <f>WEEKNUM(orders[[#This Row],[Order Date]])</f>
        <v>13</v>
      </c>
      <c r="O2374" s="1" t="str" cm="1">
        <f t="array" ref="O2374">_xlfn.IFS(orders[[#This Row],[Customer Gender]]="M","Male", orders[[#This Row],[Customer Gender]]="F","Female", orders[[#This Row],[Customer Gender]]="O","Other", TRUE,"Unknown")</f>
        <v>Female</v>
      </c>
    </row>
    <row r="2375" spans="1:15">
      <c r="A2375" s="1" t="s">
        <v>2476</v>
      </c>
      <c r="B2375" s="1" t="s">
        <v>37</v>
      </c>
      <c r="C2375" s="1">
        <v>5</v>
      </c>
      <c r="D2375" s="1">
        <v>31.9</v>
      </c>
      <c r="E2375" s="11">
        <v>159.5</v>
      </c>
      <c r="F2375" s="3">
        <v>45744</v>
      </c>
      <c r="G2375" s="3">
        <v>45746</v>
      </c>
      <c r="H2375" s="1" t="s">
        <v>27</v>
      </c>
      <c r="I2375" s="1" t="s">
        <v>40</v>
      </c>
      <c r="J2375" s="1">
        <v>5</v>
      </c>
      <c r="K2375" s="1" t="s">
        <v>19</v>
      </c>
      <c r="L2375" s="1" t="s">
        <v>243</v>
      </c>
      <c r="M2375" s="1">
        <f>orders[[#This Row],[Ship Date]]-orders[[#This Row],[Order Date]]</f>
        <v>2</v>
      </c>
      <c r="N2375" s="1">
        <f>WEEKNUM(orders[[#This Row],[Order Date]])</f>
        <v>13</v>
      </c>
      <c r="O2375" s="1" t="str" cm="1">
        <f t="array" ref="O2375">_xlfn.IFS(orders[[#This Row],[Customer Gender]]="M","Male", orders[[#This Row],[Customer Gender]]="F","Female", orders[[#This Row],[Customer Gender]]="O","Other", TRUE,"Unknown")</f>
        <v>Female</v>
      </c>
    </row>
    <row r="2376" spans="1:15">
      <c r="A2376" s="1" t="s">
        <v>2477</v>
      </c>
      <c r="B2376" s="1" t="s">
        <v>81</v>
      </c>
      <c r="C2376" s="1">
        <v>5</v>
      </c>
      <c r="D2376" s="1">
        <v>15.8</v>
      </c>
      <c r="E2376" s="11">
        <v>79</v>
      </c>
      <c r="F2376" s="3">
        <v>45745</v>
      </c>
      <c r="G2376" s="3">
        <v>45746</v>
      </c>
      <c r="H2376" s="1" t="s">
        <v>23</v>
      </c>
      <c r="I2376" s="1" t="s">
        <v>51</v>
      </c>
      <c r="J2376" s="1">
        <v>5</v>
      </c>
      <c r="K2376" s="1" t="s">
        <v>19</v>
      </c>
      <c r="L2376" s="1" t="s">
        <v>115</v>
      </c>
      <c r="M2376" s="1">
        <f>orders[[#This Row],[Ship Date]]-orders[[#This Row],[Order Date]]</f>
        <v>1</v>
      </c>
      <c r="N2376" s="1">
        <f>WEEKNUM(orders[[#This Row],[Order Date]])</f>
        <v>13</v>
      </c>
      <c r="O2376" s="1" t="str" cm="1">
        <f t="array" ref="O2376">_xlfn.IFS(orders[[#This Row],[Customer Gender]]="M","Male", orders[[#This Row],[Customer Gender]]="F","Female", orders[[#This Row],[Customer Gender]]="O","Other", TRUE,"Unknown")</f>
        <v>Male</v>
      </c>
    </row>
    <row r="2377" spans="1:15">
      <c r="A2377" s="1" t="s">
        <v>2478</v>
      </c>
      <c r="B2377" s="1" t="s">
        <v>54</v>
      </c>
      <c r="C2377" s="1">
        <v>2</v>
      </c>
      <c r="D2377" s="1">
        <v>25.1</v>
      </c>
      <c r="E2377" s="11">
        <v>50.2</v>
      </c>
      <c r="F2377" s="3">
        <v>45745</v>
      </c>
      <c r="G2377" s="3">
        <v>45747</v>
      </c>
      <c r="H2377" s="1" t="s">
        <v>17</v>
      </c>
      <c r="I2377" s="1" t="s">
        <v>35</v>
      </c>
      <c r="J2377" s="1">
        <v>4</v>
      </c>
      <c r="K2377" s="1" t="s">
        <v>19</v>
      </c>
      <c r="L2377" s="1" t="s">
        <v>115</v>
      </c>
      <c r="M2377" s="1">
        <f>orders[[#This Row],[Ship Date]]-orders[[#This Row],[Order Date]]</f>
        <v>2</v>
      </c>
      <c r="N2377" s="1">
        <f>WEEKNUM(orders[[#This Row],[Order Date]])</f>
        <v>13</v>
      </c>
      <c r="O2377" s="1" t="str" cm="1">
        <f t="array" ref="O2377">_xlfn.IFS(orders[[#This Row],[Customer Gender]]="M","Male", orders[[#This Row],[Customer Gender]]="F","Female", orders[[#This Row],[Customer Gender]]="O","Other", TRUE,"Unknown")</f>
        <v>Unknown</v>
      </c>
    </row>
    <row r="2378" spans="1:15">
      <c r="A2378" s="1" t="s">
        <v>2479</v>
      </c>
      <c r="B2378" s="1" t="s">
        <v>22</v>
      </c>
      <c r="C2378" s="1">
        <v>23</v>
      </c>
      <c r="D2378" s="1">
        <v>38.1</v>
      </c>
      <c r="E2378" s="11">
        <v>876.30000000000007</v>
      </c>
      <c r="F2378" s="3">
        <v>45745</v>
      </c>
      <c r="G2378" s="3">
        <v>45746</v>
      </c>
      <c r="H2378" s="1" t="s">
        <v>27</v>
      </c>
      <c r="I2378" s="1" t="s">
        <v>70</v>
      </c>
      <c r="J2378" s="1">
        <v>4</v>
      </c>
      <c r="K2378" s="1" t="s">
        <v>19</v>
      </c>
      <c r="L2378" s="1" t="s">
        <v>24</v>
      </c>
      <c r="M2378" s="1">
        <f>orders[[#This Row],[Ship Date]]-orders[[#This Row],[Order Date]]</f>
        <v>1</v>
      </c>
      <c r="N2378" s="1">
        <f>WEEKNUM(orders[[#This Row],[Order Date]])</f>
        <v>13</v>
      </c>
      <c r="O2378" s="1" t="str" cm="1">
        <f t="array" ref="O2378">_xlfn.IFS(orders[[#This Row],[Customer Gender]]="M","Male", orders[[#This Row],[Customer Gender]]="F","Female", orders[[#This Row],[Customer Gender]]="O","Other", TRUE,"Unknown")</f>
        <v>Female</v>
      </c>
    </row>
    <row r="2379" spans="1:15">
      <c r="A2379" s="1" t="s">
        <v>2480</v>
      </c>
      <c r="B2379" s="1" t="s">
        <v>30</v>
      </c>
      <c r="C2379" s="1">
        <v>2</v>
      </c>
      <c r="D2379" s="1">
        <v>42.2</v>
      </c>
      <c r="E2379" s="11">
        <v>84.4</v>
      </c>
      <c r="F2379" s="3">
        <v>45745</v>
      </c>
      <c r="G2379" s="3">
        <v>45747</v>
      </c>
      <c r="H2379" s="1" t="s">
        <v>27</v>
      </c>
      <c r="I2379" s="1" t="s">
        <v>18</v>
      </c>
      <c r="J2379" s="1">
        <v>5</v>
      </c>
      <c r="K2379" s="1" t="s">
        <v>19</v>
      </c>
      <c r="L2379" s="1" t="s">
        <v>24</v>
      </c>
      <c r="M2379" s="1">
        <f>orders[[#This Row],[Ship Date]]-orders[[#This Row],[Order Date]]</f>
        <v>2</v>
      </c>
      <c r="N2379" s="1">
        <f>WEEKNUM(orders[[#This Row],[Order Date]])</f>
        <v>13</v>
      </c>
      <c r="O2379" s="1" t="str" cm="1">
        <f t="array" ref="O2379">_xlfn.IFS(orders[[#This Row],[Customer Gender]]="M","Male", orders[[#This Row],[Customer Gender]]="F","Female", orders[[#This Row],[Customer Gender]]="O","Other", TRUE,"Unknown")</f>
        <v>Female</v>
      </c>
    </row>
    <row r="2380" spans="1:15">
      <c r="A2380" s="1" t="s">
        <v>2481</v>
      </c>
      <c r="B2380" s="1" t="s">
        <v>16</v>
      </c>
      <c r="C2380" s="1">
        <v>10</v>
      </c>
      <c r="D2380" s="1">
        <v>12.3</v>
      </c>
      <c r="E2380" s="11">
        <v>123</v>
      </c>
      <c r="F2380" s="3">
        <v>45745</v>
      </c>
      <c r="G2380" s="3">
        <v>45746</v>
      </c>
      <c r="H2380" s="1" t="s">
        <v>27</v>
      </c>
      <c r="I2380" s="1" t="s">
        <v>70</v>
      </c>
      <c r="J2380" s="1">
        <v>4</v>
      </c>
      <c r="K2380" s="1" t="s">
        <v>19</v>
      </c>
      <c r="L2380" s="1" t="s">
        <v>28</v>
      </c>
      <c r="M2380" s="1">
        <f>orders[[#This Row],[Ship Date]]-orders[[#This Row],[Order Date]]</f>
        <v>1</v>
      </c>
      <c r="N2380" s="1">
        <f>WEEKNUM(orders[[#This Row],[Order Date]])</f>
        <v>13</v>
      </c>
      <c r="O2380" s="1" t="str" cm="1">
        <f t="array" ref="O2380">_xlfn.IFS(orders[[#This Row],[Customer Gender]]="M","Male", orders[[#This Row],[Customer Gender]]="F","Female", orders[[#This Row],[Customer Gender]]="O","Other", TRUE,"Unknown")</f>
        <v>Female</v>
      </c>
    </row>
    <row r="2381" spans="1:15">
      <c r="A2381" s="1" t="s">
        <v>2482</v>
      </c>
      <c r="B2381" s="1" t="s">
        <v>42</v>
      </c>
      <c r="C2381" s="1">
        <v>1</v>
      </c>
      <c r="D2381" s="1">
        <v>30.2</v>
      </c>
      <c r="E2381" s="11">
        <v>30.2</v>
      </c>
      <c r="F2381" s="3">
        <v>45745</v>
      </c>
      <c r="G2381" s="3">
        <v>45747</v>
      </c>
      <c r="H2381" s="1" t="s">
        <v>27</v>
      </c>
      <c r="I2381" s="1" t="s">
        <v>35</v>
      </c>
      <c r="J2381" s="1">
        <v>5</v>
      </c>
      <c r="K2381" s="1" t="s">
        <v>19</v>
      </c>
      <c r="L2381" s="1" t="s">
        <v>334</v>
      </c>
      <c r="M2381" s="1">
        <f>orders[[#This Row],[Ship Date]]-orders[[#This Row],[Order Date]]</f>
        <v>2</v>
      </c>
      <c r="N2381" s="1">
        <f>WEEKNUM(orders[[#This Row],[Order Date]])</f>
        <v>13</v>
      </c>
      <c r="O2381" s="1" t="str" cm="1">
        <f t="array" ref="O2381">_xlfn.IFS(orders[[#This Row],[Customer Gender]]="M","Male", orders[[#This Row],[Customer Gender]]="F","Female", orders[[#This Row],[Customer Gender]]="O","Other", TRUE,"Unknown")</f>
        <v>Female</v>
      </c>
    </row>
    <row r="2382" spans="1:15">
      <c r="A2382" s="1" t="s">
        <v>2483</v>
      </c>
      <c r="B2382" s="1" t="s">
        <v>37</v>
      </c>
      <c r="C2382" s="1">
        <v>3</v>
      </c>
      <c r="D2382" s="1">
        <v>25.3</v>
      </c>
      <c r="E2382" s="11">
        <v>75.900000000000006</v>
      </c>
      <c r="F2382" s="3">
        <v>45745</v>
      </c>
      <c r="G2382" s="3">
        <v>45748</v>
      </c>
      <c r="H2382" s="1" t="s">
        <v>27</v>
      </c>
      <c r="I2382" s="1" t="s">
        <v>40</v>
      </c>
      <c r="J2382" s="1">
        <v>4</v>
      </c>
      <c r="K2382" s="1" t="s">
        <v>19</v>
      </c>
      <c r="L2382" s="1" t="s">
        <v>33</v>
      </c>
      <c r="M2382" s="1">
        <f>orders[[#This Row],[Ship Date]]-orders[[#This Row],[Order Date]]</f>
        <v>3</v>
      </c>
      <c r="N2382" s="1">
        <f>WEEKNUM(orders[[#This Row],[Order Date]])</f>
        <v>13</v>
      </c>
      <c r="O2382" s="1" t="str" cm="1">
        <f t="array" ref="O2382">_xlfn.IFS(orders[[#This Row],[Customer Gender]]="M","Male", orders[[#This Row],[Customer Gender]]="F","Female", orders[[#This Row],[Customer Gender]]="O","Other", TRUE,"Unknown")</f>
        <v>Female</v>
      </c>
    </row>
    <row r="2383" spans="1:15">
      <c r="A2383" s="1" t="s">
        <v>2484</v>
      </c>
      <c r="B2383" s="1" t="s">
        <v>44</v>
      </c>
      <c r="C2383" s="1">
        <v>5</v>
      </c>
      <c r="D2383" s="1">
        <v>29.7</v>
      </c>
      <c r="E2383" s="11">
        <v>148.5</v>
      </c>
      <c r="F2383" s="3">
        <v>45745</v>
      </c>
      <c r="G2383" s="3">
        <v>45747</v>
      </c>
      <c r="H2383" s="1" t="s">
        <v>23</v>
      </c>
      <c r="I2383" s="1" t="s">
        <v>51</v>
      </c>
      <c r="J2383" s="1">
        <v>4</v>
      </c>
      <c r="K2383" s="1" t="s">
        <v>19</v>
      </c>
      <c r="L2383" s="1" t="s">
        <v>33</v>
      </c>
      <c r="M2383" s="1">
        <f>orders[[#This Row],[Ship Date]]-orders[[#This Row],[Order Date]]</f>
        <v>2</v>
      </c>
      <c r="N2383" s="1">
        <f>WEEKNUM(orders[[#This Row],[Order Date]])</f>
        <v>13</v>
      </c>
      <c r="O2383" s="1" t="str" cm="1">
        <f t="array" ref="O2383">_xlfn.IFS(orders[[#This Row],[Customer Gender]]="M","Male", orders[[#This Row],[Customer Gender]]="F","Female", orders[[#This Row],[Customer Gender]]="O","Other", TRUE,"Unknown")</f>
        <v>Male</v>
      </c>
    </row>
    <row r="2384" spans="1:15">
      <c r="A2384" s="1" t="s">
        <v>2485</v>
      </c>
      <c r="B2384" s="1" t="s">
        <v>46</v>
      </c>
      <c r="C2384" s="1">
        <v>8</v>
      </c>
      <c r="D2384" s="1">
        <v>32.9</v>
      </c>
      <c r="E2384" s="11">
        <v>263.2</v>
      </c>
      <c r="F2384" s="3">
        <v>45745</v>
      </c>
      <c r="G2384" s="3">
        <v>45746</v>
      </c>
      <c r="H2384" s="1" t="s">
        <v>17</v>
      </c>
      <c r="I2384" s="1" t="s">
        <v>51</v>
      </c>
      <c r="J2384" s="1">
        <v>5</v>
      </c>
      <c r="K2384" s="1" t="s">
        <v>19</v>
      </c>
      <c r="L2384" s="1" t="s">
        <v>33</v>
      </c>
      <c r="M2384" s="1">
        <f>orders[[#This Row],[Ship Date]]-orders[[#This Row],[Order Date]]</f>
        <v>1</v>
      </c>
      <c r="N2384" s="1">
        <f>WEEKNUM(orders[[#This Row],[Order Date]])</f>
        <v>13</v>
      </c>
      <c r="O2384" s="1" t="str" cm="1">
        <f t="array" ref="O2384">_xlfn.IFS(orders[[#This Row],[Customer Gender]]="M","Male", orders[[#This Row],[Customer Gender]]="F","Female", orders[[#This Row],[Customer Gender]]="O","Other", TRUE,"Unknown")</f>
        <v>Unknown</v>
      </c>
    </row>
    <row r="2385" spans="1:15">
      <c r="A2385" s="1" t="s">
        <v>2486</v>
      </c>
      <c r="B2385" s="1" t="s">
        <v>54</v>
      </c>
      <c r="C2385" s="1">
        <v>2</v>
      </c>
      <c r="D2385" s="1">
        <v>43.6</v>
      </c>
      <c r="E2385" s="11">
        <v>87.2</v>
      </c>
      <c r="F2385" s="3">
        <v>45745</v>
      </c>
      <c r="G2385" s="3">
        <v>45746</v>
      </c>
      <c r="H2385" s="1" t="s">
        <v>23</v>
      </c>
      <c r="I2385" s="1" t="s">
        <v>35</v>
      </c>
      <c r="J2385" s="1">
        <v>5</v>
      </c>
      <c r="K2385" s="1" t="s">
        <v>19</v>
      </c>
      <c r="L2385" s="1" t="s">
        <v>33</v>
      </c>
      <c r="M2385" s="1">
        <f>orders[[#This Row],[Ship Date]]-orders[[#This Row],[Order Date]]</f>
        <v>1</v>
      </c>
      <c r="N2385" s="1">
        <f>WEEKNUM(orders[[#This Row],[Order Date]])</f>
        <v>13</v>
      </c>
      <c r="O2385" s="1" t="str" cm="1">
        <f t="array" ref="O2385">_xlfn.IFS(orders[[#This Row],[Customer Gender]]="M","Male", orders[[#This Row],[Customer Gender]]="F","Female", orders[[#This Row],[Customer Gender]]="O","Other", TRUE,"Unknown")</f>
        <v>Male</v>
      </c>
    </row>
    <row r="2386" spans="1:15">
      <c r="A2386" s="1" t="s">
        <v>2487</v>
      </c>
      <c r="B2386" s="1" t="s">
        <v>123</v>
      </c>
      <c r="C2386" s="1">
        <v>4</v>
      </c>
      <c r="D2386" s="1">
        <v>78.400000000000006</v>
      </c>
      <c r="E2386" s="11">
        <v>313.60000000000002</v>
      </c>
      <c r="F2386" s="3">
        <v>45745</v>
      </c>
      <c r="G2386" s="3">
        <v>45746</v>
      </c>
      <c r="H2386" s="1" t="s">
        <v>23</v>
      </c>
      <c r="I2386" s="1" t="s">
        <v>40</v>
      </c>
      <c r="J2386" s="1">
        <v>4</v>
      </c>
      <c r="K2386" s="1" t="s">
        <v>19</v>
      </c>
      <c r="L2386" s="1" t="s">
        <v>33</v>
      </c>
      <c r="M2386" s="1">
        <f>orders[[#This Row],[Ship Date]]-orders[[#This Row],[Order Date]]</f>
        <v>1</v>
      </c>
      <c r="N2386" s="1">
        <f>WEEKNUM(orders[[#This Row],[Order Date]])</f>
        <v>13</v>
      </c>
      <c r="O2386" s="1" t="str" cm="1">
        <f t="array" ref="O2386">_xlfn.IFS(orders[[#This Row],[Customer Gender]]="M","Male", orders[[#This Row],[Customer Gender]]="F","Female", orders[[#This Row],[Customer Gender]]="O","Other", TRUE,"Unknown")</f>
        <v>Male</v>
      </c>
    </row>
    <row r="2387" spans="1:15">
      <c r="A2387" s="1" t="s">
        <v>2488</v>
      </c>
      <c r="B2387" s="1" t="s">
        <v>39</v>
      </c>
      <c r="C2387" s="1">
        <v>2</v>
      </c>
      <c r="D2387" s="1">
        <v>56.5</v>
      </c>
      <c r="E2387" s="11">
        <v>113</v>
      </c>
      <c r="F2387" s="3">
        <v>45745</v>
      </c>
      <c r="G2387" s="3">
        <v>45749</v>
      </c>
      <c r="H2387" s="1" t="s">
        <v>23</v>
      </c>
      <c r="I2387" s="1" t="s">
        <v>35</v>
      </c>
      <c r="J2387" s="1">
        <v>3</v>
      </c>
      <c r="K2387" s="1" t="s">
        <v>19</v>
      </c>
      <c r="L2387" s="1" t="s">
        <v>33</v>
      </c>
      <c r="M2387" s="1">
        <f>orders[[#This Row],[Ship Date]]-orders[[#This Row],[Order Date]]</f>
        <v>4</v>
      </c>
      <c r="N2387" s="1">
        <f>WEEKNUM(orders[[#This Row],[Order Date]])</f>
        <v>13</v>
      </c>
      <c r="O2387" s="1" t="str" cm="1">
        <f t="array" ref="O2387">_xlfn.IFS(orders[[#This Row],[Customer Gender]]="M","Male", orders[[#This Row],[Customer Gender]]="F","Female", orders[[#This Row],[Customer Gender]]="O","Other", TRUE,"Unknown")</f>
        <v>Male</v>
      </c>
    </row>
    <row r="2388" spans="1:15">
      <c r="A2388" s="1" t="s">
        <v>2489</v>
      </c>
      <c r="B2388" s="1" t="s">
        <v>128</v>
      </c>
      <c r="C2388" s="1">
        <v>1</v>
      </c>
      <c r="D2388" s="1">
        <v>36.700000000000003</v>
      </c>
      <c r="E2388" s="11">
        <v>36.700000000000003</v>
      </c>
      <c r="F2388" s="3">
        <v>45745</v>
      </c>
      <c r="G2388" s="3">
        <v>45746</v>
      </c>
      <c r="H2388" s="1" t="s">
        <v>27</v>
      </c>
      <c r="I2388" s="1" t="s">
        <v>18</v>
      </c>
      <c r="J2388" s="1">
        <v>5</v>
      </c>
      <c r="K2388" s="1" t="s">
        <v>19</v>
      </c>
      <c r="L2388" s="1" t="s">
        <v>33</v>
      </c>
      <c r="M2388" s="1">
        <f>orders[[#This Row],[Ship Date]]-orders[[#This Row],[Order Date]]</f>
        <v>1</v>
      </c>
      <c r="N2388" s="1">
        <f>WEEKNUM(orders[[#This Row],[Order Date]])</f>
        <v>13</v>
      </c>
      <c r="O2388" s="1" t="str" cm="1">
        <f t="array" ref="O2388">_xlfn.IFS(orders[[#This Row],[Customer Gender]]="M","Male", orders[[#This Row],[Customer Gender]]="F","Female", orders[[#This Row],[Customer Gender]]="O","Other", TRUE,"Unknown")</f>
        <v>Female</v>
      </c>
    </row>
    <row r="2389" spans="1:15">
      <c r="A2389" s="1" t="s">
        <v>2490</v>
      </c>
      <c r="B2389" s="1" t="s">
        <v>26</v>
      </c>
      <c r="C2389" s="1">
        <v>4</v>
      </c>
      <c r="D2389" s="1">
        <v>103.6</v>
      </c>
      <c r="E2389" s="11">
        <v>414.4</v>
      </c>
      <c r="F2389" s="3">
        <v>45745</v>
      </c>
      <c r="G2389" s="3">
        <v>45756</v>
      </c>
      <c r="H2389" s="1" t="s">
        <v>23</v>
      </c>
      <c r="I2389" s="1" t="s">
        <v>70</v>
      </c>
      <c r="J2389" s="1">
        <v>5</v>
      </c>
      <c r="K2389" s="1" t="s">
        <v>19</v>
      </c>
      <c r="L2389" s="1" t="s">
        <v>33</v>
      </c>
      <c r="M2389" s="1">
        <f>orders[[#This Row],[Ship Date]]-orders[[#This Row],[Order Date]]</f>
        <v>11</v>
      </c>
      <c r="N2389" s="1">
        <f>WEEKNUM(orders[[#This Row],[Order Date]])</f>
        <v>13</v>
      </c>
      <c r="O2389" s="1" t="str" cm="1">
        <f t="array" ref="O2389">_xlfn.IFS(orders[[#This Row],[Customer Gender]]="M","Male", orders[[#This Row],[Customer Gender]]="F","Female", orders[[#This Row],[Customer Gender]]="O","Other", TRUE,"Unknown")</f>
        <v>Male</v>
      </c>
    </row>
    <row r="2390" spans="1:15">
      <c r="A2390" s="1" t="s">
        <v>2491</v>
      </c>
      <c r="B2390" s="1" t="s">
        <v>44</v>
      </c>
      <c r="C2390" s="1">
        <v>6</v>
      </c>
      <c r="D2390" s="1">
        <v>16.2</v>
      </c>
      <c r="E2390" s="11">
        <v>97.199999999999989</v>
      </c>
      <c r="F2390" s="3">
        <v>45745</v>
      </c>
      <c r="G2390" s="3">
        <v>45749</v>
      </c>
      <c r="H2390" s="1" t="s">
        <v>23</v>
      </c>
      <c r="I2390" s="1" t="s">
        <v>35</v>
      </c>
      <c r="J2390" s="1">
        <v>5</v>
      </c>
      <c r="K2390" s="1" t="s">
        <v>19</v>
      </c>
      <c r="L2390" s="1" t="s">
        <v>55</v>
      </c>
      <c r="M2390" s="1">
        <f>orders[[#This Row],[Ship Date]]-orders[[#This Row],[Order Date]]</f>
        <v>4</v>
      </c>
      <c r="N2390" s="1">
        <f>WEEKNUM(orders[[#This Row],[Order Date]])</f>
        <v>13</v>
      </c>
      <c r="O2390" s="1" t="str" cm="1">
        <f t="array" ref="O2390">_xlfn.IFS(orders[[#This Row],[Customer Gender]]="M","Male", orders[[#This Row],[Customer Gender]]="F","Female", orders[[#This Row],[Customer Gender]]="O","Other", TRUE,"Unknown")</f>
        <v>Male</v>
      </c>
    </row>
    <row r="2391" spans="1:15">
      <c r="A2391" s="1" t="s">
        <v>2492</v>
      </c>
      <c r="B2391" s="1" t="s">
        <v>44</v>
      </c>
      <c r="C2391" s="1">
        <v>2</v>
      </c>
      <c r="D2391" s="1">
        <v>20.2</v>
      </c>
      <c r="E2391" s="11">
        <v>40.4</v>
      </c>
      <c r="F2391" s="3">
        <v>45745</v>
      </c>
      <c r="G2391" s="3">
        <v>45746</v>
      </c>
      <c r="H2391" s="1" t="s">
        <v>27</v>
      </c>
      <c r="I2391" s="1" t="s">
        <v>18</v>
      </c>
      <c r="J2391" s="1">
        <v>4</v>
      </c>
      <c r="K2391" s="1" t="s">
        <v>19</v>
      </c>
      <c r="L2391" s="1" t="s">
        <v>55</v>
      </c>
      <c r="M2391" s="1">
        <f>orders[[#This Row],[Ship Date]]-orders[[#This Row],[Order Date]]</f>
        <v>1</v>
      </c>
      <c r="N2391" s="1">
        <f>WEEKNUM(orders[[#This Row],[Order Date]])</f>
        <v>13</v>
      </c>
      <c r="O2391" s="1" t="str" cm="1">
        <f t="array" ref="O2391">_xlfn.IFS(orders[[#This Row],[Customer Gender]]="M","Male", orders[[#This Row],[Customer Gender]]="F","Female", orders[[#This Row],[Customer Gender]]="O","Other", TRUE,"Unknown")</f>
        <v>Female</v>
      </c>
    </row>
    <row r="2392" spans="1:15">
      <c r="A2392" s="1" t="s">
        <v>2493</v>
      </c>
      <c r="B2392" s="1" t="s">
        <v>67</v>
      </c>
      <c r="C2392" s="1">
        <v>2</v>
      </c>
      <c r="D2392" s="1">
        <v>26.9</v>
      </c>
      <c r="E2392" s="11">
        <v>53.8</v>
      </c>
      <c r="F2392" s="3">
        <v>45745</v>
      </c>
      <c r="G2392" s="3">
        <v>45747</v>
      </c>
      <c r="H2392" s="1" t="s">
        <v>27</v>
      </c>
      <c r="I2392" s="1" t="s">
        <v>40</v>
      </c>
      <c r="J2392" s="1">
        <v>4</v>
      </c>
      <c r="K2392" s="1" t="s">
        <v>19</v>
      </c>
      <c r="L2392" s="1" t="s">
        <v>55</v>
      </c>
      <c r="M2392" s="1">
        <f>orders[[#This Row],[Ship Date]]-orders[[#This Row],[Order Date]]</f>
        <v>2</v>
      </c>
      <c r="N2392" s="1">
        <f>WEEKNUM(orders[[#This Row],[Order Date]])</f>
        <v>13</v>
      </c>
      <c r="O2392" s="1" t="str" cm="1">
        <f t="array" ref="O2392">_xlfn.IFS(orders[[#This Row],[Customer Gender]]="M","Male", orders[[#This Row],[Customer Gender]]="F","Female", orders[[#This Row],[Customer Gender]]="O","Other", TRUE,"Unknown")</f>
        <v>Female</v>
      </c>
    </row>
    <row r="2393" spans="1:15">
      <c r="A2393" s="1" t="s">
        <v>2494</v>
      </c>
      <c r="B2393" s="1" t="s">
        <v>22</v>
      </c>
      <c r="C2393" s="1">
        <v>2</v>
      </c>
      <c r="D2393" s="1">
        <v>82.4</v>
      </c>
      <c r="E2393" s="11">
        <v>164.8</v>
      </c>
      <c r="F2393" s="3">
        <v>45745</v>
      </c>
      <c r="G2393" s="3">
        <v>45748</v>
      </c>
      <c r="H2393" s="1" t="s">
        <v>17</v>
      </c>
      <c r="I2393" s="1" t="s">
        <v>18</v>
      </c>
      <c r="J2393" s="1">
        <v>4</v>
      </c>
      <c r="K2393" s="1" t="s">
        <v>19</v>
      </c>
      <c r="L2393" s="1" t="s">
        <v>59</v>
      </c>
      <c r="M2393" s="1">
        <f>orders[[#This Row],[Ship Date]]-orders[[#This Row],[Order Date]]</f>
        <v>3</v>
      </c>
      <c r="N2393" s="1">
        <f>WEEKNUM(orders[[#This Row],[Order Date]])</f>
        <v>13</v>
      </c>
      <c r="O2393" s="1" t="str" cm="1">
        <f t="array" ref="O2393">_xlfn.IFS(orders[[#This Row],[Customer Gender]]="M","Male", orders[[#This Row],[Customer Gender]]="F","Female", orders[[#This Row],[Customer Gender]]="O","Other", TRUE,"Unknown")</f>
        <v>Unknown</v>
      </c>
    </row>
    <row r="2394" spans="1:15">
      <c r="A2394" s="1" t="s">
        <v>2495</v>
      </c>
      <c r="B2394" s="1" t="s">
        <v>26</v>
      </c>
      <c r="C2394" s="1">
        <v>2</v>
      </c>
      <c r="D2394" s="1">
        <v>117.8</v>
      </c>
      <c r="E2394" s="11">
        <v>235.6</v>
      </c>
      <c r="F2394" s="3">
        <v>45745</v>
      </c>
      <c r="G2394" s="3">
        <v>45747</v>
      </c>
      <c r="H2394" s="1" t="s">
        <v>23</v>
      </c>
      <c r="I2394" s="1" t="s">
        <v>35</v>
      </c>
      <c r="J2394" s="1">
        <v>5</v>
      </c>
      <c r="K2394" s="1" t="s">
        <v>19</v>
      </c>
      <c r="L2394" s="1" t="s">
        <v>62</v>
      </c>
      <c r="M2394" s="1">
        <f>orders[[#This Row],[Ship Date]]-orders[[#This Row],[Order Date]]</f>
        <v>2</v>
      </c>
      <c r="N2394" s="1">
        <f>WEEKNUM(orders[[#This Row],[Order Date]])</f>
        <v>13</v>
      </c>
      <c r="O2394" s="1" t="str" cm="1">
        <f t="array" ref="O2394">_xlfn.IFS(orders[[#This Row],[Customer Gender]]="M","Male", orders[[#This Row],[Customer Gender]]="F","Female", orders[[#This Row],[Customer Gender]]="O","Other", TRUE,"Unknown")</f>
        <v>Male</v>
      </c>
    </row>
    <row r="2395" spans="1:15">
      <c r="A2395" s="1" t="s">
        <v>2496</v>
      </c>
      <c r="B2395" s="1" t="s">
        <v>67</v>
      </c>
      <c r="C2395" s="1">
        <v>4</v>
      </c>
      <c r="D2395" s="1">
        <v>36.700000000000003</v>
      </c>
      <c r="E2395" s="11">
        <v>146.80000000000001</v>
      </c>
      <c r="F2395" s="3">
        <v>45745</v>
      </c>
      <c r="G2395" s="3">
        <v>45746</v>
      </c>
      <c r="H2395" s="1" t="s">
        <v>23</v>
      </c>
      <c r="I2395" s="1" t="s">
        <v>35</v>
      </c>
      <c r="J2395" s="1">
        <v>4</v>
      </c>
      <c r="K2395" s="1" t="s">
        <v>19</v>
      </c>
      <c r="L2395" s="1" t="s">
        <v>62</v>
      </c>
      <c r="M2395" s="1">
        <f>orders[[#This Row],[Ship Date]]-orders[[#This Row],[Order Date]]</f>
        <v>1</v>
      </c>
      <c r="N2395" s="1">
        <f>WEEKNUM(orders[[#This Row],[Order Date]])</f>
        <v>13</v>
      </c>
      <c r="O2395" s="1" t="str" cm="1">
        <f t="array" ref="O2395">_xlfn.IFS(orders[[#This Row],[Customer Gender]]="M","Male", orders[[#This Row],[Customer Gender]]="F","Female", orders[[#This Row],[Customer Gender]]="O","Other", TRUE,"Unknown")</f>
        <v>Male</v>
      </c>
    </row>
    <row r="2396" spans="1:15">
      <c r="A2396" s="1" t="s">
        <v>2497</v>
      </c>
      <c r="B2396" s="1" t="s">
        <v>135</v>
      </c>
      <c r="C2396" s="1">
        <v>3</v>
      </c>
      <c r="D2396" s="1">
        <v>46.8</v>
      </c>
      <c r="E2396" s="11">
        <v>140.39999999999998</v>
      </c>
      <c r="F2396" s="3">
        <v>45745</v>
      </c>
      <c r="G2396" s="3">
        <v>45746</v>
      </c>
      <c r="H2396" s="1" t="s">
        <v>23</v>
      </c>
      <c r="I2396" s="1" t="s">
        <v>70</v>
      </c>
      <c r="J2396" s="1">
        <v>5</v>
      </c>
      <c r="K2396" s="1" t="s">
        <v>19</v>
      </c>
      <c r="L2396" s="1" t="s">
        <v>74</v>
      </c>
      <c r="M2396" s="1">
        <f>orders[[#This Row],[Ship Date]]-orders[[#This Row],[Order Date]]</f>
        <v>1</v>
      </c>
      <c r="N2396" s="1">
        <f>WEEKNUM(orders[[#This Row],[Order Date]])</f>
        <v>13</v>
      </c>
      <c r="O2396" s="1" t="str" cm="1">
        <f t="array" ref="O2396">_xlfn.IFS(orders[[#This Row],[Customer Gender]]="M","Male", orders[[#This Row],[Customer Gender]]="F","Female", orders[[#This Row],[Customer Gender]]="O","Other", TRUE,"Unknown")</f>
        <v>Male</v>
      </c>
    </row>
    <row r="2397" spans="1:15">
      <c r="A2397" s="1" t="s">
        <v>2498</v>
      </c>
      <c r="B2397" s="1" t="s">
        <v>30</v>
      </c>
      <c r="C2397" s="1">
        <v>1</v>
      </c>
      <c r="D2397" s="1">
        <v>61.4</v>
      </c>
      <c r="E2397" s="11">
        <v>61.4</v>
      </c>
      <c r="F2397" s="3">
        <v>45745</v>
      </c>
      <c r="G2397" s="3">
        <v>45746</v>
      </c>
      <c r="H2397" s="1" t="s">
        <v>23</v>
      </c>
      <c r="I2397" s="1" t="s">
        <v>35</v>
      </c>
      <c r="J2397" s="1">
        <v>4</v>
      </c>
      <c r="K2397" s="1" t="s">
        <v>19</v>
      </c>
      <c r="L2397" s="1" t="s">
        <v>74</v>
      </c>
      <c r="M2397" s="1">
        <f>orders[[#This Row],[Ship Date]]-orders[[#This Row],[Order Date]]</f>
        <v>1</v>
      </c>
      <c r="N2397" s="1">
        <f>WEEKNUM(orders[[#This Row],[Order Date]])</f>
        <v>13</v>
      </c>
      <c r="O2397" s="1" t="str" cm="1">
        <f t="array" ref="O2397">_xlfn.IFS(orders[[#This Row],[Customer Gender]]="M","Male", orders[[#This Row],[Customer Gender]]="F","Female", orders[[#This Row],[Customer Gender]]="O","Other", TRUE,"Unknown")</f>
        <v>Male</v>
      </c>
    </row>
    <row r="2398" spans="1:15">
      <c r="A2398" s="1" t="s">
        <v>2499</v>
      </c>
      <c r="B2398" s="1" t="s">
        <v>123</v>
      </c>
      <c r="C2398" s="1">
        <v>2</v>
      </c>
      <c r="D2398" s="1">
        <v>22.9</v>
      </c>
      <c r="E2398" s="11">
        <v>45.8</v>
      </c>
      <c r="F2398" s="3">
        <v>45745</v>
      </c>
      <c r="G2398" s="3">
        <v>45746</v>
      </c>
      <c r="H2398" s="1" t="s">
        <v>23</v>
      </c>
      <c r="I2398" s="1" t="s">
        <v>18</v>
      </c>
      <c r="J2398" s="1">
        <v>4</v>
      </c>
      <c r="K2398" s="1" t="s">
        <v>19</v>
      </c>
      <c r="L2398" s="1" t="s">
        <v>77</v>
      </c>
      <c r="M2398" s="1">
        <f>orders[[#This Row],[Ship Date]]-orders[[#This Row],[Order Date]]</f>
        <v>1</v>
      </c>
      <c r="N2398" s="1">
        <f>WEEKNUM(orders[[#This Row],[Order Date]])</f>
        <v>13</v>
      </c>
      <c r="O2398" s="1" t="str" cm="1">
        <f t="array" ref="O2398">_xlfn.IFS(orders[[#This Row],[Customer Gender]]="M","Male", orders[[#This Row],[Customer Gender]]="F","Female", orders[[#This Row],[Customer Gender]]="O","Other", TRUE,"Unknown")</f>
        <v>Male</v>
      </c>
    </row>
    <row r="2399" spans="1:15">
      <c r="A2399" s="1" t="s">
        <v>2500</v>
      </c>
      <c r="B2399" s="1" t="s">
        <v>54</v>
      </c>
      <c r="C2399" s="1">
        <v>2</v>
      </c>
      <c r="D2399" s="1">
        <v>22.1</v>
      </c>
      <c r="E2399" s="11">
        <v>44.2</v>
      </c>
      <c r="F2399" s="3">
        <v>45745</v>
      </c>
      <c r="G2399" s="3">
        <v>45746</v>
      </c>
      <c r="H2399" s="1" t="s">
        <v>27</v>
      </c>
      <c r="I2399" s="1" t="s">
        <v>70</v>
      </c>
      <c r="J2399" s="1">
        <v>4</v>
      </c>
      <c r="K2399" s="1" t="s">
        <v>19</v>
      </c>
      <c r="L2399" s="1" t="s">
        <v>77</v>
      </c>
      <c r="M2399" s="1">
        <f>orders[[#This Row],[Ship Date]]-orders[[#This Row],[Order Date]]</f>
        <v>1</v>
      </c>
      <c r="N2399" s="1">
        <f>WEEKNUM(orders[[#This Row],[Order Date]])</f>
        <v>13</v>
      </c>
      <c r="O2399" s="1" t="str" cm="1">
        <f t="array" ref="O2399">_xlfn.IFS(orders[[#This Row],[Customer Gender]]="M","Male", orders[[#This Row],[Customer Gender]]="F","Female", orders[[#This Row],[Customer Gender]]="O","Other", TRUE,"Unknown")</f>
        <v>Female</v>
      </c>
    </row>
    <row r="2400" spans="1:15">
      <c r="A2400" s="1" t="s">
        <v>2501</v>
      </c>
      <c r="B2400" s="1" t="s">
        <v>69</v>
      </c>
      <c r="C2400" s="1">
        <v>2</v>
      </c>
      <c r="D2400" s="1">
        <v>31</v>
      </c>
      <c r="E2400" s="11">
        <v>62</v>
      </c>
      <c r="F2400" s="3">
        <v>45745</v>
      </c>
      <c r="G2400" s="3">
        <v>45747</v>
      </c>
      <c r="H2400" s="1" t="s">
        <v>27</v>
      </c>
      <c r="I2400" s="1" t="s">
        <v>40</v>
      </c>
      <c r="J2400" s="1">
        <v>4</v>
      </c>
      <c r="K2400" s="1" t="s">
        <v>19</v>
      </c>
      <c r="L2400" s="1" t="s">
        <v>108</v>
      </c>
      <c r="M2400" s="1">
        <f>orders[[#This Row],[Ship Date]]-orders[[#This Row],[Order Date]]</f>
        <v>2</v>
      </c>
      <c r="N2400" s="1">
        <f>WEEKNUM(orders[[#This Row],[Order Date]])</f>
        <v>13</v>
      </c>
      <c r="O2400" s="1" t="str" cm="1">
        <f t="array" ref="O2400">_xlfn.IFS(orders[[#This Row],[Customer Gender]]="M","Male", orders[[#This Row],[Customer Gender]]="F","Female", orders[[#This Row],[Customer Gender]]="O","Other", TRUE,"Unknown")</f>
        <v>Female</v>
      </c>
    </row>
    <row r="2401" spans="1:15">
      <c r="A2401" s="1" t="s">
        <v>2502</v>
      </c>
      <c r="B2401" s="1" t="s">
        <v>146</v>
      </c>
      <c r="C2401" s="1">
        <v>2</v>
      </c>
      <c r="D2401" s="1">
        <v>84.2</v>
      </c>
      <c r="E2401" s="11">
        <v>168.4</v>
      </c>
      <c r="F2401" s="3">
        <v>45745</v>
      </c>
      <c r="G2401" s="3">
        <v>45747</v>
      </c>
      <c r="H2401" s="1" t="s">
        <v>23</v>
      </c>
      <c r="I2401" s="1" t="s">
        <v>40</v>
      </c>
      <c r="J2401" s="1">
        <v>5</v>
      </c>
      <c r="K2401" s="1" t="s">
        <v>19</v>
      </c>
      <c r="L2401" s="1" t="s">
        <v>82</v>
      </c>
      <c r="M2401" s="1">
        <f>orders[[#This Row],[Ship Date]]-orders[[#This Row],[Order Date]]</f>
        <v>2</v>
      </c>
      <c r="N2401" s="1">
        <f>WEEKNUM(orders[[#This Row],[Order Date]])</f>
        <v>13</v>
      </c>
      <c r="O2401" s="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11" sqref="E11"/>
    </sheetView>
  </sheetViews>
  <sheetFormatPr defaultRowHeight="14.4"/>
  <cols>
    <col min="1" max="1" width="3.6640625" customWidth="1"/>
    <col min="2" max="2" width="52.77734375" customWidth="1"/>
  </cols>
  <sheetData>
    <row r="2" spans="2:2">
      <c r="B2" s="6" t="s">
        <v>2503</v>
      </c>
    </row>
    <row r="3" spans="2:2">
      <c r="B3" s="4" t="s">
        <v>2504</v>
      </c>
    </row>
    <row r="4" spans="2:2">
      <c r="B4" s="4" t="s">
        <v>2505</v>
      </c>
    </row>
    <row r="5" spans="2:2">
      <c r="B5" s="4" t="s">
        <v>2506</v>
      </c>
    </row>
    <row r="6" spans="2:2">
      <c r="B6" s="4" t="s">
        <v>2507</v>
      </c>
    </row>
    <row r="7" spans="2:2">
      <c r="B7" s="4" t="s">
        <v>2508</v>
      </c>
    </row>
    <row r="8" spans="2:2">
      <c r="B8" s="1"/>
    </row>
    <row r="9" spans="2:2">
      <c r="B9" s="1"/>
    </row>
    <row r="10" spans="2:2">
      <c r="B10" s="5" t="s">
        <v>2509</v>
      </c>
    </row>
    <row r="11" spans="2:2">
      <c r="B11" s="1" t="s">
        <v>2510</v>
      </c>
    </row>
    <row r="12" spans="2:2">
      <c r="B12" s="1" t="s">
        <v>2511</v>
      </c>
    </row>
    <row r="13" spans="2:2">
      <c r="B13" s="1" t="s">
        <v>2512</v>
      </c>
    </row>
    <row r="14" spans="2:2">
      <c r="B14" s="1" t="s">
        <v>2513</v>
      </c>
    </row>
    <row r="15" spans="2:2">
      <c r="B15" s="1" t="s">
        <v>2514</v>
      </c>
    </row>
    <row r="16" spans="2:2">
      <c r="B16" s="1" t="s">
        <v>2515</v>
      </c>
    </row>
    <row r="17" spans="2:2">
      <c r="B17" s="1" t="s">
        <v>2516</v>
      </c>
    </row>
    <row r="18" spans="2:2">
      <c r="B18" s="1"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4D49F-9242-4810-8281-7C73A20B1922}">
  <sheetPr>
    <pageSetUpPr fitToPage="1"/>
  </sheetPr>
  <dimension ref="AN13"/>
  <sheetViews>
    <sheetView showGridLines="0" tabSelected="1" zoomScale="47" zoomScaleNormal="47" workbookViewId="0">
      <selection activeCell="AS20" sqref="AS20"/>
    </sheetView>
  </sheetViews>
  <sheetFormatPr defaultRowHeight="14.4"/>
  <cols>
    <col min="1" max="1" width="1.21875" customWidth="1"/>
    <col min="2" max="2" width="22.6640625" customWidth="1"/>
    <col min="3" max="3" width="1.21875" customWidth="1"/>
  </cols>
  <sheetData>
    <row r="13" spans="40:40">
      <c r="AN13" s="27"/>
    </row>
  </sheetData>
  <printOptions horizontalCentered="1"/>
  <pageMargins left="0" right="0" top="0" bottom="0" header="0.78740157480314965" footer="0.78740157480314965"/>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Sheet3</vt:lpstr>
      <vt:lpstr>Data</vt:lpstr>
      <vt:lpstr>Questions &amp; KPIs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RICHA MISHRA</cp:lastModifiedBy>
  <cp:lastPrinted>2026-10-14T11:21:19Z</cp:lastPrinted>
  <dcterms:created xsi:type="dcterms:W3CDTF">2025-06-13T02:42:26Z</dcterms:created>
  <dcterms:modified xsi:type="dcterms:W3CDTF">2026-10-14T13:05:40Z</dcterms:modified>
</cp:coreProperties>
</file>